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ssibaya_tmforum_org/Documents/Documents/AN Levels/Questionnaires Updated to Correct Template and Ready for Publish/"/>
    </mc:Choice>
  </mc:AlternateContent>
  <xr:revisionPtr revIDLastSave="1" documentId="14_{578485B4-04F2-4DB4-B3C4-130575226021}" xr6:coauthVersionLast="47" xr6:coauthVersionMax="47" xr10:uidLastSave="{D9189CA8-F935-4736-846B-3E8B4A33A2DD}"/>
  <bookViews>
    <workbookView showHorizontalScroll="0" xWindow="-108" yWindow="-108" windowWidth="23256" windowHeight="13896" tabRatio="0" xr2:uid="{00000000-000D-0000-FFFF-FFFF00000000}"/>
  </bookViews>
  <sheets>
    <sheet name="Document Title" sheetId="5" r:id="rId1"/>
    <sheet name="Notice-Landscape" sheetId="9" r:id="rId2"/>
    <sheet name="Introduction" sheetId="11" r:id="rId3"/>
    <sheet name="Guideline" sheetId="12" r:id="rId4"/>
    <sheet name="RAN Network Optimization" sheetId="13" r:id="rId5"/>
    <sheet name="Scoring" sheetId="14" r:id="rId6"/>
    <sheet name="Administrative Appendix" sheetId="8" r:id="rId7"/>
    <sheet name="Sheet1" sheetId="10" r:id="rId8"/>
  </sheets>
  <externalReferences>
    <externalReference r:id="rId9"/>
  </externalReferences>
  <definedNames>
    <definedName name="_xlnm.Print_Area" localSheetId="6">'Administrative Appendix'!$A$1:$E$44</definedName>
    <definedName name="_xlnm.Print_Area" localSheetId="0">'Document Title'!$A$1:$B$27</definedName>
    <definedName name="_xlnm.Print_Area" localSheetId="1">'Notice-Landscape'!$A$1:$A$24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14" l="1"/>
  <c r="J16" i="14"/>
  <c r="D16" i="14"/>
  <c r="A16" i="14"/>
  <c r="J15" i="14"/>
  <c r="K15" i="14" s="1"/>
  <c r="L15" i="14" s="1" a="1"/>
  <c r="L15" i="14" s="1"/>
  <c r="N24" i="14" s="1"/>
  <c r="D15" i="14"/>
  <c r="A15" i="14"/>
  <c r="D12" i="14"/>
  <c r="V11" i="14"/>
  <c r="W11" i="14" s="1"/>
  <c r="S11" i="14"/>
  <c r="P11" i="14"/>
  <c r="O11" i="14"/>
  <c r="AE11" i="14" s="1"/>
  <c r="AF11" i="14" s="1"/>
  <c r="N11" i="14"/>
  <c r="AB11" i="14" s="1"/>
  <c r="AC11" i="14" s="1"/>
  <c r="M11" i="14"/>
  <c r="Y11" i="14" s="1"/>
  <c r="Z11" i="14" s="1"/>
  <c r="L11" i="14"/>
  <c r="K11" i="14"/>
  <c r="J11" i="14"/>
  <c r="E11" i="14"/>
  <c r="D11" i="14"/>
  <c r="C11" i="14"/>
  <c r="AE10" i="14"/>
  <c r="AF10" i="14" s="1"/>
  <c r="AB10" i="14"/>
  <c r="AC10" i="14" s="1"/>
  <c r="Y10" i="14"/>
  <c r="Z10" i="14" s="1"/>
  <c r="V10" i="14"/>
  <c r="W10" i="14" s="1"/>
  <c r="O10" i="14"/>
  <c r="N10" i="14"/>
  <c r="M10" i="14"/>
  <c r="L10" i="14"/>
  <c r="K10" i="14"/>
  <c r="S10" i="14" s="1"/>
  <c r="T10" i="14" s="1"/>
  <c r="J10" i="14"/>
  <c r="P10" i="14" s="1"/>
  <c r="Q10" i="14" s="1"/>
  <c r="E10" i="14"/>
  <c r="D10" i="14"/>
  <c r="C10" i="14"/>
  <c r="V9" i="14"/>
  <c r="W9" i="14" s="1"/>
  <c r="S9" i="14"/>
  <c r="T9" i="14" s="1"/>
  <c r="P9" i="14"/>
  <c r="Q9" i="14" s="1"/>
  <c r="O9" i="14"/>
  <c r="AE9" i="14" s="1"/>
  <c r="AF9" i="14" s="1"/>
  <c r="N9" i="14"/>
  <c r="AB9" i="14" s="1"/>
  <c r="AC9" i="14" s="1"/>
  <c r="M9" i="14"/>
  <c r="Y9" i="14" s="1"/>
  <c r="Z9" i="14" s="1"/>
  <c r="L9" i="14"/>
  <c r="K9" i="14"/>
  <c r="J9" i="14"/>
  <c r="E9" i="14"/>
  <c r="D9" i="14"/>
  <c r="C9" i="14"/>
  <c r="AE8" i="14"/>
  <c r="AF8" i="14" s="1"/>
  <c r="AB8" i="14"/>
  <c r="AC8" i="14" s="1"/>
  <c r="Y8" i="14"/>
  <c r="Z8" i="14" s="1"/>
  <c r="V8" i="14"/>
  <c r="W8" i="14" s="1"/>
  <c r="O8" i="14"/>
  <c r="N8" i="14"/>
  <c r="M8" i="14"/>
  <c r="L8" i="14"/>
  <c r="K8" i="14"/>
  <c r="S8" i="14" s="1"/>
  <c r="T8" i="14" s="1"/>
  <c r="J8" i="14"/>
  <c r="P8" i="14" s="1"/>
  <c r="Q8" i="14" s="1"/>
  <c r="E8" i="14"/>
  <c r="D8" i="14"/>
  <c r="C8" i="14"/>
  <c r="V7" i="14"/>
  <c r="W7" i="14" s="1"/>
  <c r="S7" i="14"/>
  <c r="T7" i="14" s="1"/>
  <c r="P7" i="14"/>
  <c r="Q7" i="14" s="1"/>
  <c r="O7" i="14"/>
  <c r="AE7" i="14" s="1"/>
  <c r="AF7" i="14" s="1"/>
  <c r="N7" i="14"/>
  <c r="AB7" i="14" s="1"/>
  <c r="AC7" i="14" s="1"/>
  <c r="M7" i="14"/>
  <c r="Y7" i="14" s="1"/>
  <c r="Z7" i="14" s="1"/>
  <c r="L7" i="14"/>
  <c r="K7" i="14"/>
  <c r="J7" i="14"/>
  <c r="E7" i="14"/>
  <c r="D7" i="14"/>
  <c r="C7" i="14"/>
  <c r="AE6" i="14"/>
  <c r="AB6" i="14"/>
  <c r="Y6" i="14"/>
  <c r="V6" i="14"/>
  <c r="W6" i="14" s="1"/>
  <c r="O6" i="14"/>
  <c r="N6" i="14"/>
  <c r="M6" i="14"/>
  <c r="L6" i="14"/>
  <c r="K6" i="14"/>
  <c r="S6" i="14" s="1"/>
  <c r="J6" i="14"/>
  <c r="P6" i="14" s="1"/>
  <c r="E6" i="14"/>
  <c r="D6" i="14"/>
  <c r="C6" i="14"/>
  <c r="Y5" i="14"/>
  <c r="Z5" i="14" s="1"/>
  <c r="V5" i="14"/>
  <c r="W5" i="14" s="1"/>
  <c r="X5" i="14" s="1"/>
  <c r="O5" i="14"/>
  <c r="AE5" i="14" s="1"/>
  <c r="AF5" i="14" s="1"/>
  <c r="N5" i="14"/>
  <c r="AB5" i="14" s="1"/>
  <c r="AC5" i="14" s="1"/>
  <c r="M5" i="14"/>
  <c r="L5" i="14"/>
  <c r="K5" i="14"/>
  <c r="S5" i="14" s="1"/>
  <c r="T5" i="14" s="1"/>
  <c r="J5" i="14"/>
  <c r="P5" i="14" s="1"/>
  <c r="Q5" i="14" s="1"/>
  <c r="E5" i="14"/>
  <c r="D5" i="14"/>
  <c r="C5" i="14"/>
  <c r="AE3" i="14"/>
  <c r="AB3" i="14"/>
  <c r="Y3" i="14"/>
  <c r="V3" i="14"/>
  <c r="S3" i="14"/>
  <c r="P3" i="14"/>
  <c r="AE2" i="14"/>
  <c r="AB2" i="14"/>
  <c r="Y2" i="14"/>
  <c r="V2" i="14"/>
  <c r="S2" i="14"/>
  <c r="P2" i="14"/>
  <c r="C30" i="12"/>
  <c r="B30" i="12"/>
  <c r="C29" i="12"/>
  <c r="B29" i="12"/>
  <c r="C28" i="12"/>
  <c r="B28" i="12"/>
  <c r="C27" i="12"/>
  <c r="B27" i="12"/>
  <c r="C26" i="12"/>
  <c r="B26" i="12"/>
  <c r="C25" i="12"/>
  <c r="B25" i="12"/>
  <c r="C24" i="12"/>
  <c r="B24" i="12"/>
  <c r="Q6" i="14" l="1"/>
  <c r="Q11" i="14"/>
  <c r="T11" i="14"/>
  <c r="T6" i="14"/>
  <c r="U5" i="14" s="1"/>
  <c r="R5" i="14"/>
  <c r="Z6" i="14"/>
  <c r="AC6" i="14"/>
  <c r="AD5" i="14" s="1"/>
  <c r="AA5" i="14"/>
  <c r="AF6" i="14"/>
  <c r="AG5" i="14" s="1"/>
  <c r="AH5" i="14" l="1"/>
  <c r="N19" i="14" s="1"/>
</calcChain>
</file>

<file path=xl/sharedStrings.xml><?xml version="1.0" encoding="utf-8"?>
<sst xmlns="http://schemas.openxmlformats.org/spreadsheetml/2006/main" count="411" uniqueCount="243">
  <si>
    <t>TM Forum Guidebook</t>
  </si>
  <si>
    <t>Team Approved Date: 27-May-2026</t>
  </si>
  <si>
    <t>Release Status:  Pre-production</t>
  </si>
  <si>
    <t>Approval Status:  Team-Approved</t>
  </si>
  <si>
    <t>IPR Mode: RAND</t>
  </si>
  <si>
    <t xml:space="preserve">©TM Forum 2026. All Rights Reserved.  </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</si>
  <si>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</si>
  <si>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</si>
  <si>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</si>
  <si>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</si>
  <si>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</si>
  <si>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</si>
  <si>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</si>
  <si>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</si>
  <si>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</si>
  <si>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</si>
  <si>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</si>
  <si>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</si>
  <si>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</si>
  <si>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</si>
  <si>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</si>
  <si>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</si>
  <si>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</si>
  <si>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</si>
  <si>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</si>
  <si>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</si>
  <si>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</si>
  <si>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</si>
  <si>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</si>
  <si>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</si>
  <si>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</si>
  <si>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</si>
  <si>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RAN Network Quality Optimization Questionnaire</t>
  </si>
  <si>
    <t>GB1525A</t>
  </si>
  <si>
    <t>Introduction</t>
  </si>
  <si>
    <r>
      <rPr>
        <b/>
        <sz val="11"/>
        <color rgb="FF000000"/>
        <rFont val="等线"/>
        <charset val="134"/>
      </rPr>
      <t>1. About the questionnaire</t>
    </r>
    <r>
      <rPr>
        <sz val="11"/>
        <color rgb="FF000000"/>
        <rFont val="等线"/>
        <charset val="134"/>
      </rPr>
      <t>:  Network optimization is indispensable for operators to guarantee SLA and user experience when network quality degrades. The assessment is questionnaire-based and it is used to evaluate the Autonomous Networks (AN) level in the quality optimization scenarios in RAN network domain. For each cognitive activity in the process of quality optimization, service capabilities are described and provided with several options that represent capability of different level of automation and intelligence, option A always represents capability with highest level of automation and intelligence. By filling the answers of options, the overall score could be calculated automatically by the "scoring" page.</t>
    </r>
  </si>
  <si>
    <r>
      <rPr>
        <b/>
        <sz val="11"/>
        <color rgb="FF000000"/>
        <rFont val="等线"/>
        <charset val="134"/>
      </rPr>
      <t>2. The principle for selecting option：</t>
    </r>
    <r>
      <rPr>
        <sz val="11"/>
        <color rgb="FF000000"/>
        <rFont val="等线"/>
        <charset val="134"/>
      </rPr>
      <t>A specific option could be selected only when the capabilities of the option are all satisfied. For example, if the capabilities of option A could only be partially satisfied, then option A should not be selected and other options should be further evaluated and selected.</t>
    </r>
  </si>
  <si>
    <r>
      <rPr>
        <b/>
        <sz val="11"/>
        <color rgb="FF000000"/>
        <rFont val="等线"/>
        <charset val="134"/>
      </rPr>
      <t xml:space="preserve">3. The overall scoring method:   </t>
    </r>
    <r>
      <rPr>
        <sz val="11"/>
        <color rgb="FF000000"/>
        <rFont val="等线"/>
        <charset val="134"/>
      </rPr>
      <t>The average scoring method is recommended. It calculates an overall score by accumulating the score of each question and its weight.</t>
    </r>
  </si>
  <si>
    <r>
      <rPr>
        <b/>
        <sz val="11"/>
        <color rgb="FF000000"/>
        <rFont val="等线"/>
        <charset val="134"/>
      </rPr>
      <t xml:space="preserve">4. Reference
</t>
    </r>
    <r>
      <rPr>
        <sz val="11"/>
        <color rgb="FF000000"/>
        <rFont val="等线"/>
        <charset val="134"/>
      </rPr>
      <t>1) The design of the questionnaire is in compliance with the methodology provided by TMF IG 1252.
2) The design of cognitive activities and service capabilities in RAN domain is in compliance with 3GPP TS 28.100.</t>
    </r>
  </si>
  <si>
    <t>I. Introduction</t>
  </si>
  <si>
    <t>This is the  RAN Quality optimization Questionnaire</t>
  </si>
  <si>
    <t xml:space="preserve">The assessment is process-based and intended to be vendor-independent and where possible technology independent. Refer to the process flow on the right side for more details </t>
  </si>
  <si>
    <t>Quality optimization is indispensable for operators to guarantee SLA and user experience when  quality degrades.</t>
  </si>
  <si>
    <t>The questionnaire is based on the principles described in 3GPP TS 28.100 &amp; IG1252</t>
  </si>
  <si>
    <t>The participation of relevant Subject Matter Experts is required to complete the assessment (1st and 2nd level operation engineers as well as automation experts)</t>
  </si>
  <si>
    <t>Intelligent models implies using any AI/ML model or advanced statistical calculations such that the pattern of data is understood automatically by the System</t>
  </si>
  <si>
    <t xml:space="preserve">Options A to D: They adopt a common approach reflecting S, P/S &amp; P. They cover increasing levels of autonomy characteristics across the Options. </t>
  </si>
  <si>
    <t>II. Sub-scenarios</t>
  </si>
  <si>
    <t>The sub-scenarios are introduced based on radio network quality optimiztaion use cases defined in 3GPP. Below is the list of most common representative sub-scenarios for RAN network quality optimization:</t>
  </si>
  <si>
    <r>
      <rPr>
        <b/>
        <sz val="9"/>
        <rFont val="Calibri"/>
        <family val="2"/>
        <scheme val="minor"/>
      </rPr>
      <t xml:space="preserve">Sub-scenario-1:Capacity: </t>
    </r>
    <r>
      <rPr>
        <sz val="9"/>
        <rFont val="Calibri"/>
        <family val="2"/>
        <scheme val="minor"/>
      </rPr>
      <t xml:space="preserve">Represents radio network optimiztaion for capacity issues, including but not limited to: high load cell, traffic congestion cell, </t>
    </r>
    <r>
      <rPr>
        <sz val="9"/>
        <rFont val="Calibri"/>
        <family val="2"/>
        <scheme val="minor"/>
      </rPr>
      <t xml:space="preserve">
4G long-term zero-traffic cells.</t>
    </r>
  </si>
  <si>
    <r>
      <rPr>
        <b/>
        <sz val="9"/>
        <rFont val="Calibri"/>
        <family val="2"/>
        <scheme val="minor"/>
      </rPr>
      <t>Sub-scenario-2: Interference:</t>
    </r>
    <r>
      <rPr>
        <sz val="9"/>
        <rFont val="Calibri"/>
        <family val="2"/>
        <scheme val="minor"/>
      </rPr>
      <t xml:space="preserve"> Represents radio network optimization for interference issues, including but not limited to: </t>
    </r>
    <r>
      <rPr>
        <sz val="9"/>
        <rFont val="Calibri"/>
        <family val="2"/>
        <scheme val="minor"/>
      </rPr>
      <t>inter system interference, intra system interference</t>
    </r>
  </si>
  <si>
    <r>
      <rPr>
        <b/>
        <sz val="9"/>
        <rFont val="Calibri"/>
        <family val="2"/>
        <scheme val="minor"/>
      </rPr>
      <t xml:space="preserve">Sub-scenario-3: Coverage Structure: </t>
    </r>
    <r>
      <rPr>
        <sz val="9"/>
        <rFont val="Calibri"/>
        <family val="2"/>
        <scheme val="minor"/>
      </rPr>
      <t xml:space="preserve">Represents radio network optimization for coverage issues, including but not limited to: weak coverage cell, coverge hole, </t>
    </r>
    <r>
      <rPr>
        <sz val="9"/>
        <rFont val="Calibri"/>
        <family val="2"/>
        <scheme val="minor"/>
      </rPr>
      <t>overlapped cell,overshoot coverage</t>
    </r>
  </si>
  <si>
    <r>
      <rPr>
        <b/>
        <sz val="9"/>
        <rFont val="Calibri"/>
        <family val="2"/>
        <scheme val="minor"/>
      </rPr>
      <t>Sub-scenario-4: RAN Voice KPIs</t>
    </r>
    <r>
      <rPr>
        <sz val="9"/>
        <rFont val="Calibri"/>
        <family val="2"/>
        <scheme val="minor"/>
      </rPr>
      <t xml:space="preserve">: Represents radio network optimization for VoLTE/VoNR quality issue, including but not limited to: KPIs related to EPS fallback handover defined in 3GPP TS 28.552, </t>
    </r>
  </si>
  <si>
    <r>
      <rPr>
        <b/>
        <sz val="9"/>
        <rFont val="Calibri"/>
        <family val="2"/>
        <scheme val="minor"/>
      </rPr>
      <t xml:space="preserve">Sub-scenario-5: RAN Awareness-related KPIs:  </t>
    </r>
    <r>
      <rPr>
        <sz val="9"/>
        <rFont val="Calibri"/>
        <family val="2"/>
        <scheme val="minor"/>
      </rPr>
      <t xml:space="preserve">Represents radio network optimization for awareness-related KPIs, including but not limited to: RAN KPIs related to delay and throughput, which aligned with integrity KPIs defined in 3GPP TS 28.554  </t>
    </r>
  </si>
  <si>
    <r>
      <rPr>
        <b/>
        <sz val="9"/>
        <rFont val="Calibri"/>
        <family val="2"/>
        <scheme val="minor"/>
      </rPr>
      <t xml:space="preserve">Sub-scenario-6: Basic network KPIs: </t>
    </r>
    <r>
      <rPr>
        <sz val="9"/>
        <rFont val="Calibri"/>
        <family val="2"/>
        <scheme val="minor"/>
      </rPr>
      <t>Represents radio network optimization for basic KPI issues, including but not limiited to: RAN KPIs related to Accessibility , Mobility and Retainability defined in 3GPP TS 28.554</t>
    </r>
  </si>
  <si>
    <t>Percentage of each sub-scenario is allocated considering the complexity of the sub-scenario, along with it is availability in telecom networks</t>
  </si>
  <si>
    <t xml:space="preserve">II. Guideline for Answering ANL Questionnaire </t>
  </si>
  <si>
    <t>Cognitive Activity (IAADE)</t>
  </si>
  <si>
    <t>Service Capability</t>
  </si>
  <si>
    <t>Question</t>
  </si>
  <si>
    <t>Answering Guideline</t>
  </si>
  <si>
    <t>Intent</t>
  </si>
  <si>
    <t xml:space="preserve">A) The system can intelligently generate the network optimization related control information. The system can intelligently evaluate Intent fulfillment.
B) The system generates the network optimization related control information based on predefined rules and Policies. Intent fulfillment is manually evaluated.
C) Manually define the network optimization related control information based on expertise. Human manually evaluate D) the effect after the intention is implemented,assisted by tools and system.
Manually set the network optimization related control information.
</t>
  </si>
  <si>
    <t>Awareness</t>
  </si>
  <si>
    <t xml:space="preserve">A) The system can automatically collect and process data (e.g., data cleaning, missing data imputation).
B) The system can automatically collect and process data (e.g., data cleaning, missing data imputation) based on manually defined rules.
C) Manually select and use the system to collect and process data </t>
  </si>
  <si>
    <t>Analysis</t>
  </si>
  <si>
    <t xml:space="preserve">A) The system can intelligently identify RAN network performance / and service experience issues or predict network performance /service experience without human intervention.
B) The system can automatically identify network issues or predict network performance. Manual confirmation is required.
C) The system can identify network issues or predict network performance based on predefined rules.
D) Manually identify RAN network problems or predict network performance based on expertise.
</t>
  </si>
  <si>
    <t>A) The system intelligently demarcates issues and diagnoses root cause when the RAN network performance and service experience issue identified or performance deterioration predicted
B) The system can demarcate network issues and diagnoses root cause based on dynamically programable policies / ML, but requires human confirmation
C) The system can demarcate network issues and diagnoses root cause based on predefined rules.
D) Locating problems and analyzing the root causes of network problems based on expertise.</t>
  </si>
  <si>
    <t>A) The system intelligently generates network optimization solutions (considering of the coordination of multiple network adjusting actions).The system is also capable of generating solutions in real time based on changes in network traffic and performance.
B) The system intelligently generates network optimization solutions (considering of the coordination of multiple network adjusting actions). The system is also capable of generating solutions in non-real time based on changes in network traffic and performance
C) The system generates network optimization solutions based on predefined rules.
D) Network optimization solutions are manually proposed based on expertise.</t>
  </si>
  <si>
    <t>Decision</t>
  </si>
  <si>
    <t>A) The system intelligently evaluates and determines the optimal network optimization solution when the recommended solutions are generated.
B) The system automatically evaluates network optimization solutions, but requires human intervention to confirm the optimal solution.
C) The system generates network optimization solutions based on predefined rules, but requires human intervention.
D) Network optimization solutions are evaluated and decided based on manual expertise.</t>
  </si>
  <si>
    <t>Execution</t>
  </si>
  <si>
    <t xml:space="preserve">A) The system automatically implements network adjustment actions and support the capability of performing rollback operations, without human intervention
B) The system implements solution under human supervision.
C) Solution implementation is entirely manual.
</t>
  </si>
  <si>
    <t xml:space="preserve">
High-Value Scenario</t>
  </si>
  <si>
    <t>Weight</t>
  </si>
  <si>
    <t>Option A</t>
  </si>
  <si>
    <t>Option B</t>
  </si>
  <si>
    <t>Option C</t>
  </si>
  <si>
    <t>Option D</t>
  </si>
  <si>
    <t>Sub-Scenario (the detailed definition see guideline sheet)</t>
  </si>
  <si>
    <t xml:space="preserve">compliance with standards
Y/N
</t>
  </si>
  <si>
    <t xml:space="preserve">Source of the standard
</t>
  </si>
  <si>
    <t xml:space="preserve">Interpretating on question
</t>
  </si>
  <si>
    <t xml:space="preserve">Understanding of selecting the option
</t>
  </si>
  <si>
    <t>Capacity</t>
  </si>
  <si>
    <t>Interference</t>
  </si>
  <si>
    <t>Coverage Structure</t>
  </si>
  <si>
    <t>RAN Voice KPIs (including but not limited to KPIs related to EPS fallback handover.)</t>
  </si>
  <si>
    <t>RAN Awareness-related KPIs (including but not limited to KPIs related to delay and throughput, which aligned with the Integrity KPIs defined in 3GPP specifications )</t>
  </si>
  <si>
    <t xml:space="preserve">Basic RAN KPIs (including but not limited to KPIs related to Accessibility , Mobility and Retainability) </t>
  </si>
  <si>
    <t xml:space="preserve">RAN Network Quality Optimization 
</t>
  </si>
  <si>
    <t xml:space="preserve">Intent
</t>
  </si>
  <si>
    <t>Intent Translation &amp; Fulfilment evaluation</t>
  </si>
  <si>
    <r>
      <rPr>
        <sz val="12"/>
        <rFont val="Times New Roman Regular"/>
        <charset val="134"/>
      </rPr>
      <t>How does the system translate the RAN network optimization intent into the RAN network optimization related control information and evaluate the RAN  network optimization intent fulfilment</t>
    </r>
    <r>
      <rPr>
        <sz val="12"/>
        <rFont val="宋体"/>
        <charset val="134"/>
      </rPr>
      <t>？</t>
    </r>
    <r>
      <rPr>
        <sz val="12"/>
        <rFont val="Times New Roman Regular"/>
        <charset val="134"/>
      </rPr>
      <t xml:space="preserve"> 
Note: RAN network optimization intent includes multiple targets for specified areas.
RAN network optimization control information includes RAN network optimization policies (e.g.  adjusting base station parameters,  load balancing)</t>
    </r>
  </si>
  <si>
    <t>The system can intelligently generate the network optimization related control information. The system can intelligently evaluate Intent fulfillment.</t>
  </si>
  <si>
    <t xml:space="preserve">The system generates the network optimization related control information based on predefined rules and Policies. Intent fulfillment is manually evaluated.
</t>
  </si>
  <si>
    <t>Manually define the network optimization related control information based on expertise. Human manually evaluate the effect after the intention is implemented,assisted by tools and system.</t>
  </si>
  <si>
    <t>Manually set the network optimization related control information.</t>
  </si>
  <si>
    <t>A</t>
  </si>
  <si>
    <t>Y</t>
  </si>
  <si>
    <t xml:space="preserve">3GPP TS 28.100 7.1.1
Intent handling:
- Task A: Network optimization control information generation and determination. The tasks of generating and determining the network optimization related control information (e.g., control information for network issue identification, network issue analysis and network parameters adjustment) based on received network optimization intent (e.g. network targets for the specified areas).
- Task B: Network optimization intent fulfilment evaluation. The tasks of evaluating network optimization intent fulfilment information (e.g. corresponding network targets are satisfied or not).
</t>
  </si>
  <si>
    <t xml:space="preserve">Awareness
</t>
  </si>
  <si>
    <t>RAN Network Information Collection</t>
  </si>
  <si>
    <t xml:space="preserve">How does the system collects data?
Note:
Data includes network performance data (e.g., performance measurement, MR data, MDT data), service experience data if needed, network configuration data, alarm data and environment data (e.g., electronic map, site location).
</t>
  </si>
  <si>
    <t xml:space="preserve">The system can automatically collect and process data (e.g., data cleaning, missing data imputation)
Note: the network performance data needs to be collected in the granularity of cell and UE. The service experience data needs to be collected in the granularity of service 
</t>
  </si>
  <si>
    <t xml:space="preserve">The system can automatically collect and process data (e.g., data cleaning, missing data imputation) based on manually defined rules.
</t>
  </si>
  <si>
    <t xml:space="preserve">Manually select and use the system to collect and process data 
</t>
  </si>
  <si>
    <t>3GPP TS 28.100 7.1.1
Awareness:
- Task C: Network related information collection. The tasks of collecting network related data, including network performance data (i.e. performance measurement, MDT data), network configuration data and environment data (e.g. electronic map)).</t>
  </si>
  <si>
    <t xml:space="preserve">Analysis
</t>
  </si>
  <si>
    <t xml:space="preserve">RAN Network Issue Identification &amp; Performance Deterioration Prediction
</t>
  </si>
  <si>
    <t xml:space="preserve">How does the system identifies RAN network performance / and service experience  issues (e.g., coverage-related issues, RAN UE throughput-related issues) or predict network performance /service experience deterioration?
</t>
  </si>
  <si>
    <t>The system can intelligently identify RAN network performance / and service experience issues or predict network performance /service experience without human intervention.</t>
  </si>
  <si>
    <t>The system can automatically identify network issues or predict network performance. Manual confirmation is required.</t>
  </si>
  <si>
    <t xml:space="preserve">The system can identify network issues or predict network performance based on predefined rules.
</t>
  </si>
  <si>
    <t xml:space="preserve">Manually identify RAN network problems or predict network performance based on expertise.
</t>
  </si>
  <si>
    <t xml:space="preserve">3GPP TS 28.100 7.1.1
Analysis:
- Task D: Network issues identification. The tasks of analyzing the network performance (e.g. geographical grid based network performance) and identifying whether there are network issues (e.g. coverage related issues, RAN UE throughput related issues).
- Task E: Network deterioration prediction. The tasks of analyzing current network performance and historical network performance, predicting the network performance trend in the future and identifying potential network performance deterioration in advance.
</t>
  </si>
  <si>
    <t xml:space="preserve">Issue Demarcation &amp; Root Cause Analysis
</t>
  </si>
  <si>
    <t>How does the system perform problem demarcation and root cause diagnosis?
Note: The root causes including but not limited to: Weak coverage, high load, inference and equipment fault.</t>
  </si>
  <si>
    <t xml:space="preserve">The system intelligently demarcates issues and diagnoses root cause when the RAN network performance and service experience issue identified or performance deterioration predicted
</t>
  </si>
  <si>
    <t xml:space="preserve">The system can demarcate network issues and diagnoses root cause based on dynamically programable policies / ML, but requires human confirmation
</t>
  </si>
  <si>
    <t xml:space="preserve">The system can demarcate network issues and diagnoses root cause based on predefined rules.
</t>
  </si>
  <si>
    <t xml:space="preserve">Locating problems and analyzing the root causes of network problems based on expertise.
</t>
  </si>
  <si>
    <t xml:space="preserve">Analysis:
- Task F: Network issue demarcation. The tasks of analyze the network issue and determine the network issue categories (e.g. weak coverage, high load, low throughput).
- Task G: Network issue root cause analysis. The tasks of analyzing the root cause (i.e. the location for the issue occurs and the cause for the issue) of the identified or predicted network issues.
</t>
  </si>
  <si>
    <t xml:space="preserve">Adjustment Solutions Generating 
</t>
  </si>
  <si>
    <t>How does the system generate the recommended network adjustment solutions (including a set of network adjusting actions) to solve the identified or and predicted network performance or service experience issues?
Note: network adjustment solutions including but not limited to L2/L3 configuration parameters, RF parameters, 5QI related service configuration parameters.</t>
  </si>
  <si>
    <t xml:space="preserve">The system intelligently generates network optimization solutions (considering of the coordination of multiple network adjusting actions).
The system is also capable of generating solutions in real time based on changes in network traffic and performance.
</t>
  </si>
  <si>
    <t xml:space="preserve">The system intelligently generates network optimization solutions (considering of the coordination of multiple network adjusting actions).
The system is also capable of generating solutions in non-real time based on changes in network traffic and performance
</t>
  </si>
  <si>
    <t xml:space="preserve">
The system generates network optimization solutions based on predefined rules.
</t>
  </si>
  <si>
    <t xml:space="preserve">
Network optimization solutions are manually proposed based on expertise.
</t>
  </si>
  <si>
    <t>Analysis:
- Task H: Network adjustment solutions analysis. The tasks of generating the recommended network adjustment solution which can address the identified or predicted network issues.</t>
  </si>
  <si>
    <t xml:space="preserve">Decision
</t>
  </si>
  <si>
    <t xml:space="preserve">Solution Evaluation &amp; Determination
</t>
  </si>
  <si>
    <t>How does the RAN network optimization system have the capability of automatically evaluating network optimization solutions and determining the best solution to implement?</t>
  </si>
  <si>
    <t xml:space="preserve">The system intelligently evaluates and determines the optimal network optimization solution when the recommended solutions are generated.
</t>
  </si>
  <si>
    <t xml:space="preserve">The system automatically evaluates network optimization solutions, but requires human intervention to confirm the optimal solution.
</t>
  </si>
  <si>
    <t xml:space="preserve">
The system generates network optimization solutions based on predefined rules, but requires human intervention.
</t>
  </si>
  <si>
    <t xml:space="preserve">Network optimization solutions  are evaluated and decided based on manual expertise.
</t>
  </si>
  <si>
    <t xml:space="preserve">3GPP TS 28.100 7.1.1
Decision:
- Task I: Network adjustment solutions evaluation and determination. The tasks of evaluating the recommended network adjustment solutions, and deciding the network adjustment solutions to be executed. 
</t>
  </si>
  <si>
    <t xml:space="preserve">Execution
</t>
  </si>
  <si>
    <t xml:space="preserve">Solution implementation
</t>
  </si>
  <si>
    <t>How does the RAN network optimization system have the capability of executing the network adjustment solutions (e.g., adjusting and configuring the network parameters)? 
Note: network parameters including but not limited to L2/L3 configuration parameters, RF parameters, 5QI related service configuration parameters.</t>
  </si>
  <si>
    <t>The System automatically implements network adjustment actions and support the capability of performing rollback operations, without human intervention</t>
  </si>
  <si>
    <t>The system implements solution under human supervision.</t>
  </si>
  <si>
    <t>Solution implementation is entirely manual.</t>
  </si>
  <si>
    <t>3GPP TS 28.100 7.1.1
Execution:
- Task J: Network adjustment solutions execution. The tasks of adjusting and configuring the network configuration parameters.</t>
  </si>
  <si>
    <t>Effective Indicator</t>
  </si>
  <si>
    <t>Description</t>
  </si>
  <si>
    <t>OptionD</t>
  </si>
  <si>
    <t>Answer</t>
  </si>
  <si>
    <t xml:space="preserve">Work Order Automatic Optimization Duration
</t>
  </si>
  <si>
    <r>
      <rPr>
        <sz val="12"/>
        <color theme="1"/>
        <rFont val="Times New Roman"/>
        <family val="1"/>
      </rPr>
      <t>What is the average time required for optimization when network quality issues occur.
Calculation formula:
Work Order Automatic Optimization Duration =</t>
    </r>
    <r>
      <rPr>
        <sz val="12"/>
        <color theme="1"/>
        <rFont val="宋体"/>
        <charset val="134"/>
      </rPr>
      <t>（</t>
    </r>
    <r>
      <rPr>
        <sz val="12"/>
        <color theme="1"/>
        <rFont val="Times New Roman"/>
        <family val="1"/>
      </rPr>
      <t>The total time taken from the creation to prior to submission for evaluation of all closed-loop optimization work orders resolved by the automatic network optimization capability within the statistical period ÷ All closed-loop optimization work orders resolved by the automatic network optimization capability</t>
    </r>
    <r>
      <rPr>
        <sz val="12"/>
        <color theme="1"/>
        <rFont val="宋体"/>
        <charset val="134"/>
      </rPr>
      <t>）</t>
    </r>
    <r>
      <rPr>
        <sz val="12"/>
        <color theme="1"/>
        <rFont val="Times New Roman"/>
        <family val="1"/>
      </rPr>
      <t>× 100%
Information for Calculation:
CSP provide All closed-loop optimization work orders resolved by the automatic network optimization capability over one month, each of the optimization work order needs to record the creation time and the time prior to submission for evaluation.</t>
    </r>
  </si>
  <si>
    <t>&lt;=4 hours</t>
  </si>
  <si>
    <t xml:space="preserve">&lt;=24 hours
&gt;4hours
</t>
  </si>
  <si>
    <t>&gt;24 hours</t>
  </si>
  <si>
    <t xml:space="preserve">Optimize Work Order Automation Rate
</t>
  </si>
  <si>
    <t>What is the proportion of optimization work order without on-site visit rate through Automatic Network Optimization capabilities.
Calculation formula:
Optimize Work Order Automation Rate =  (Number of all closed-loop optimization work orders resolved by the automatic network optimization capability ÷ Total number of optimization work order) × 100%.
Information for Calculation:
CSP provide the optimization work orders over one month, each of the optimization work order needs to record the information processed at each step.</t>
  </si>
  <si>
    <t>&gt;=25%</t>
  </si>
  <si>
    <t>&lt;25%
&gt;=15%</t>
  </si>
  <si>
    <t>&lt;15%</t>
  </si>
  <si>
    <t xml:space="preserve">Note: the proposed values for Effective Indicators above are intended for pilot use. </t>
  </si>
  <si>
    <t xml:space="preserve">High-Value Scenario
</t>
  </si>
  <si>
    <t xml:space="preserve">Cognitive Activity (IAADE)
</t>
  </si>
  <si>
    <t xml:space="preserve">Service Capability
</t>
  </si>
  <si>
    <t xml:space="preserve">Weight
</t>
  </si>
  <si>
    <t>Method 1: Average (Official use)</t>
  </si>
  <si>
    <t>Criteria</t>
  </si>
  <si>
    <t>Capability final score</t>
  </si>
  <si>
    <r>
      <rPr>
        <b/>
        <sz val="11"/>
        <color rgb="FF000000"/>
        <rFont val="Arial"/>
        <family val="2"/>
      </rPr>
      <t>Option A</t>
    </r>
  </si>
  <si>
    <r>
      <rPr>
        <b/>
        <sz val="11"/>
        <color rgb="FF000000"/>
        <rFont val="Arial"/>
        <family val="2"/>
      </rPr>
      <t>Option B</t>
    </r>
  </si>
  <si>
    <r>
      <rPr>
        <b/>
        <sz val="11"/>
        <color rgb="FF000000"/>
        <rFont val="Arial"/>
        <family val="2"/>
      </rPr>
      <t>Option C</t>
    </r>
  </si>
  <si>
    <r>
      <rPr>
        <b/>
        <sz val="11"/>
        <color rgb="FF000000"/>
        <rFont val="Arial"/>
        <family val="2"/>
      </rPr>
      <t>Option D</t>
    </r>
  </si>
  <si>
    <t xml:space="preserve">RAN Voice KPIs </t>
  </si>
  <si>
    <t>RAN Awareness-related KPIs</t>
  </si>
  <si>
    <t>Basic network KPIs</t>
  </si>
  <si>
    <t>Original 
score</t>
  </si>
  <si>
    <t>Compensated score</t>
  </si>
  <si>
    <t>Overall
Score</t>
  </si>
  <si>
    <t>Score</t>
  </si>
  <si>
    <t>Effective Indicator Final Score</t>
  </si>
  <si>
    <t xml:space="preserve">What is the average time required for optimization when network quality issues occur.
</t>
  </si>
  <si>
    <t>What is the proportion of optimization work order without on-site visit rate through Automatic Network Optimization capabilities.</t>
  </si>
  <si>
    <t>High Value Scenario Capability Score</t>
  </si>
  <si>
    <t>High Value Scenario Effective Indicator Score</t>
  </si>
  <si>
    <t>Kevin McDonnell</t>
  </si>
  <si>
    <t>Huawei</t>
  </si>
  <si>
    <t>Project Chair</t>
  </si>
  <si>
    <t>Pedro Garcia Parra</t>
  </si>
  <si>
    <t>Telefónica</t>
  </si>
  <si>
    <t>Project Co-Chair</t>
  </si>
  <si>
    <t xml:space="preserve">Fernando Camacho </t>
  </si>
  <si>
    <t>Wenyan Jin</t>
  </si>
  <si>
    <t>China Mobile</t>
  </si>
  <si>
    <t>Author</t>
  </si>
  <si>
    <t>Feng Gao</t>
  </si>
  <si>
    <t>China Mobile Group Design Institute Co., Ltd.</t>
  </si>
  <si>
    <t>Ruowei Yin</t>
  </si>
  <si>
    <t>Nan Cheng</t>
  </si>
  <si>
    <t>Ruiyue Xu</t>
  </si>
  <si>
    <t>Liang Xu</t>
  </si>
  <si>
    <t>Key Contributor</t>
  </si>
  <si>
    <t>Chunjie Feng</t>
  </si>
  <si>
    <t>Hui Jia</t>
  </si>
  <si>
    <t>Wei Feng</t>
  </si>
  <si>
    <t>Jinbo Wang</t>
  </si>
  <si>
    <t>Xingzheng Li</t>
  </si>
  <si>
    <t>Pengcheng Liu</t>
  </si>
  <si>
    <t>Fang Fang</t>
  </si>
  <si>
    <t>Haowei Wang</t>
  </si>
  <si>
    <t>Yanfeng Sui</t>
  </si>
  <si>
    <t>Xingang Song</t>
  </si>
  <si>
    <t>Ning Ma</t>
  </si>
  <si>
    <t>Lin Wang</t>
  </si>
  <si>
    <t>Wentao Zhu</t>
  </si>
  <si>
    <t>Ao Shen</t>
  </si>
  <si>
    <t>Shouzhi Li</t>
  </si>
  <si>
    <t>Tong Liang</t>
  </si>
  <si>
    <t>Xiao Dong</t>
  </si>
  <si>
    <t>Feng Luo</t>
  </si>
  <si>
    <t>Xuefeng Han</t>
  </si>
  <si>
    <t>Menghong Cheng</t>
  </si>
  <si>
    <t>Ruopei Guo</t>
  </si>
  <si>
    <t>Wenzhang Ren</t>
  </si>
  <si>
    <t>Yunhe Wu</t>
  </si>
  <si>
    <t xml:space="preserve">Tony Salim </t>
  </si>
  <si>
    <t>Ericsson</t>
  </si>
  <si>
    <t>Joonyoung Kang</t>
  </si>
  <si>
    <t>LG Uplus</t>
  </si>
  <si>
    <t>Jaehyun Ahn</t>
  </si>
  <si>
    <t>Asser EL NAHAS</t>
  </si>
  <si>
    <t>Orange</t>
  </si>
  <si>
    <t>TM Forum</t>
  </si>
  <si>
    <t>Reviewer, Editor</t>
  </si>
  <si>
    <t>Karen Salvatierra</t>
  </si>
  <si>
    <t>Entel</t>
  </si>
  <si>
    <t xml:space="preserve">Sannah Sibaya </t>
  </si>
  <si>
    <t>Nikos Kontis</t>
  </si>
  <si>
    <t>Javier Liebana</t>
  </si>
  <si>
    <t>This document was prepared by the members of the Autonomous Networks Levels Evaluation team.</t>
  </si>
  <si>
    <t>Sannah Sibaya</t>
  </si>
  <si>
    <t>Initial Release</t>
  </si>
  <si>
    <t>Version 1.1.0</t>
  </si>
  <si>
    <t>1.1.0</t>
  </si>
  <si>
    <t>Maturity Level: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</si>
</sst>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_ "/>
  </numFmts>
  <fonts count="71">
    <font>
      <sz val="11"/>
      <color rgb="FF000000"/>
      <name val="Verdana"/>
    </font>
    <font>
      <sz val="11"/>
      <color theme="1"/>
      <name val="Calibri"/>
      <family val="2"/>
      <scheme val="minor"/>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b/>
      <sz val="28"/>
      <color rgb="FFC00000"/>
      <name val="Georgia"/>
      <family val="1"/>
    </font>
    <font>
      <u/>
      <sz val="11"/>
      <color theme="10"/>
      <name val="Verdana"/>
      <family val="2"/>
    </font>
    <font>
      <b/>
      <sz val="28"/>
      <color rgb="FFC00000"/>
      <name val="Aptos"/>
      <family val="2"/>
    </font>
    <font>
      <sz val="10"/>
      <color theme="1"/>
      <name val="Aptos"/>
      <family val="2"/>
    </font>
    <font>
      <sz val="10"/>
      <color rgb="FF000000"/>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sz val="11"/>
      <color theme="1"/>
      <name val="Aptos"/>
      <family val="2"/>
    </font>
    <font>
      <u/>
      <sz val="11"/>
      <color theme="10"/>
      <name val="Aptos"/>
      <family val="2"/>
    </font>
    <font>
      <sz val="12"/>
      <color rgb="FF000000"/>
      <name val="Aptos"/>
      <family val="2"/>
    </font>
    <font>
      <sz val="12"/>
      <color theme="1"/>
      <name val="Aptos"/>
      <family val="2"/>
    </font>
    <font>
      <u/>
      <sz val="12"/>
      <color theme="10"/>
      <name val="Aptos"/>
      <family val="2"/>
    </font>
    <font>
      <b/>
      <sz val="20"/>
      <color rgb="FFC00000"/>
      <name val="Aptos"/>
      <family val="2"/>
    </font>
    <font>
      <b/>
      <sz val="12"/>
      <color rgb="FFC00000"/>
      <name val="Aptos"/>
      <family val="2"/>
    </font>
    <font>
      <sz val="10"/>
      <name val="Aptos"/>
      <family val="2"/>
    </font>
    <font>
      <b/>
      <sz val="11"/>
      <color rgb="FF000000"/>
      <name val="Aptos"/>
      <family val="2"/>
    </font>
    <font>
      <sz val="12"/>
      <name val="Aptos"/>
      <family val="2"/>
    </font>
    <font>
      <b/>
      <sz val="12"/>
      <color rgb="FF000000"/>
      <name val="Aptos"/>
      <family val="2"/>
    </font>
    <font>
      <b/>
      <sz val="10"/>
      <color rgb="FF000000"/>
      <name val="Aptos"/>
      <family val="2"/>
    </font>
    <font>
      <sz val="12"/>
      <color theme="10"/>
      <name val="Aptos"/>
      <family val="2"/>
    </font>
    <font>
      <sz val="11"/>
      <color rgb="FFFF0000"/>
      <name val="Calibri"/>
      <family val="2"/>
      <scheme val="minor"/>
    </font>
    <font>
      <b/>
      <sz val="11"/>
      <color theme="1"/>
      <name val="Calibri"/>
      <family val="2"/>
      <scheme val="minor"/>
    </font>
    <font>
      <b/>
      <sz val="32"/>
      <color rgb="FF404040"/>
      <name val="Aptos"/>
      <family val="2"/>
    </font>
    <font>
      <sz val="11"/>
      <color indexed="8"/>
      <name val="Calibri"/>
      <family val="2"/>
      <scheme val="minor"/>
    </font>
    <font>
      <b/>
      <sz val="11"/>
      <color rgb="FF000000"/>
      <name val="等线"/>
      <charset val="134"/>
    </font>
    <font>
      <sz val="11"/>
      <color rgb="FF000000"/>
      <name val="等线"/>
      <charset val="134"/>
    </font>
    <font>
      <sz val="9"/>
      <color theme="1"/>
      <name val="Calibri"/>
      <family val="2"/>
      <scheme val="minor"/>
    </font>
    <font>
      <b/>
      <sz val="9"/>
      <color theme="0"/>
      <name val="Calibri"/>
      <family val="2"/>
      <scheme val="minor"/>
    </font>
    <font>
      <sz val="9"/>
      <name val="Calibri"/>
      <family val="2"/>
      <scheme val="minor"/>
    </font>
    <font>
      <b/>
      <sz val="9"/>
      <name val="Calibri"/>
      <family val="2"/>
      <scheme val="minor"/>
    </font>
    <font>
      <b/>
      <sz val="9"/>
      <color theme="1"/>
      <name val="Arial"/>
      <family val="2"/>
    </font>
    <font>
      <b/>
      <sz val="9"/>
      <color theme="0"/>
      <name val="Arial"/>
      <family val="2"/>
    </font>
    <font>
      <b/>
      <sz val="9"/>
      <color theme="1"/>
      <name val="宋体"/>
      <charset val="134"/>
    </font>
    <font>
      <b/>
      <sz val="9"/>
      <color theme="1"/>
      <name val="Calibri"/>
      <family val="2"/>
      <scheme val="minor"/>
    </font>
    <font>
      <sz val="10"/>
      <name val="宋体"/>
      <charset val="134"/>
    </font>
    <font>
      <sz val="10"/>
      <color theme="1"/>
      <name val="宋体"/>
      <charset val="134"/>
    </font>
    <font>
      <b/>
      <sz val="12"/>
      <name val="Times New Roman Regular"/>
      <charset val="134"/>
    </font>
    <font>
      <sz val="12"/>
      <name val="Times New Roman Regular"/>
      <charset val="134"/>
    </font>
    <font>
      <sz val="12"/>
      <name val="宋体"/>
      <charset val="134"/>
    </font>
    <font>
      <sz val="10"/>
      <color theme="1"/>
      <name val="微软雅黑"/>
      <charset val="134"/>
    </font>
    <font>
      <sz val="10"/>
      <name val="微软雅黑"/>
      <charset val="134"/>
    </font>
    <font>
      <b/>
      <sz val="12"/>
      <color rgb="FF000000"/>
      <name val="Times New Roman Bold"/>
      <charset val="134"/>
    </font>
    <font>
      <b/>
      <sz val="12"/>
      <name val="Times New Roman Bold"/>
      <charset val="134"/>
    </font>
    <font>
      <sz val="12"/>
      <color theme="1"/>
      <name val="Times New Roman"/>
      <family val="1"/>
    </font>
    <font>
      <sz val="12"/>
      <color theme="1"/>
      <name val="宋体"/>
      <charset val="134"/>
    </font>
    <font>
      <sz val="12"/>
      <name val="Times New Roman"/>
      <family val="1"/>
    </font>
    <font>
      <sz val="12"/>
      <name val="Times New Roman Bold"/>
      <charset val="134"/>
    </font>
    <font>
      <sz val="11"/>
      <name val="Calibri"/>
      <family val="2"/>
      <scheme val="minor"/>
    </font>
    <font>
      <sz val="10"/>
      <color theme="1"/>
      <name val="Cambria"/>
      <family val="1"/>
    </font>
    <font>
      <b/>
      <sz val="11"/>
      <color theme="1"/>
      <name val="Arial"/>
      <family val="2"/>
    </font>
    <font>
      <b/>
      <sz val="10"/>
      <color theme="1"/>
      <name val="Arial Regular"/>
      <charset val="134"/>
    </font>
    <font>
      <b/>
      <sz val="11"/>
      <color rgb="FF0070C0"/>
      <name val="Arial"/>
      <family val="2"/>
    </font>
    <font>
      <b/>
      <sz val="10"/>
      <color rgb="FF000000"/>
      <name val="Arial"/>
      <family val="2"/>
    </font>
    <font>
      <b/>
      <sz val="11"/>
      <color rgb="FF000000"/>
      <name val="Arial"/>
      <family val="2"/>
    </font>
    <font>
      <sz val="10"/>
      <name val="Arial Regular"/>
      <charset val="134"/>
    </font>
    <font>
      <sz val="10"/>
      <color theme="1"/>
      <name val="Arial Regular"/>
      <charset val="134"/>
    </font>
    <font>
      <sz val="11"/>
      <color rgb="FF000000"/>
      <name val="宋体"/>
      <charset val="134"/>
    </font>
    <font>
      <sz val="10"/>
      <color rgb="FF000000"/>
      <name val="Arial"/>
      <family val="2"/>
    </font>
    <font>
      <b/>
      <sz val="11"/>
      <color rgb="FF000000"/>
      <name val="宋体"/>
      <charset val="134"/>
    </font>
    <font>
      <b/>
      <sz val="10"/>
      <color rgb="FF0070C0"/>
      <name val="Arial"/>
      <family val="2"/>
    </font>
    <font>
      <b/>
      <sz val="10"/>
      <color theme="1"/>
      <name val="Arial"/>
      <family val="2"/>
    </font>
    <font>
      <b/>
      <sz val="18"/>
      <color rgb="FFFF0000"/>
      <name val="Calibri"/>
      <family val="2"/>
      <scheme val="minor"/>
    </font>
  </fonts>
  <fills count="31">
    <fill>
      <patternFill patternType="none"/>
    </fill>
    <fill>
      <patternFill patternType="gray125"/>
    </fill>
    <fill>
      <patternFill patternType="solid">
        <fgColor theme="0" tint="-4.9989318521683403E-2"/>
        <bgColor indexed="64"/>
      </patternFill>
    </fill>
    <fill>
      <patternFill patternType="solid">
        <fgColor rgb="FFF4F5F7"/>
        <bgColor indexed="64"/>
      </patternFill>
    </fill>
    <fill>
      <patternFill patternType="solid">
        <fgColor theme="0"/>
        <bgColor indexed="64"/>
      </patternFill>
    </fill>
    <fill>
      <patternFill patternType="solid">
        <fgColor theme="4"/>
        <bgColor indexed="64"/>
      </patternFill>
    </fill>
    <fill>
      <patternFill patternType="solid">
        <fgColor theme="4" tint="0.59999389629810485"/>
        <bgColor indexed="64"/>
      </patternFill>
    </fill>
    <fill>
      <patternFill patternType="solid">
        <fgColor rgb="FFB4C6E7"/>
        <bgColor indexed="64"/>
      </patternFill>
    </fill>
    <fill>
      <patternFill patternType="solid">
        <fgColor theme="8" tint="0.59999389629810485"/>
        <bgColor indexed="64"/>
      </patternFill>
    </fill>
    <fill>
      <patternFill patternType="solid">
        <fgColor theme="9" tint="0.79970702230903046"/>
        <bgColor indexed="64"/>
      </patternFill>
    </fill>
    <fill>
      <patternFill patternType="solid">
        <fgColor theme="4" tint="0.39976195562608724"/>
        <bgColor indexed="64"/>
      </patternFill>
    </fill>
    <fill>
      <patternFill patternType="solid">
        <fgColor theme="6" tint="0.79985961485641044"/>
        <bgColor indexed="64"/>
      </patternFill>
    </fill>
    <fill>
      <patternFill patternType="solid">
        <fgColor theme="7" tint="0.79973754081850645"/>
        <bgColor indexed="64"/>
      </patternFill>
    </fill>
    <fill>
      <patternFill patternType="solid">
        <fgColor theme="4" tint="0.39991454817346722"/>
        <bgColor indexed="64"/>
      </patternFill>
    </fill>
    <fill>
      <patternFill patternType="solid">
        <fgColor theme="8" tint="0.79970702230903046"/>
        <bgColor indexed="64"/>
      </patternFill>
    </fill>
    <fill>
      <patternFill patternType="solid">
        <fgColor theme="8" tint="0.79973754081850645"/>
        <bgColor indexed="64"/>
      </patternFill>
    </fill>
    <fill>
      <patternFill patternType="solid">
        <fgColor rgb="FFB7DEE8"/>
        <bgColor indexed="64"/>
      </patternFill>
    </fill>
    <fill>
      <patternFill patternType="solid">
        <fgColor rgb="FFFDE9D9"/>
        <bgColor indexed="64"/>
      </patternFill>
    </fill>
    <fill>
      <patternFill patternType="solid">
        <fgColor rgb="FFFDE9D9"/>
        <bgColor rgb="FF000000"/>
      </patternFill>
    </fill>
    <fill>
      <patternFill patternType="solid">
        <fgColor theme="5" tint="0.59999389629810485"/>
        <bgColor rgb="FF000000"/>
      </patternFill>
    </fill>
    <fill>
      <patternFill patternType="solid">
        <fgColor theme="4" tint="0.79992065187536243"/>
        <bgColor rgb="FF000000"/>
      </patternFill>
    </fill>
    <fill>
      <patternFill patternType="solid">
        <fgColor theme="7" tint="0.79992065187536243"/>
        <bgColor rgb="FF000000"/>
      </patternFill>
    </fill>
    <fill>
      <patternFill patternType="solid">
        <fgColor theme="9" tint="0.79992065187536243"/>
        <bgColor rgb="FF000000"/>
      </patternFill>
    </fill>
    <fill>
      <patternFill patternType="solid">
        <fgColor theme="8" tint="0.59999389629810485"/>
        <bgColor rgb="FF000000"/>
      </patternFill>
    </fill>
    <fill>
      <patternFill patternType="solid">
        <fgColor theme="9" tint="0.59999389629810485"/>
        <bgColor rgb="FF000000"/>
      </patternFill>
    </fill>
    <fill>
      <patternFill patternType="solid">
        <fgColor theme="5" tint="0.39991454817346722"/>
        <bgColor rgb="FF000000"/>
      </patternFill>
    </fill>
    <fill>
      <patternFill patternType="solid">
        <fgColor theme="5" tint="0.39991454817346722"/>
        <bgColor indexed="64"/>
      </patternFill>
    </fill>
    <fill>
      <patternFill patternType="solid">
        <fgColor theme="5" tint="0.79976805932798245"/>
        <bgColor indexed="64"/>
      </patternFill>
    </fill>
    <fill>
      <patternFill patternType="solid">
        <fgColor theme="2"/>
        <bgColor indexed="64"/>
      </patternFill>
    </fill>
    <fill>
      <patternFill patternType="solid">
        <fgColor theme="8" tint="0.79985961485641044"/>
        <bgColor indexed="64"/>
      </patternFill>
    </fill>
    <fill>
      <patternFill patternType="solid">
        <fgColor rgb="FFFFC000"/>
        <bgColor rgb="FF000000"/>
      </patternFill>
    </fill>
  </fills>
  <borders count="41">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1D1D1A"/>
      </left>
      <right/>
      <top style="thin">
        <color rgb="FF1D1D1A"/>
      </top>
      <bottom style="thin">
        <color auto="1"/>
      </bottom>
      <diagonal/>
    </border>
    <border>
      <left/>
      <right/>
      <top style="thin">
        <color rgb="FF1D1D1A"/>
      </top>
      <bottom style="thin">
        <color auto="1"/>
      </bottom>
      <diagonal/>
    </border>
    <border>
      <left/>
      <right style="thin">
        <color rgb="FF1D1D1A"/>
      </right>
      <top style="thin">
        <color rgb="FF1D1D1A"/>
      </top>
      <bottom style="thin">
        <color auto="1"/>
      </bottom>
      <diagonal/>
    </border>
    <border>
      <left style="thin">
        <color rgb="FF1D1D1A"/>
      </left>
      <right style="thin">
        <color rgb="FF1D1D1A"/>
      </right>
      <top style="thin">
        <color rgb="FF1D1D1A"/>
      </top>
      <bottom style="thin">
        <color rgb="FF1D1D1A"/>
      </bottom>
      <diagonal/>
    </border>
    <border>
      <left style="thin">
        <color rgb="FF1D1D1A"/>
      </left>
      <right/>
      <top style="thin">
        <color rgb="FF1D1D1A"/>
      </top>
      <bottom style="thin">
        <color rgb="FF1D1D1A"/>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s>
  <cellStyleXfs count="12">
    <xf numFmtId="0" fontId="0" fillId="0" borderId="0">
      <alignment horizontal="left" vertical="center" indent="1"/>
    </xf>
    <xf numFmtId="0" fontId="2" fillId="0" borderId="2">
      <alignment vertical="top"/>
    </xf>
    <xf numFmtId="0" fontId="2" fillId="0" borderId="2"/>
    <xf numFmtId="0" fontId="2" fillId="0" borderId="2"/>
    <xf numFmtId="0" fontId="3" fillId="0" borderId="2" applyNumberFormat="0" applyFill="0" applyBorder="0" applyAlignment="0" applyProtection="0"/>
    <xf numFmtId="0" fontId="2" fillId="0" borderId="2">
      <alignment vertical="top"/>
    </xf>
    <xf numFmtId="0" fontId="4" fillId="0" borderId="2"/>
    <xf numFmtId="0" fontId="4" fillId="0" borderId="2"/>
    <xf numFmtId="0" fontId="7" fillId="0" borderId="0" applyNumberFormat="0" applyFill="0" applyBorder="0" applyAlignment="0" applyProtection="0">
      <alignment horizontal="left" vertical="center" indent="1"/>
    </xf>
    <xf numFmtId="0" fontId="32" fillId="0" borderId="2">
      <alignment vertical="center"/>
    </xf>
    <xf numFmtId="0" fontId="1" fillId="0" borderId="2"/>
    <xf numFmtId="9" fontId="32" fillId="0" borderId="2" applyFont="0" applyFill="0" applyBorder="0" applyAlignment="0" applyProtection="0">
      <alignment vertical="center"/>
    </xf>
  </cellStyleXfs>
  <cellXfs count="237">
    <xf numFmtId="0" fontId="0" fillId="0" borderId="0" xfId="0">
      <alignment horizontal="left" vertical="center" indent="1"/>
    </xf>
    <xf numFmtId="0" fontId="4" fillId="0" borderId="2" xfId="6"/>
    <xf numFmtId="0" fontId="5" fillId="0" borderId="2" xfId="6" applyFont="1"/>
    <xf numFmtId="0" fontId="6" fillId="0" borderId="2" xfId="6" applyFont="1" applyAlignment="1">
      <alignment vertical="center" wrapText="1"/>
    </xf>
    <xf numFmtId="0" fontId="9" fillId="0" borderId="2" xfId="6" applyFont="1"/>
    <xf numFmtId="0" fontId="10" fillId="0" borderId="2" xfId="6" applyFont="1"/>
    <xf numFmtId="0" fontId="11" fillId="0" borderId="2" xfId="6" applyFont="1"/>
    <xf numFmtId="0" fontId="13" fillId="0" borderId="1" xfId="6" applyFont="1" applyBorder="1" applyAlignment="1">
      <alignment vertical="top"/>
    </xf>
    <xf numFmtId="0" fontId="12" fillId="0" borderId="4" xfId="6" applyFont="1" applyBorder="1" applyAlignment="1">
      <alignment horizontal="left" vertical="top" wrapText="1"/>
    </xf>
    <xf numFmtId="0" fontId="12" fillId="0" borderId="3" xfId="6" applyFont="1" applyBorder="1" applyAlignment="1">
      <alignment horizontal="left" vertical="top" wrapText="1"/>
    </xf>
    <xf numFmtId="0" fontId="9" fillId="0" borderId="2" xfId="6" applyFont="1" applyAlignment="1">
      <alignment horizontal="left"/>
    </xf>
    <xf numFmtId="0" fontId="9" fillId="0" borderId="2" xfId="6" applyFont="1" applyAlignment="1">
      <alignment vertical="top" wrapText="1"/>
    </xf>
    <xf numFmtId="0" fontId="14" fillId="0" borderId="2" xfId="6" applyFont="1" applyAlignment="1">
      <alignment vertical="top" wrapText="1"/>
    </xf>
    <xf numFmtId="0" fontId="15" fillId="0" borderId="2" xfId="6" applyFont="1" applyAlignment="1">
      <alignment vertical="top" wrapText="1"/>
    </xf>
    <xf numFmtId="0" fontId="9" fillId="0" borderId="2" xfId="6" applyFont="1" applyAlignment="1">
      <alignment wrapText="1"/>
    </xf>
    <xf numFmtId="0" fontId="16" fillId="0" borderId="2" xfId="6" applyFont="1" applyAlignment="1">
      <alignment vertical="top" wrapText="1"/>
    </xf>
    <xf numFmtId="0" fontId="17" fillId="0" borderId="2" xfId="6" applyFont="1" applyAlignment="1">
      <alignment vertical="top"/>
    </xf>
    <xf numFmtId="0" fontId="18" fillId="0" borderId="2" xfId="6" applyFont="1" applyAlignment="1">
      <alignment vertical="top"/>
    </xf>
    <xf numFmtId="0" fontId="19" fillId="0" borderId="2" xfId="6" applyFont="1" applyAlignment="1">
      <alignment wrapText="1"/>
    </xf>
    <xf numFmtId="0" fontId="18" fillId="0" borderId="2" xfId="6" applyFont="1"/>
    <xf numFmtId="0" fontId="20" fillId="0" borderId="2" xfId="6" applyFont="1" applyAlignment="1">
      <alignment vertical="top"/>
    </xf>
    <xf numFmtId="0" fontId="13" fillId="0" borderId="2" xfId="6" applyFont="1" applyAlignment="1">
      <alignment vertical="center" wrapText="1"/>
    </xf>
    <xf numFmtId="0" fontId="10" fillId="0" borderId="2" xfId="6" applyFont="1" applyAlignment="1">
      <alignment wrapText="1"/>
    </xf>
    <xf numFmtId="0" fontId="18" fillId="0" borderId="2" xfId="6" applyFont="1" applyAlignment="1">
      <alignment wrapText="1"/>
    </xf>
    <xf numFmtId="0" fontId="18" fillId="0" borderId="7" xfId="6" applyFont="1" applyBorder="1" applyAlignment="1">
      <alignment wrapText="1"/>
    </xf>
    <xf numFmtId="164" fontId="18" fillId="0" borderId="7" xfId="6" applyNumberFormat="1" applyFont="1" applyBorder="1" applyAlignment="1">
      <alignment horizontal="left" wrapText="1"/>
    </xf>
    <xf numFmtId="15" fontId="18" fillId="0" borderId="2" xfId="6" applyNumberFormat="1" applyFont="1" applyAlignment="1">
      <alignment wrapText="1"/>
    </xf>
    <xf numFmtId="0" fontId="18" fillId="0" borderId="6" xfId="6" applyFont="1" applyBorder="1" applyAlignment="1">
      <alignment wrapText="1"/>
    </xf>
    <xf numFmtId="0" fontId="27" fillId="0" borderId="2" xfId="6" applyFont="1"/>
    <xf numFmtId="0" fontId="9" fillId="0" borderId="2" xfId="7" applyFont="1" applyAlignment="1">
      <alignment horizontal="left"/>
    </xf>
    <xf numFmtId="0" fontId="26" fillId="2" borderId="7" xfId="6" applyFont="1" applyFill="1" applyBorder="1" applyAlignment="1">
      <alignment wrapText="1"/>
    </xf>
    <xf numFmtId="0" fontId="26" fillId="2" borderId="6" xfId="6" applyFont="1" applyFill="1" applyBorder="1" applyAlignment="1">
      <alignment wrapText="1"/>
    </xf>
    <xf numFmtId="0" fontId="18" fillId="0" borderId="0" xfId="0" applyFont="1" applyAlignment="1">
      <alignment vertical="center"/>
    </xf>
    <xf numFmtId="0" fontId="24" fillId="3" borderId="7" xfId="0" applyFont="1" applyFill="1" applyBorder="1" applyAlignment="1">
      <alignment horizontal="left" vertical="center" wrapText="1" indent="1"/>
    </xf>
    <xf numFmtId="0" fontId="28" fillId="0" borderId="2" xfId="8" applyFont="1" applyBorder="1" applyAlignment="1">
      <alignment vertical="top" wrapText="1"/>
    </xf>
    <xf numFmtId="0" fontId="18" fillId="0" borderId="2" xfId="6" applyFont="1" applyAlignment="1">
      <alignment vertical="top" wrapText="1"/>
    </xf>
    <xf numFmtId="0" fontId="19" fillId="0" borderId="2" xfId="6" applyFont="1" applyAlignment="1">
      <alignment vertical="top" wrapText="1"/>
    </xf>
    <xf numFmtId="0" fontId="12" fillId="0" borderId="5" xfId="6" applyFont="1" applyBorder="1" applyAlignment="1">
      <alignment vertical="top"/>
    </xf>
    <xf numFmtId="0" fontId="32" fillId="0" borderId="2" xfId="9">
      <alignment vertical="center"/>
    </xf>
    <xf numFmtId="0" fontId="34" fillId="0" borderId="2" xfId="9" applyFont="1">
      <alignment vertical="center"/>
    </xf>
    <xf numFmtId="0" fontId="35" fillId="4" borderId="2" xfId="10" applyFont="1" applyFill="1"/>
    <xf numFmtId="0" fontId="35" fillId="4" borderId="2" xfId="10" applyFont="1" applyFill="1" applyAlignment="1">
      <alignment wrapText="1"/>
    </xf>
    <xf numFmtId="0" fontId="29" fillId="0" borderId="2" xfId="9" applyFont="1">
      <alignment vertical="center"/>
    </xf>
    <xf numFmtId="0" fontId="37" fillId="0" borderId="16" xfId="10" applyFont="1" applyBorder="1"/>
    <xf numFmtId="0" fontId="37" fillId="0" borderId="17" xfId="10" applyFont="1" applyBorder="1"/>
    <xf numFmtId="0" fontId="37" fillId="0" borderId="18" xfId="10" applyFont="1" applyBorder="1"/>
    <xf numFmtId="0" fontId="39" fillId="0" borderId="2" xfId="10" applyFont="1" applyAlignment="1">
      <alignment horizontal="left" vertical="center" wrapText="1"/>
    </xf>
    <xf numFmtId="0" fontId="40" fillId="0" borderId="2" xfId="10" applyFont="1" applyAlignment="1">
      <alignment horizontal="left" vertical="center" wrapText="1"/>
    </xf>
    <xf numFmtId="0" fontId="39" fillId="5" borderId="22" xfId="10" applyFont="1" applyFill="1" applyBorder="1" applyAlignment="1">
      <alignment horizontal="left" vertical="center" wrapText="1"/>
    </xf>
    <xf numFmtId="0" fontId="41" fillId="6" borderId="24" xfId="10" applyFont="1" applyFill="1" applyBorder="1" applyAlignment="1">
      <alignment horizontal="left" vertical="center" wrapText="1"/>
    </xf>
    <xf numFmtId="0" fontId="42" fillId="4" borderId="24" xfId="10" applyFont="1" applyFill="1" applyBorder="1" applyAlignment="1">
      <alignment horizontal="left" vertical="center" wrapText="1"/>
    </xf>
    <xf numFmtId="0" fontId="42" fillId="4" borderId="25" xfId="10" applyFont="1" applyFill="1" applyBorder="1" applyAlignment="1">
      <alignment horizontal="left" vertical="center" wrapText="1"/>
    </xf>
    <xf numFmtId="0" fontId="43" fillId="7" borderId="7" xfId="9" applyFont="1" applyFill="1" applyBorder="1" applyAlignment="1">
      <alignment horizontal="left" vertical="center" wrapText="1"/>
    </xf>
    <xf numFmtId="0" fontId="43" fillId="2" borderId="7" xfId="9" applyFont="1" applyFill="1" applyBorder="1" applyAlignment="1">
      <alignment horizontal="left" vertical="center" wrapText="1"/>
    </xf>
    <xf numFmtId="0" fontId="44" fillId="7" borderId="7" xfId="9" applyFont="1" applyFill="1" applyBorder="1" applyAlignment="1">
      <alignment horizontal="left" vertical="center" wrapText="1"/>
    </xf>
    <xf numFmtId="0" fontId="32" fillId="0" borderId="2" xfId="9" applyAlignment="1">
      <alignment horizontal="center" vertical="center"/>
    </xf>
    <xf numFmtId="0" fontId="45" fillId="10" borderId="7" xfId="9" applyFont="1" applyFill="1" applyBorder="1" applyAlignment="1">
      <alignment horizontal="center" vertical="center" wrapText="1"/>
    </xf>
    <xf numFmtId="9" fontId="45" fillId="13" borderId="7" xfId="9" applyNumberFormat="1" applyFont="1" applyFill="1" applyBorder="1" applyAlignment="1">
      <alignment horizontal="center" vertical="center" wrapText="1"/>
    </xf>
    <xf numFmtId="0" fontId="46" fillId="14" borderId="7" xfId="9" applyFont="1" applyFill="1" applyBorder="1" applyAlignment="1">
      <alignment horizontal="center" vertical="center" wrapText="1"/>
    </xf>
    <xf numFmtId="9" fontId="46" fillId="2" borderId="7" xfId="9" applyNumberFormat="1" applyFont="1" applyFill="1" applyBorder="1" applyAlignment="1">
      <alignment horizontal="center" vertical="center" wrapText="1"/>
    </xf>
    <xf numFmtId="0" fontId="46" fillId="2" borderId="7" xfId="9" applyFont="1" applyFill="1" applyBorder="1" applyAlignment="1">
      <alignment vertical="center" wrapText="1"/>
    </xf>
    <xf numFmtId="0" fontId="46" fillId="2" borderId="7" xfId="9" applyFont="1" applyFill="1" applyBorder="1" applyAlignment="1">
      <alignment horizontal="left" vertical="center" wrapText="1"/>
    </xf>
    <xf numFmtId="0" fontId="46" fillId="0" borderId="7" xfId="9" applyFont="1" applyBorder="1" applyAlignment="1">
      <alignment horizontal="center" vertical="center"/>
    </xf>
    <xf numFmtId="0" fontId="46" fillId="4" borderId="7" xfId="9" applyFont="1" applyFill="1" applyBorder="1" applyAlignment="1">
      <alignment horizontal="center" vertical="center" wrapText="1"/>
    </xf>
    <xf numFmtId="0" fontId="46" fillId="4" borderId="7" xfId="9" applyFont="1" applyFill="1" applyBorder="1" applyAlignment="1">
      <alignment horizontal="left" vertical="center" wrapText="1"/>
    </xf>
    <xf numFmtId="0" fontId="46" fillId="0" borderId="7" xfId="9" applyFont="1" applyBorder="1" applyAlignment="1" applyProtection="1">
      <alignment horizontal="center" vertical="center" wrapText="1"/>
      <protection locked="0"/>
    </xf>
    <xf numFmtId="0" fontId="46" fillId="0" borderId="7" xfId="9" applyFont="1" applyBorder="1" applyAlignment="1" applyProtection="1">
      <alignment horizontal="center" vertical="center"/>
      <protection locked="0"/>
    </xf>
    <xf numFmtId="0" fontId="46" fillId="2" borderId="7" xfId="9" applyFont="1" applyFill="1" applyBorder="1" applyAlignment="1">
      <alignment horizontal="center" vertical="center" wrapText="1"/>
    </xf>
    <xf numFmtId="0" fontId="46" fillId="15" borderId="7" xfId="9" applyFont="1" applyFill="1" applyBorder="1" applyAlignment="1">
      <alignment horizontal="center" vertical="center" wrapText="1"/>
    </xf>
    <xf numFmtId="0" fontId="48" fillId="0" borderId="2" xfId="9" applyFont="1" applyAlignment="1">
      <alignment horizontal="center" vertical="center" wrapText="1"/>
    </xf>
    <xf numFmtId="0" fontId="37" fillId="4" borderId="2" xfId="9" applyFont="1" applyFill="1" applyAlignment="1">
      <alignment horizontal="center" vertical="center"/>
    </xf>
    <xf numFmtId="0" fontId="35" fillId="4" borderId="2" xfId="9" applyFont="1" applyFill="1" applyAlignment="1">
      <alignment horizontal="center" vertical="center"/>
    </xf>
    <xf numFmtId="0" fontId="50" fillId="16" borderId="7" xfId="9" applyFont="1" applyFill="1" applyBorder="1" applyAlignment="1">
      <alignment horizontal="center" vertical="center" wrapText="1" readingOrder="1"/>
    </xf>
    <xf numFmtId="0" fontId="50" fillId="17" borderId="7" xfId="9" applyFont="1" applyFill="1" applyBorder="1" applyAlignment="1">
      <alignment horizontal="center" vertical="center" wrapText="1" readingOrder="1"/>
    </xf>
    <xf numFmtId="0" fontId="51" fillId="13" borderId="7" xfId="9" applyFont="1" applyFill="1" applyBorder="1" applyAlignment="1">
      <alignment horizontal="center" vertical="center" wrapText="1" readingOrder="1"/>
    </xf>
    <xf numFmtId="0" fontId="50" fillId="0" borderId="2" xfId="9" applyFont="1" applyAlignment="1">
      <alignment horizontal="center" vertical="center" wrapText="1" readingOrder="1"/>
    </xf>
    <xf numFmtId="9" fontId="52" fillId="0" borderId="7" xfId="11" applyFont="1" applyFill="1" applyBorder="1" applyAlignment="1">
      <alignment horizontal="center" vertical="center" wrapText="1"/>
    </xf>
    <xf numFmtId="0" fontId="52" fillId="0" borderId="7" xfId="9" applyFont="1" applyBorder="1" applyAlignment="1">
      <alignment horizontal="left" vertical="center" wrapText="1"/>
    </xf>
    <xf numFmtId="9" fontId="54" fillId="0" borderId="7" xfId="9" applyNumberFormat="1" applyFont="1" applyBorder="1" applyAlignment="1">
      <alignment horizontal="center" vertical="center" wrapText="1"/>
    </xf>
    <xf numFmtId="0" fontId="54" fillId="0" borderId="7" xfId="9" applyFont="1" applyBorder="1" applyAlignment="1">
      <alignment horizontal="center" vertical="center" wrapText="1"/>
    </xf>
    <xf numFmtId="0" fontId="54" fillId="0" borderId="7" xfId="9" applyFont="1" applyBorder="1" applyAlignment="1">
      <alignment horizontal="center" vertical="center"/>
    </xf>
    <xf numFmtId="0" fontId="55" fillId="0" borderId="2" xfId="9" applyFont="1" applyAlignment="1">
      <alignment horizontal="center" vertical="center" wrapText="1"/>
    </xf>
    <xf numFmtId="0" fontId="56" fillId="0" borderId="2" xfId="9" applyFont="1" applyAlignment="1">
      <alignment horizontal="center" vertical="center"/>
    </xf>
    <xf numFmtId="0" fontId="48" fillId="0" borderId="2" xfId="9" applyFont="1" applyAlignment="1">
      <alignment horizontal="left" wrapText="1"/>
    </xf>
    <xf numFmtId="0" fontId="57" fillId="0" borderId="2" xfId="9" applyFont="1" applyAlignment="1">
      <alignment horizontal="center" vertical="center" wrapText="1"/>
    </xf>
    <xf numFmtId="0" fontId="48" fillId="0" borderId="2" xfId="9" applyFont="1" applyAlignment="1">
      <alignment horizontal="center" vertical="center"/>
    </xf>
    <xf numFmtId="0" fontId="61" fillId="18" borderId="7" xfId="9" applyFont="1" applyFill="1" applyBorder="1" applyAlignment="1">
      <alignment horizontal="center" vertical="center" wrapText="1"/>
    </xf>
    <xf numFmtId="0" fontId="61" fillId="20" borderId="7" xfId="9" applyFont="1" applyFill="1" applyBorder="1" applyAlignment="1">
      <alignment horizontal="center" vertical="center" wrapText="1"/>
    </xf>
    <xf numFmtId="0" fontId="61" fillId="21" borderId="7" xfId="9" applyFont="1" applyFill="1" applyBorder="1" applyAlignment="1">
      <alignment horizontal="center" vertical="center" wrapText="1"/>
    </xf>
    <xf numFmtId="0" fontId="61" fillId="22" borderId="7" xfId="9" applyFont="1" applyFill="1" applyBorder="1" applyAlignment="1">
      <alignment horizontal="center" vertical="center" wrapText="1"/>
    </xf>
    <xf numFmtId="0" fontId="61" fillId="23" borderId="7" xfId="9" applyFont="1" applyFill="1" applyBorder="1" applyAlignment="1">
      <alignment horizontal="center" vertical="center" wrapText="1"/>
    </xf>
    <xf numFmtId="0" fontId="61" fillId="24" borderId="7" xfId="9" applyFont="1" applyFill="1" applyBorder="1" applyAlignment="1">
      <alignment horizontal="center" vertical="center" wrapText="1"/>
    </xf>
    <xf numFmtId="0" fontId="61" fillId="25" borderId="7" xfId="9" applyFont="1" applyFill="1" applyBorder="1" applyAlignment="1">
      <alignment horizontal="center" vertical="center" wrapText="1"/>
    </xf>
    <xf numFmtId="0" fontId="63" fillId="14" borderId="7" xfId="9" applyFont="1" applyFill="1" applyBorder="1" applyAlignment="1">
      <alignment horizontal="center" vertical="center" wrapText="1"/>
    </xf>
    <xf numFmtId="9" fontId="63" fillId="2" borderId="7" xfId="9" applyNumberFormat="1" applyFont="1" applyFill="1" applyBorder="1" applyAlignment="1">
      <alignment horizontal="center" vertical="center" wrapText="1"/>
    </xf>
    <xf numFmtId="0" fontId="43" fillId="2" borderId="7" xfId="9" applyFont="1" applyFill="1" applyBorder="1" applyAlignment="1">
      <alignment horizontal="center" vertical="center" wrapText="1"/>
    </xf>
    <xf numFmtId="0" fontId="64" fillId="4" borderId="7" xfId="9" applyFont="1" applyFill="1" applyBorder="1" applyAlignment="1">
      <alignment horizontal="center" vertical="center" wrapText="1"/>
    </xf>
    <xf numFmtId="0" fontId="65" fillId="0" borderId="7" xfId="9" applyFont="1" applyBorder="1" applyAlignment="1">
      <alignment horizontal="center" vertical="center"/>
    </xf>
    <xf numFmtId="165" fontId="65" fillId="0" borderId="7" xfId="9" applyNumberFormat="1" applyFont="1" applyBorder="1" applyAlignment="1">
      <alignment horizontal="center" vertical="center"/>
    </xf>
    <xf numFmtId="0" fontId="64" fillId="14" borderId="7" xfId="9" applyFont="1" applyFill="1" applyBorder="1" applyAlignment="1">
      <alignment horizontal="center" vertical="center" wrapText="1"/>
    </xf>
    <xf numFmtId="0" fontId="64" fillId="28" borderId="7" xfId="9" applyFont="1" applyFill="1" applyBorder="1" applyAlignment="1">
      <alignment horizontal="center" vertical="center" wrapText="1"/>
    </xf>
    <xf numFmtId="0" fontId="64" fillId="15" borderId="7" xfId="9" applyFont="1" applyFill="1" applyBorder="1" applyAlignment="1">
      <alignment horizontal="center" vertical="center" wrapText="1"/>
    </xf>
    <xf numFmtId="0" fontId="1" fillId="0" borderId="2" xfId="9" applyFont="1" applyAlignment="1">
      <alignment horizontal="center" vertical="center"/>
    </xf>
    <xf numFmtId="0" fontId="1" fillId="0" borderId="2" xfId="9" applyFont="1">
      <alignment vertical="center"/>
    </xf>
    <xf numFmtId="0" fontId="61" fillId="16" borderId="35" xfId="9" applyFont="1" applyFill="1" applyBorder="1" applyAlignment="1">
      <alignment horizontal="center" vertical="center" wrapText="1" readingOrder="1"/>
    </xf>
    <xf numFmtId="0" fontId="61" fillId="16" borderId="36" xfId="9" applyFont="1" applyFill="1" applyBorder="1" applyAlignment="1">
      <alignment horizontal="center" vertical="center" wrapText="1" readingOrder="1"/>
    </xf>
    <xf numFmtId="0" fontId="68" fillId="18" borderId="7" xfId="9" applyFont="1" applyFill="1" applyBorder="1" applyAlignment="1">
      <alignment horizontal="center" vertical="center" wrapText="1"/>
    </xf>
    <xf numFmtId="9" fontId="5" fillId="4" borderId="7" xfId="11" applyFont="1" applyFill="1" applyBorder="1" applyAlignment="1">
      <alignment horizontal="center" vertical="center" wrapText="1"/>
    </xf>
    <xf numFmtId="0" fontId="5" fillId="4" borderId="29" xfId="9" applyFont="1" applyFill="1" applyBorder="1" applyAlignment="1">
      <alignment horizontal="left" vertical="center" wrapText="1"/>
    </xf>
    <xf numFmtId="0" fontId="32" fillId="0" borderId="7" xfId="9" applyBorder="1" applyAlignment="1">
      <alignment horizontal="center" vertical="center"/>
    </xf>
    <xf numFmtId="0" fontId="65" fillId="0" borderId="37" xfId="9" applyFont="1" applyBorder="1" applyAlignment="1">
      <alignment horizontal="center" vertical="center"/>
    </xf>
    <xf numFmtId="0" fontId="32" fillId="0" borderId="2" xfId="9" applyAlignment="1"/>
    <xf numFmtId="0" fontId="31" fillId="0" borderId="2" xfId="3" applyFont="1" applyAlignment="1">
      <alignment horizontal="left" vertical="top" wrapText="1"/>
    </xf>
    <xf numFmtId="0" fontId="8" fillId="0" borderId="2" xfId="6" applyFont="1" applyAlignment="1">
      <alignment horizontal="left" vertical="center" wrapText="1"/>
    </xf>
    <xf numFmtId="0" fontId="33" fillId="0" borderId="6" xfId="9" applyFont="1" applyBorder="1" applyAlignment="1">
      <alignment horizontal="center" vertical="center"/>
    </xf>
    <xf numFmtId="0" fontId="33" fillId="0" borderId="6" xfId="9" applyFont="1" applyBorder="1" applyAlignment="1">
      <alignment horizontal="left" vertical="center" wrapText="1"/>
    </xf>
    <xf numFmtId="0" fontId="32" fillId="0" borderId="6" xfId="9" applyBorder="1" applyAlignment="1">
      <alignment horizontal="left" vertical="center" wrapText="1"/>
    </xf>
    <xf numFmtId="0" fontId="33" fillId="0" borderId="8" xfId="9" applyFont="1" applyBorder="1" applyAlignment="1">
      <alignment horizontal="left" vertical="center" wrapText="1"/>
    </xf>
    <xf numFmtId="0" fontId="33" fillId="0" borderId="9" xfId="9" applyFont="1" applyBorder="1" applyAlignment="1">
      <alignment horizontal="left" vertical="center" wrapText="1"/>
    </xf>
    <xf numFmtId="0" fontId="33" fillId="0" borderId="10" xfId="9" applyFont="1" applyBorder="1" applyAlignment="1">
      <alignment horizontal="left" vertical="center" wrapText="1"/>
    </xf>
    <xf numFmtId="0" fontId="32" fillId="0" borderId="9" xfId="9" applyBorder="1" applyAlignment="1">
      <alignment horizontal="left" vertical="center"/>
    </xf>
    <xf numFmtId="0" fontId="32" fillId="0" borderId="10" xfId="9" applyBorder="1" applyAlignment="1">
      <alignment horizontal="left" vertical="center"/>
    </xf>
    <xf numFmtId="0" fontId="32" fillId="0" borderId="6" xfId="9" applyBorder="1" applyAlignment="1">
      <alignment horizontal="center" vertical="center"/>
    </xf>
    <xf numFmtId="0" fontId="38" fillId="0" borderId="14" xfId="10" applyFont="1" applyBorder="1" applyAlignment="1">
      <alignment horizontal="left"/>
    </xf>
    <xf numFmtId="0" fontId="37" fillId="0" borderId="2" xfId="10" applyFont="1" applyAlignment="1">
      <alignment horizontal="left"/>
    </xf>
    <xf numFmtId="0" fontId="37" fillId="0" borderId="15" xfId="10" applyFont="1" applyBorder="1" applyAlignment="1">
      <alignment horizontal="left"/>
    </xf>
    <xf numFmtId="0" fontId="38" fillId="0" borderId="2" xfId="10" applyFont="1" applyAlignment="1">
      <alignment horizontal="left"/>
    </xf>
    <xf numFmtId="0" fontId="38" fillId="0" borderId="15" xfId="10" applyFont="1" applyBorder="1" applyAlignment="1">
      <alignment horizontal="left"/>
    </xf>
    <xf numFmtId="0" fontId="38" fillId="0" borderId="14" xfId="10" applyFont="1" applyBorder="1" applyAlignment="1">
      <alignment horizontal="left" wrapText="1"/>
    </xf>
    <xf numFmtId="0" fontId="38" fillId="0" borderId="2" xfId="10" applyFont="1" applyAlignment="1">
      <alignment horizontal="left" wrapText="1"/>
    </xf>
    <xf numFmtId="0" fontId="38" fillId="0" borderId="15" xfId="10" applyFont="1" applyBorder="1" applyAlignment="1">
      <alignment horizontal="left" wrapText="1"/>
    </xf>
    <xf numFmtId="0" fontId="37" fillId="0" borderId="19" xfId="10" applyFont="1" applyBorder="1" applyAlignment="1">
      <alignment horizontal="left" wrapText="1"/>
    </xf>
    <xf numFmtId="0" fontId="37" fillId="0" borderId="20" xfId="10" applyFont="1" applyBorder="1" applyAlignment="1">
      <alignment horizontal="left" wrapText="1"/>
    </xf>
    <xf numFmtId="0" fontId="37" fillId="0" borderId="21" xfId="10" applyFont="1" applyBorder="1" applyAlignment="1">
      <alignment horizontal="left" wrapText="1"/>
    </xf>
    <xf numFmtId="0" fontId="40" fillId="5" borderId="23" xfId="10" applyFont="1" applyFill="1" applyBorder="1" applyAlignment="1">
      <alignment horizontal="left" vertical="center" wrapText="1"/>
    </xf>
    <xf numFmtId="0" fontId="40" fillId="5" borderId="12" xfId="10" applyFont="1" applyFill="1" applyBorder="1" applyAlignment="1">
      <alignment horizontal="left" vertical="center" wrapText="1"/>
    </xf>
    <xf numFmtId="0" fontId="40" fillId="5" borderId="13" xfId="10" applyFont="1" applyFill="1" applyBorder="1" applyAlignment="1">
      <alignment horizontal="left" vertical="center" wrapText="1"/>
    </xf>
    <xf numFmtId="0" fontId="43" fillId="7" borderId="26" xfId="9" applyFont="1" applyFill="1" applyBorder="1" applyAlignment="1">
      <alignment horizontal="left" vertical="center" wrapText="1"/>
    </xf>
    <xf numFmtId="0" fontId="43" fillId="7" borderId="27" xfId="9" applyFont="1" applyFill="1" applyBorder="1" applyAlignment="1">
      <alignment horizontal="left" vertical="center" wrapText="1"/>
    </xf>
    <xf numFmtId="0" fontId="43" fillId="7" borderId="28" xfId="9" applyFont="1" applyFill="1" applyBorder="1" applyAlignment="1">
      <alignment horizontal="left" vertical="center" wrapText="1"/>
    </xf>
    <xf numFmtId="0" fontId="35" fillId="4" borderId="14" xfId="10" applyFont="1" applyFill="1" applyBorder="1" applyAlignment="1">
      <alignment wrapText="1"/>
    </xf>
    <xf numFmtId="0" fontId="35" fillId="4" borderId="2" xfId="10" applyFont="1" applyFill="1" applyAlignment="1">
      <alignment wrapText="1"/>
    </xf>
    <xf numFmtId="0" fontId="35" fillId="4" borderId="15" xfId="10" applyFont="1" applyFill="1" applyBorder="1" applyAlignment="1">
      <alignment wrapText="1"/>
    </xf>
    <xf numFmtId="0" fontId="36" fillId="5" borderId="11" xfId="9" applyFont="1" applyFill="1" applyBorder="1" applyAlignment="1">
      <alignment horizontal="center" vertical="center" wrapText="1"/>
    </xf>
    <xf numFmtId="0" fontId="36" fillId="5" borderId="12" xfId="9" applyFont="1" applyFill="1" applyBorder="1" applyAlignment="1">
      <alignment horizontal="center" vertical="center" wrapText="1"/>
    </xf>
    <xf numFmtId="0" fontId="36" fillId="5" borderId="13" xfId="9" applyFont="1" applyFill="1" applyBorder="1" applyAlignment="1">
      <alignment horizontal="center" vertical="center" wrapText="1"/>
    </xf>
    <xf numFmtId="0" fontId="37" fillId="0" borderId="14" xfId="10" applyFont="1" applyBorder="1" applyAlignment="1">
      <alignment horizontal="left"/>
    </xf>
    <xf numFmtId="0" fontId="37" fillId="0" borderId="14" xfId="10" applyFont="1" applyBorder="1" applyAlignment="1">
      <alignment horizontal="left" wrapText="1"/>
    </xf>
    <xf numFmtId="0" fontId="37" fillId="0" borderId="2" xfId="10" applyFont="1" applyAlignment="1">
      <alignment horizontal="left" wrapText="1"/>
    </xf>
    <xf numFmtId="0" fontId="37" fillId="0" borderId="15" xfId="10" applyFont="1" applyBorder="1" applyAlignment="1">
      <alignment horizontal="left" wrapText="1"/>
    </xf>
    <xf numFmtId="0" fontId="35" fillId="4" borderId="14" xfId="10" applyFont="1" applyFill="1" applyBorder="1" applyAlignment="1">
      <alignment horizontal="left" wrapText="1"/>
    </xf>
    <xf numFmtId="0" fontId="35" fillId="4" borderId="2" xfId="10" applyFont="1" applyFill="1" applyAlignment="1">
      <alignment horizontal="left" wrapText="1"/>
    </xf>
    <xf numFmtId="0" fontId="35" fillId="4" borderId="15" xfId="10" applyFont="1" applyFill="1" applyBorder="1" applyAlignment="1">
      <alignment horizontal="left" wrapText="1"/>
    </xf>
    <xf numFmtId="0" fontId="52" fillId="0" borderId="7" xfId="9" applyFont="1" applyBorder="1" applyAlignment="1">
      <alignment horizontal="center" vertical="center" wrapText="1"/>
    </xf>
    <xf numFmtId="0" fontId="48" fillId="0" borderId="2" xfId="9" applyFont="1" applyAlignment="1">
      <alignment horizontal="left" wrapText="1"/>
    </xf>
    <xf numFmtId="0" fontId="45" fillId="12" borderId="7" xfId="9" applyFont="1" applyFill="1" applyBorder="1" applyAlignment="1">
      <alignment horizontal="center" vertical="center" wrapText="1"/>
    </xf>
    <xf numFmtId="0" fontId="46" fillId="14" borderId="7" xfId="9" applyFont="1" applyFill="1" applyBorder="1" applyAlignment="1">
      <alignment horizontal="center" vertical="center" wrapText="1"/>
    </xf>
    <xf numFmtId="0" fontId="49" fillId="0" borderId="2" xfId="9" applyFont="1" applyAlignment="1">
      <alignment horizontal="center" vertical="center" wrapText="1"/>
    </xf>
    <xf numFmtId="0" fontId="50" fillId="16" borderId="7" xfId="9" applyFont="1" applyFill="1" applyBorder="1" applyAlignment="1">
      <alignment horizontal="center" vertical="center" wrapText="1" readingOrder="1"/>
    </xf>
    <xf numFmtId="0" fontId="45" fillId="9" borderId="7" xfId="9" applyFont="1" applyFill="1" applyBorder="1" applyAlignment="1">
      <alignment horizontal="center" vertical="center" wrapText="1"/>
    </xf>
    <xf numFmtId="0" fontId="45" fillId="10" borderId="29" xfId="9" applyFont="1" applyFill="1" applyBorder="1" applyAlignment="1">
      <alignment horizontal="center" vertical="center" wrapText="1"/>
    </xf>
    <xf numFmtId="0" fontId="45" fillId="10" borderId="30" xfId="9" applyFont="1" applyFill="1" applyBorder="1" applyAlignment="1">
      <alignment horizontal="center" vertical="center" wrapText="1"/>
    </xf>
    <xf numFmtId="0" fontId="45" fillId="10" borderId="31" xfId="9" applyFont="1" applyFill="1" applyBorder="1" applyAlignment="1">
      <alignment horizontal="center" vertical="center" wrapText="1"/>
    </xf>
    <xf numFmtId="0" fontId="45" fillId="11" borderId="7" xfId="9" applyFont="1" applyFill="1" applyBorder="1" applyAlignment="1">
      <alignment horizontal="center" vertical="center" wrapText="1"/>
    </xf>
    <xf numFmtId="0" fontId="45" fillId="8" borderId="7" xfId="9" applyFont="1" applyFill="1" applyBorder="1" applyAlignment="1">
      <alignment horizontal="center" vertical="center" wrapText="1"/>
    </xf>
    <xf numFmtId="0" fontId="69" fillId="29" borderId="29" xfId="9" applyFont="1" applyFill="1" applyBorder="1" applyAlignment="1">
      <alignment horizontal="left" vertical="center" wrapText="1"/>
    </xf>
    <xf numFmtId="0" fontId="69" fillId="29" borderId="30" xfId="9" applyFont="1" applyFill="1" applyBorder="1" applyAlignment="1">
      <alignment horizontal="left" vertical="center" wrapText="1"/>
    </xf>
    <xf numFmtId="0" fontId="69" fillId="29" borderId="31" xfId="9" applyFont="1" applyFill="1" applyBorder="1" applyAlignment="1">
      <alignment horizontal="left" vertical="center" wrapText="1"/>
    </xf>
    <xf numFmtId="0" fontId="30" fillId="0" borderId="38" xfId="9" applyFont="1" applyBorder="1" applyAlignment="1">
      <alignment horizontal="center" vertical="center"/>
    </xf>
    <xf numFmtId="0" fontId="30" fillId="0" borderId="39" xfId="9" applyFont="1" applyBorder="1" applyAlignment="1">
      <alignment horizontal="center" vertical="center"/>
    </xf>
    <xf numFmtId="0" fontId="30" fillId="0" borderId="40" xfId="9" applyFont="1" applyBorder="1" applyAlignment="1">
      <alignment horizontal="center" vertical="center"/>
    </xf>
    <xf numFmtId="0" fontId="30" fillId="0" borderId="2" xfId="9" applyFont="1" applyAlignment="1">
      <alignment horizontal="center" vertical="center"/>
    </xf>
    <xf numFmtId="0" fontId="60" fillId="30" borderId="26" xfId="9" applyFont="1" applyFill="1" applyBorder="1" applyAlignment="1">
      <alignment horizontal="center" vertical="center" wrapText="1"/>
    </xf>
    <xf numFmtId="0" fontId="60" fillId="30" borderId="27" xfId="9" applyFont="1" applyFill="1" applyBorder="1" applyAlignment="1">
      <alignment horizontal="center" vertical="center" wrapText="1"/>
    </xf>
    <xf numFmtId="0" fontId="60" fillId="30" borderId="28" xfId="9" applyFont="1" applyFill="1" applyBorder="1" applyAlignment="1">
      <alignment horizontal="center" vertical="center" wrapText="1"/>
    </xf>
    <xf numFmtId="165" fontId="70" fillId="0" borderId="26" xfId="9" applyNumberFormat="1" applyFont="1" applyBorder="1" applyAlignment="1">
      <alignment horizontal="center" vertical="center"/>
    </xf>
    <xf numFmtId="0" fontId="70" fillId="0" borderId="26" xfId="9" applyFont="1" applyBorder="1" applyAlignment="1">
      <alignment horizontal="center" vertical="center"/>
    </xf>
    <xf numFmtId="0" fontId="70" fillId="0" borderId="27" xfId="9" applyFont="1" applyBorder="1" applyAlignment="1">
      <alignment horizontal="center" vertical="center"/>
    </xf>
    <xf numFmtId="0" fontId="70" fillId="0" borderId="28" xfId="9" applyFont="1" applyBorder="1" applyAlignment="1">
      <alignment horizontal="center" vertical="center"/>
    </xf>
    <xf numFmtId="0" fontId="66" fillId="24" borderId="7" xfId="9" applyFont="1" applyFill="1" applyBorder="1" applyAlignment="1">
      <alignment horizontal="center" vertical="center" wrapText="1"/>
    </xf>
    <xf numFmtId="165" fontId="65" fillId="26" borderId="26" xfId="9" applyNumberFormat="1" applyFont="1" applyFill="1" applyBorder="1" applyAlignment="1">
      <alignment horizontal="center" vertical="center"/>
    </xf>
    <xf numFmtId="165" fontId="65" fillId="26" borderId="27" xfId="9" applyNumberFormat="1" applyFont="1" applyFill="1" applyBorder="1" applyAlignment="1">
      <alignment horizontal="center" vertical="center"/>
    </xf>
    <xf numFmtId="165" fontId="65" fillId="26" borderId="28" xfId="9" applyNumberFormat="1" applyFont="1" applyFill="1" applyBorder="1" applyAlignment="1">
      <alignment horizontal="center" vertical="center"/>
    </xf>
    <xf numFmtId="165" fontId="67" fillId="27" borderId="7" xfId="9" applyNumberFormat="1" applyFont="1" applyFill="1" applyBorder="1" applyAlignment="1">
      <alignment horizontal="center" vertical="center"/>
    </xf>
    <xf numFmtId="0" fontId="63" fillId="14" borderId="7" xfId="9" applyFont="1" applyFill="1" applyBorder="1" applyAlignment="1">
      <alignment horizontal="center" vertical="center" wrapText="1"/>
    </xf>
    <xf numFmtId="0" fontId="61" fillId="16" borderId="32" xfId="9" applyFont="1" applyFill="1" applyBorder="1" applyAlignment="1">
      <alignment horizontal="center" vertical="center" wrapText="1" readingOrder="1"/>
    </xf>
    <xf numFmtId="0" fontId="61" fillId="16" borderId="33" xfId="9" applyFont="1" applyFill="1" applyBorder="1" applyAlignment="1">
      <alignment horizontal="center" vertical="center" wrapText="1" readingOrder="1"/>
    </xf>
    <xf numFmtId="0" fontId="61" fillId="16" borderId="34" xfId="9" applyFont="1" applyFill="1" applyBorder="1" applyAlignment="1">
      <alignment horizontal="center" vertical="center" wrapText="1" readingOrder="1"/>
    </xf>
    <xf numFmtId="0" fontId="68" fillId="18" borderId="29" xfId="9" applyFont="1" applyFill="1" applyBorder="1" applyAlignment="1">
      <alignment horizontal="center" vertical="center" wrapText="1"/>
    </xf>
    <xf numFmtId="0" fontId="68" fillId="18" borderId="30" xfId="9" applyFont="1" applyFill="1" applyBorder="1" applyAlignment="1">
      <alignment horizontal="center" vertical="center" wrapText="1"/>
    </xf>
    <xf numFmtId="9" fontId="60" fillId="21" borderId="7" xfId="9" applyNumberFormat="1" applyFont="1" applyFill="1" applyBorder="1" applyAlignment="1">
      <alignment horizontal="center" vertical="center"/>
    </xf>
    <xf numFmtId="0" fontId="60" fillId="21" borderId="7" xfId="9" applyFont="1" applyFill="1" applyBorder="1" applyAlignment="1">
      <alignment horizontal="center" vertical="center"/>
    </xf>
    <xf numFmtId="9" fontId="60" fillId="22" borderId="7" xfId="9" applyNumberFormat="1" applyFont="1" applyFill="1" applyBorder="1" applyAlignment="1">
      <alignment horizontal="center" vertical="center"/>
    </xf>
    <xf numFmtId="0" fontId="60" fillId="22" borderId="7" xfId="9" applyFont="1" applyFill="1" applyBorder="1" applyAlignment="1">
      <alignment horizontal="center" vertical="center"/>
    </xf>
    <xf numFmtId="9" fontId="60" fillId="23" borderId="7" xfId="9" applyNumberFormat="1" applyFont="1" applyFill="1" applyBorder="1" applyAlignment="1">
      <alignment horizontal="center" vertical="center"/>
    </xf>
    <xf numFmtId="0" fontId="60" fillId="23" borderId="7" xfId="9" applyFont="1" applyFill="1" applyBorder="1" applyAlignment="1">
      <alignment horizontal="center" vertical="center"/>
    </xf>
    <xf numFmtId="9" fontId="60" fillId="24" borderId="7" xfId="9" applyNumberFormat="1" applyFont="1" applyFill="1" applyBorder="1" applyAlignment="1">
      <alignment horizontal="center" vertical="center"/>
    </xf>
    <xf numFmtId="0" fontId="60" fillId="24" borderId="7" xfId="9" applyFont="1" applyFill="1" applyBorder="1" applyAlignment="1">
      <alignment horizontal="center" vertical="center"/>
    </xf>
    <xf numFmtId="9" fontId="60" fillId="25" borderId="29" xfId="9" applyNumberFormat="1" applyFont="1" applyFill="1" applyBorder="1" applyAlignment="1">
      <alignment horizontal="center" vertical="center"/>
    </xf>
    <xf numFmtId="0" fontId="60" fillId="25" borderId="30" xfId="9" applyFont="1" applyFill="1" applyBorder="1" applyAlignment="1">
      <alignment horizontal="center" vertical="center"/>
    </xf>
    <xf numFmtId="0" fontId="60" fillId="25" borderId="31" xfId="9" applyFont="1" applyFill="1" applyBorder="1" applyAlignment="1">
      <alignment horizontal="center" vertical="center"/>
    </xf>
    <xf numFmtId="0" fontId="66" fillId="20" borderId="7" xfId="9" applyFont="1" applyFill="1" applyBorder="1" applyAlignment="1">
      <alignment horizontal="center" vertical="center" wrapText="1"/>
    </xf>
    <xf numFmtId="0" fontId="66" fillId="21" borderId="7" xfId="9" applyFont="1" applyFill="1" applyBorder="1" applyAlignment="1">
      <alignment horizontal="center" vertical="center" wrapText="1"/>
    </xf>
    <xf numFmtId="0" fontId="66" fillId="22" borderId="7" xfId="9" applyFont="1" applyFill="1" applyBorder="1" applyAlignment="1">
      <alignment horizontal="center" vertical="center" wrapText="1"/>
    </xf>
    <xf numFmtId="0" fontId="66" fillId="23" borderId="7" xfId="9" applyFont="1" applyFill="1" applyBorder="1" applyAlignment="1">
      <alignment horizontal="center" vertical="center" wrapText="1"/>
    </xf>
    <xf numFmtId="0" fontId="61" fillId="19" borderId="7" xfId="9" applyFont="1" applyFill="1" applyBorder="1" applyAlignment="1">
      <alignment horizontal="center" vertical="center" wrapText="1"/>
    </xf>
    <xf numFmtId="9" fontId="60" fillId="20" borderId="29" xfId="9" applyNumberFormat="1" applyFont="1" applyFill="1" applyBorder="1" applyAlignment="1">
      <alignment horizontal="center" vertical="center"/>
    </xf>
    <xf numFmtId="9" fontId="60" fillId="20" borderId="30" xfId="9" applyNumberFormat="1" applyFont="1" applyFill="1" applyBorder="1" applyAlignment="1">
      <alignment horizontal="center" vertical="center"/>
    </xf>
    <xf numFmtId="9" fontId="60" fillId="20" borderId="31" xfId="9" applyNumberFormat="1" applyFont="1" applyFill="1" applyBorder="1" applyAlignment="1">
      <alignment horizontal="center" vertical="center"/>
    </xf>
    <xf numFmtId="9" fontId="60" fillId="22" borderId="7" xfId="9" applyNumberFormat="1" applyFont="1" applyFill="1" applyBorder="1" applyAlignment="1">
      <alignment horizontal="center" vertical="center" wrapText="1"/>
    </xf>
    <xf numFmtId="9" fontId="60" fillId="23" borderId="7" xfId="9" applyNumberFormat="1" applyFont="1" applyFill="1" applyBorder="1" applyAlignment="1">
      <alignment horizontal="center" vertical="center" wrapText="1"/>
    </xf>
    <xf numFmtId="9" fontId="60" fillId="24" borderId="7" xfId="9" applyNumberFormat="1" applyFont="1" applyFill="1" applyBorder="1" applyAlignment="1">
      <alignment horizontal="center" vertical="center" wrapText="1"/>
    </xf>
    <xf numFmtId="0" fontId="60" fillId="24" borderId="7" xfId="9" applyFont="1" applyFill="1" applyBorder="1" applyAlignment="1">
      <alignment horizontal="center" vertical="center" wrapText="1"/>
    </xf>
    <xf numFmtId="0" fontId="60" fillId="25" borderId="29" xfId="9" applyFont="1" applyFill="1" applyBorder="1" applyAlignment="1">
      <alignment horizontal="center" vertical="center" wrapText="1"/>
    </xf>
    <xf numFmtId="0" fontId="60" fillId="25" borderId="30" xfId="9" applyFont="1" applyFill="1" applyBorder="1" applyAlignment="1">
      <alignment horizontal="center" vertical="center" wrapText="1"/>
    </xf>
    <xf numFmtId="0" fontId="60" fillId="25" borderId="31" xfId="9" applyFont="1" applyFill="1" applyBorder="1" applyAlignment="1">
      <alignment horizontal="center" vertical="center" wrapText="1"/>
    </xf>
    <xf numFmtId="0" fontId="60" fillId="18" borderId="7" xfId="9" applyFont="1" applyFill="1" applyBorder="1" applyAlignment="1">
      <alignment horizontal="center" vertical="center"/>
    </xf>
    <xf numFmtId="0" fontId="61" fillId="18" borderId="7" xfId="9" applyFont="1" applyFill="1" applyBorder="1" applyAlignment="1">
      <alignment horizontal="center" vertical="center" wrapText="1"/>
    </xf>
    <xf numFmtId="0" fontId="58" fillId="8" borderId="7" xfId="9" applyFont="1" applyFill="1" applyBorder="1" applyAlignment="1">
      <alignment horizontal="center" vertical="center" wrapText="1"/>
    </xf>
    <xf numFmtId="0" fontId="59" fillId="8" borderId="7" xfId="9" applyFont="1" applyFill="1" applyBorder="1" applyAlignment="1">
      <alignment horizontal="center" vertical="center"/>
    </xf>
    <xf numFmtId="0" fontId="59" fillId="8" borderId="7" xfId="9" applyFont="1" applyFill="1" applyBorder="1" applyAlignment="1">
      <alignment horizontal="center" vertical="center" wrapText="1"/>
    </xf>
    <xf numFmtId="0" fontId="60" fillId="18" borderId="29" xfId="9" applyFont="1" applyFill="1" applyBorder="1" applyAlignment="1">
      <alignment horizontal="center" vertical="center"/>
    </xf>
    <xf numFmtId="0" fontId="60" fillId="18" borderId="30" xfId="9" applyFont="1" applyFill="1" applyBorder="1" applyAlignment="1">
      <alignment horizontal="center" vertical="center"/>
    </xf>
    <xf numFmtId="0" fontId="60" fillId="18" borderId="31" xfId="9" applyFont="1" applyFill="1" applyBorder="1" applyAlignment="1">
      <alignment horizontal="center" vertical="center"/>
    </xf>
    <xf numFmtId="0" fontId="60" fillId="19" borderId="29" xfId="9" applyFont="1" applyFill="1" applyBorder="1" applyAlignment="1">
      <alignment horizontal="center" vertical="center"/>
    </xf>
    <xf numFmtId="0" fontId="60" fillId="19" borderId="30" xfId="9" applyFont="1" applyFill="1" applyBorder="1" applyAlignment="1">
      <alignment horizontal="center" vertical="center"/>
    </xf>
    <xf numFmtId="0" fontId="60" fillId="19" borderId="31" xfId="9" applyFont="1" applyFill="1" applyBorder="1" applyAlignment="1">
      <alignment horizontal="center" vertical="center"/>
    </xf>
    <xf numFmtId="0" fontId="60" fillId="20" borderId="30" xfId="9" applyFont="1" applyFill="1" applyBorder="1" applyAlignment="1">
      <alignment horizontal="center" vertical="center"/>
    </xf>
    <xf numFmtId="0" fontId="60" fillId="20" borderId="31" xfId="9" applyFont="1" applyFill="1" applyBorder="1" applyAlignment="1">
      <alignment horizontal="center" vertical="center"/>
    </xf>
    <xf numFmtId="0" fontId="60" fillId="21" borderId="29" xfId="9" applyFont="1" applyFill="1" applyBorder="1" applyAlignment="1">
      <alignment horizontal="center" vertical="center"/>
    </xf>
    <xf numFmtId="0" fontId="60" fillId="21" borderId="30" xfId="9" applyFont="1" applyFill="1" applyBorder="1" applyAlignment="1">
      <alignment horizontal="center" vertical="center"/>
    </xf>
    <xf numFmtId="0" fontId="60" fillId="21" borderId="31" xfId="9" applyFont="1" applyFill="1" applyBorder="1" applyAlignment="1">
      <alignment horizontal="center" vertical="center"/>
    </xf>
    <xf numFmtId="0" fontId="21" fillId="0" borderId="2" xfId="6" applyFont="1" applyAlignment="1">
      <alignment vertical="center" wrapText="1"/>
    </xf>
    <xf numFmtId="0" fontId="10" fillId="0" borderId="2" xfId="6" applyFont="1"/>
    <xf numFmtId="0" fontId="22" fillId="0" borderId="2" xfId="6" applyFont="1" applyAlignment="1">
      <alignment horizontal="left" vertical="center" wrapText="1"/>
    </xf>
    <xf numFmtId="0" fontId="23" fillId="0" borderId="2" xfId="6" applyFont="1" applyAlignment="1">
      <alignment horizontal="left"/>
    </xf>
    <xf numFmtId="0" fontId="25" fillId="0" borderId="2" xfId="6" applyFont="1" applyAlignment="1">
      <alignment horizontal="left"/>
    </xf>
  </cellXfs>
  <cellStyles count="12">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 name="Normal 4" xfId="9" xr:uid="{274FA4A4-D000-41FE-B053-EC4F6E346812}"/>
    <cellStyle name="Normal 4 2" xfId="10" xr:uid="{CFAFC207-ED4D-495B-9BF2-1090ED377F08}"/>
    <cellStyle name="Percent 2" xfId="11" xr:uid="{DCCCCB62-D5E6-4715-A151-B7E91FA109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3183890</xdr:colOff>
      <xdr:row>5</xdr:row>
      <xdr:rowOff>154940</xdr:rowOff>
    </xdr:to>
    <xdr:pic>
      <xdr:nvPicPr>
        <xdr:cNvPr id="5" name="Picture 4" descr="A black background with red and blue text&#10;&#10;AI-generated content may be incorrect.">
          <a:extLst>
            <a:ext uri="{FF2B5EF4-FFF2-40B4-BE49-F238E27FC236}">
              <a16:creationId xmlns:a16="http://schemas.microsoft.com/office/drawing/2014/main" id="{8B02EB55-8B17-2AA9-468C-BE864A5E4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0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3" name="Picture 2" descr="A black background with red and blue text&#10;&#10;AI-generated content may be incorrect.">
          <a:extLst>
            <a:ext uri="{FF2B5EF4-FFF2-40B4-BE49-F238E27FC236}">
              <a16:creationId xmlns:a16="http://schemas.microsoft.com/office/drawing/2014/main" id="{576B6493-C8E2-46E6-975B-74E6D3E39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415925</xdr:colOff>
      <xdr:row>23</xdr:row>
      <xdr:rowOff>448310</xdr:rowOff>
    </xdr:from>
    <xdr:to>
      <xdr:col>11</xdr:col>
      <xdr:colOff>40005</xdr:colOff>
      <xdr:row>23</xdr:row>
      <xdr:rowOff>1002030</xdr:rowOff>
    </xdr:to>
    <xdr:pic>
      <xdr:nvPicPr>
        <xdr:cNvPr id="2" name="Picture 9">
          <a:extLst>
            <a:ext uri="{FF2B5EF4-FFF2-40B4-BE49-F238E27FC236}">
              <a16:creationId xmlns:a16="http://schemas.microsoft.com/office/drawing/2014/main" id="{08893968-03F4-4B14-9089-248B22BEE9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170025" y="4715510"/>
          <a:ext cx="3373120" cy="55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335280</xdr:colOff>
      <xdr:row>28</xdr:row>
      <xdr:rowOff>424815</xdr:rowOff>
    </xdr:from>
    <xdr:to>
      <xdr:col>10</xdr:col>
      <xdr:colOff>483870</xdr:colOff>
      <xdr:row>28</xdr:row>
      <xdr:rowOff>992505</xdr:rowOff>
    </xdr:to>
    <xdr:pic>
      <xdr:nvPicPr>
        <xdr:cNvPr id="3" name="Picture 15">
          <a:extLst>
            <a:ext uri="{FF2B5EF4-FFF2-40B4-BE49-F238E27FC236}">
              <a16:creationId xmlns:a16="http://schemas.microsoft.com/office/drawing/2014/main" id="{B82A0BC2-0464-4FEB-BD50-2147BF1FB6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4089380" y="11831955"/>
          <a:ext cx="3272790" cy="567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309880</xdr:colOff>
      <xdr:row>29</xdr:row>
      <xdr:rowOff>436245</xdr:rowOff>
    </xdr:from>
    <xdr:to>
      <xdr:col>10</xdr:col>
      <xdr:colOff>466090</xdr:colOff>
      <xdr:row>29</xdr:row>
      <xdr:rowOff>924560</xdr:rowOff>
    </xdr:to>
    <xdr:pic>
      <xdr:nvPicPr>
        <xdr:cNvPr id="4" name="Picture 16">
          <a:extLst>
            <a:ext uri="{FF2B5EF4-FFF2-40B4-BE49-F238E27FC236}">
              <a16:creationId xmlns:a16="http://schemas.microsoft.com/office/drawing/2014/main" id="{303A9A09-92A7-4593-ACE0-4BA17C31F8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4063980" y="13237845"/>
          <a:ext cx="3280410" cy="488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13970</xdr:colOff>
      <xdr:row>25</xdr:row>
      <xdr:rowOff>10795</xdr:rowOff>
    </xdr:from>
    <xdr:to>
      <xdr:col>5</xdr:col>
      <xdr:colOff>98425</xdr:colOff>
      <xdr:row>27</xdr:row>
      <xdr:rowOff>1450340</xdr:rowOff>
    </xdr:to>
    <xdr:sp macro="" textlink="">
      <xdr:nvSpPr>
        <xdr:cNvPr id="5" name="Right Brace 18">
          <a:extLst>
            <a:ext uri="{FF2B5EF4-FFF2-40B4-BE49-F238E27FC236}">
              <a16:creationId xmlns:a16="http://schemas.microsoft.com/office/drawing/2014/main" id="{451020CA-2AC2-4B05-9555-198EF025645F}"/>
            </a:ext>
          </a:extLst>
        </xdr:cNvPr>
        <xdr:cNvSpPr/>
      </xdr:nvSpPr>
      <xdr:spPr>
        <a:xfrm>
          <a:off x="13143230" y="7051675"/>
          <a:ext cx="709295" cy="433514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editAs="oneCell">
    <xdr:from>
      <xdr:col>5</xdr:col>
      <xdr:colOff>363220</xdr:colOff>
      <xdr:row>2</xdr:row>
      <xdr:rowOff>67310</xdr:rowOff>
    </xdr:from>
    <xdr:to>
      <xdr:col>11</xdr:col>
      <xdr:colOff>42545</xdr:colOff>
      <xdr:row>10</xdr:row>
      <xdr:rowOff>107536</xdr:rowOff>
    </xdr:to>
    <xdr:pic>
      <xdr:nvPicPr>
        <xdr:cNvPr id="6" name="Picture 3">
          <a:extLst>
            <a:ext uri="{FF2B5EF4-FFF2-40B4-BE49-F238E27FC236}">
              <a16:creationId xmlns:a16="http://schemas.microsoft.com/office/drawing/2014/main" id="{A15F428D-C95A-498B-BD3F-09988F19D604}"/>
            </a:ext>
          </a:extLst>
        </xdr:cNvPr>
        <xdr:cNvPicPr>
          <a:picLocks noChangeAspect="1"/>
        </xdr:cNvPicPr>
      </xdr:nvPicPr>
      <xdr:blipFill>
        <a:blip xmlns:r="http://schemas.openxmlformats.org/officeDocument/2006/relationships" r:embed="rId4"/>
        <a:stretch>
          <a:fillRect/>
        </a:stretch>
      </xdr:blipFill>
      <xdr:spPr>
        <a:xfrm>
          <a:off x="14117320" y="433070"/>
          <a:ext cx="3428365" cy="1480406"/>
        </a:xfrm>
        <a:prstGeom prst="rect">
          <a:avLst/>
        </a:prstGeom>
      </xdr:spPr>
    </xdr:pic>
    <xdr:clientData/>
  </xdr:twoCellAnchor>
  <xdr:twoCellAnchor editAs="oneCell">
    <xdr:from>
      <xdr:col>5</xdr:col>
      <xdr:colOff>328930</xdr:colOff>
      <xdr:row>26</xdr:row>
      <xdr:rowOff>454660</xdr:rowOff>
    </xdr:from>
    <xdr:to>
      <xdr:col>10</xdr:col>
      <xdr:colOff>613410</xdr:colOff>
      <xdr:row>26</xdr:row>
      <xdr:rowOff>1002085</xdr:rowOff>
    </xdr:to>
    <xdr:pic>
      <xdr:nvPicPr>
        <xdr:cNvPr id="7" name="Picture 13">
          <a:extLst>
            <a:ext uri="{FF2B5EF4-FFF2-40B4-BE49-F238E27FC236}">
              <a16:creationId xmlns:a16="http://schemas.microsoft.com/office/drawing/2014/main" id="{BBA55DF0-979E-4090-BD10-122C1074E8B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14083030" y="9019540"/>
          <a:ext cx="3408680" cy="54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341630</xdr:colOff>
      <xdr:row>24</xdr:row>
      <xdr:rowOff>409575</xdr:rowOff>
    </xdr:from>
    <xdr:to>
      <xdr:col>11</xdr:col>
      <xdr:colOff>3257</xdr:colOff>
      <xdr:row>24</xdr:row>
      <xdr:rowOff>969010</xdr:rowOff>
    </xdr:to>
    <xdr:pic>
      <xdr:nvPicPr>
        <xdr:cNvPr id="8" name="Picture 15">
          <a:extLst>
            <a:ext uri="{FF2B5EF4-FFF2-40B4-BE49-F238E27FC236}">
              <a16:creationId xmlns:a16="http://schemas.microsoft.com/office/drawing/2014/main" id="{3225DBA0-7765-4A8C-9B3B-1E3DB61616F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14095730" y="6071235"/>
          <a:ext cx="3410667" cy="559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17780</xdr:colOff>
      <xdr:row>23</xdr:row>
      <xdr:rowOff>33020</xdr:rowOff>
    </xdr:from>
    <xdr:to>
      <xdr:col>5</xdr:col>
      <xdr:colOff>102235</xdr:colOff>
      <xdr:row>23</xdr:row>
      <xdr:rowOff>1391285</xdr:rowOff>
    </xdr:to>
    <xdr:sp macro="" textlink="">
      <xdr:nvSpPr>
        <xdr:cNvPr id="9" name="Right Brace 4">
          <a:extLst>
            <a:ext uri="{FF2B5EF4-FFF2-40B4-BE49-F238E27FC236}">
              <a16:creationId xmlns:a16="http://schemas.microsoft.com/office/drawing/2014/main" id="{10794B8F-8A90-4B0D-B1E0-67B7AE338CBD}"/>
            </a:ext>
          </a:extLst>
        </xdr:cNvPr>
        <xdr:cNvSpPr/>
      </xdr:nvSpPr>
      <xdr:spPr>
        <a:xfrm>
          <a:off x="13147040" y="4300220"/>
          <a:ext cx="709295" cy="135826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4</xdr:col>
      <xdr:colOff>14605</xdr:colOff>
      <xdr:row>24</xdr:row>
      <xdr:rowOff>20955</xdr:rowOff>
    </xdr:from>
    <xdr:to>
      <xdr:col>5</xdr:col>
      <xdr:colOff>99060</xdr:colOff>
      <xdr:row>24</xdr:row>
      <xdr:rowOff>1379220</xdr:rowOff>
    </xdr:to>
    <xdr:sp macro="" textlink="">
      <xdr:nvSpPr>
        <xdr:cNvPr id="10" name="Right Brace 4">
          <a:extLst>
            <a:ext uri="{FF2B5EF4-FFF2-40B4-BE49-F238E27FC236}">
              <a16:creationId xmlns:a16="http://schemas.microsoft.com/office/drawing/2014/main" id="{B2EAD56A-1D40-4960-85B1-64FCCF899085}"/>
            </a:ext>
          </a:extLst>
        </xdr:cNvPr>
        <xdr:cNvSpPr/>
      </xdr:nvSpPr>
      <xdr:spPr>
        <a:xfrm>
          <a:off x="13143865" y="5682615"/>
          <a:ext cx="709295" cy="135826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4</xdr:col>
      <xdr:colOff>4445</xdr:colOff>
      <xdr:row>27</xdr:row>
      <xdr:rowOff>1471930</xdr:rowOff>
    </xdr:from>
    <xdr:to>
      <xdr:col>5</xdr:col>
      <xdr:colOff>88265</xdr:colOff>
      <xdr:row>28</xdr:row>
      <xdr:rowOff>1379220</xdr:rowOff>
    </xdr:to>
    <xdr:sp macro="" textlink="">
      <xdr:nvSpPr>
        <xdr:cNvPr id="11" name="Right Brace 4">
          <a:extLst>
            <a:ext uri="{FF2B5EF4-FFF2-40B4-BE49-F238E27FC236}">
              <a16:creationId xmlns:a16="http://schemas.microsoft.com/office/drawing/2014/main" id="{B0AFD90A-E4B6-43C0-BE4F-71579C8FE51C}"/>
            </a:ext>
          </a:extLst>
        </xdr:cNvPr>
        <xdr:cNvSpPr/>
      </xdr:nvSpPr>
      <xdr:spPr>
        <a:xfrm>
          <a:off x="13133705" y="11408410"/>
          <a:ext cx="708660" cy="137795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xdr:from>
      <xdr:col>4</xdr:col>
      <xdr:colOff>15240</xdr:colOff>
      <xdr:row>29</xdr:row>
      <xdr:rowOff>0</xdr:rowOff>
    </xdr:from>
    <xdr:to>
      <xdr:col>5</xdr:col>
      <xdr:colOff>99695</xdr:colOff>
      <xdr:row>29</xdr:row>
      <xdr:rowOff>1358265</xdr:rowOff>
    </xdr:to>
    <xdr:sp macro="" textlink="">
      <xdr:nvSpPr>
        <xdr:cNvPr id="12" name="Right Brace 4">
          <a:extLst>
            <a:ext uri="{FF2B5EF4-FFF2-40B4-BE49-F238E27FC236}">
              <a16:creationId xmlns:a16="http://schemas.microsoft.com/office/drawing/2014/main" id="{BCA1B2B4-1363-43FD-8000-A0D19BE42F9E}"/>
            </a:ext>
          </a:extLst>
        </xdr:cNvPr>
        <xdr:cNvSpPr/>
      </xdr:nvSpPr>
      <xdr:spPr>
        <a:xfrm>
          <a:off x="13144500" y="12801600"/>
          <a:ext cx="709295" cy="135826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5" name="Picture 4" descr="A black background with red and blue text&#10;&#10;AI-generated content may be incorrect.">
          <a:extLst>
            <a:ext uri="{FF2B5EF4-FFF2-40B4-BE49-F238E27FC236}">
              <a16:creationId xmlns:a16="http://schemas.microsoft.com/office/drawing/2014/main" id="{50D85552-D066-4FA6-8826-FFF0D0F0F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24475" y="9525"/>
          <a:ext cx="1115060" cy="935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nahSibaya\Downloads\GB1525A%20%20RAN%20Network%20Quality%20Optimization%20Questionnaire%20v9%20(1).xlsx" TargetMode="External"/><Relationship Id="rId1" Type="http://schemas.openxmlformats.org/officeDocument/2006/relationships/externalLinkPath" Target="file:///C:\Users\SannahSibaya\Downloads\GB1525A%20%20RAN%20Network%20Quality%20Optimization%20Questionnaire%20v9%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ment Title"/>
      <sheetName val="Legal Notice"/>
      <sheetName val="Introduction"/>
      <sheetName val="Guideline"/>
      <sheetName val="RAN Network Optimization"/>
      <sheetName val="Scoring"/>
      <sheetName val="Acknowledgements"/>
    </sheetNames>
    <sheetDataSet>
      <sheetData sheetId="0" refreshError="1"/>
      <sheetData sheetId="1" refreshError="1"/>
      <sheetData sheetId="2" refreshError="1"/>
      <sheetData sheetId="3" refreshError="1"/>
      <sheetData sheetId="4">
        <row r="2">
          <cell r="J2" t="str">
            <v>Capacity</v>
          </cell>
          <cell r="K2" t="str">
            <v>Interference</v>
          </cell>
          <cell r="L2" t="str">
            <v>Coverage Structure</v>
          </cell>
          <cell r="M2" t="str">
            <v>RAN Voice KPIs (including but not limited to KPIs related to EPS fallback handover.)</v>
          </cell>
          <cell r="N2" t="str">
            <v>RAN Awareness-related KPIs (including but not limited to KPIs related to delay and throughput, which aligned with the Integrity KPIs defined in 3GPP specifications )</v>
          </cell>
          <cell r="O2" t="str">
            <v xml:space="preserve">Basic RAN KPIs (including but not limited to KPIs related to Accessibility , Mobility and Retainability) </v>
          </cell>
        </row>
        <row r="3">
          <cell r="J3">
            <v>0.15</v>
          </cell>
          <cell r="K3">
            <v>0.15</v>
          </cell>
          <cell r="L3">
            <v>0.15</v>
          </cell>
          <cell r="M3">
            <v>0.15</v>
          </cell>
          <cell r="N3">
            <v>0.15</v>
          </cell>
          <cell r="O3">
            <v>0.25</v>
          </cell>
        </row>
        <row r="4">
          <cell r="C4" t="str">
            <v>Intent Translation &amp; Fulfilment evaluation</v>
          </cell>
          <cell r="D4">
            <v>0.1</v>
          </cell>
          <cell r="E4" t="str">
            <v>How does the system translate the RAN network optimization intent into the RAN network optimization related control information and evaluate the RAN  network optimization intent fulfilment？ 
Note: RAN network optimization intent includes multiple targets for specified areas.
RAN network optimization control information includes RAN network optimization policies (e.g.  adjusting base station parameters,  load balancing)</v>
          </cell>
          <cell r="J4" t="str">
            <v>A</v>
          </cell>
          <cell r="K4" t="str">
            <v>A</v>
          </cell>
          <cell r="L4" t="str">
            <v>A</v>
          </cell>
          <cell r="M4" t="str">
            <v>A</v>
          </cell>
          <cell r="N4" t="str">
            <v>A</v>
          </cell>
          <cell r="O4" t="str">
            <v>A</v>
          </cell>
        </row>
        <row r="5">
          <cell r="C5" t="str">
            <v>RAN Network Information Collection</v>
          </cell>
          <cell r="D5">
            <v>0.1</v>
          </cell>
          <cell r="E5" t="str">
            <v xml:space="preserve">How does the system collects data?
Note:
Data includes network performance data (e.g., performance measurement, MR data, MDT data), service experience data if needed, network configuration data, alarm data and environment data (e.g., electronic map, site location).
</v>
          </cell>
          <cell r="J5" t="str">
            <v>A</v>
          </cell>
          <cell r="K5" t="str">
            <v>A</v>
          </cell>
          <cell r="L5" t="str">
            <v>A</v>
          </cell>
          <cell r="M5" t="str">
            <v>A</v>
          </cell>
          <cell r="N5" t="str">
            <v>A</v>
          </cell>
          <cell r="O5" t="str">
            <v>A</v>
          </cell>
        </row>
        <row r="6">
          <cell r="C6" t="str">
            <v xml:space="preserve">RAN Network Issue Identification &amp; Performance Deterioration Prediction
</v>
          </cell>
          <cell r="D6">
            <v>0.15</v>
          </cell>
          <cell r="E6" t="str">
            <v xml:space="preserve">How does the system identifies RAN network performance / and service experience  issues (e.g., coverage-related issues, RAN UE throughput-related issues) or predict network performance /service experience deterioration?
</v>
          </cell>
          <cell r="J6" t="str">
            <v>A</v>
          </cell>
          <cell r="K6" t="str">
            <v>A</v>
          </cell>
          <cell r="L6" t="str">
            <v>A</v>
          </cell>
          <cell r="M6" t="str">
            <v>A</v>
          </cell>
          <cell r="N6" t="str">
            <v>A</v>
          </cell>
          <cell r="O6" t="str">
            <v>A</v>
          </cell>
        </row>
        <row r="7">
          <cell r="C7" t="str">
            <v xml:space="preserve">Issue Demarcation &amp; Root Cause Analysis
</v>
          </cell>
          <cell r="D7">
            <v>0.2</v>
          </cell>
          <cell r="E7" t="str">
            <v>How does the system perform problem demarcation and root cause diagnosis?
Note: The root causes including but not limited to: Weak coverage, high load, inference and equipment fault.</v>
          </cell>
          <cell r="J7" t="str">
            <v>A</v>
          </cell>
          <cell r="K7" t="str">
            <v>A</v>
          </cell>
          <cell r="L7" t="str">
            <v>A</v>
          </cell>
          <cell r="M7" t="str">
            <v>A</v>
          </cell>
          <cell r="N7" t="str">
            <v>A</v>
          </cell>
          <cell r="O7" t="str">
            <v>A</v>
          </cell>
        </row>
        <row r="8">
          <cell r="C8" t="str">
            <v xml:space="preserve">Adjustment Solutions Generating 
</v>
          </cell>
          <cell r="D8">
            <v>0.2</v>
          </cell>
          <cell r="E8" t="str">
            <v>How does the system generate the recommended network adjustment solutions (including a set of network adjusting actions) to solve the identified or and predicted network performance or service experience issues?
Note: network adjustment solutions including but not limited to L2/L3 configuration parameters, RF parameters, 5QI related service configuration parameters.</v>
          </cell>
          <cell r="J8" t="str">
            <v>A</v>
          </cell>
          <cell r="K8" t="str">
            <v>A</v>
          </cell>
          <cell r="L8" t="str">
            <v>A</v>
          </cell>
          <cell r="M8" t="str">
            <v>A</v>
          </cell>
          <cell r="N8" t="str">
            <v>A</v>
          </cell>
          <cell r="O8" t="str">
            <v>A</v>
          </cell>
        </row>
        <row r="9">
          <cell r="C9" t="str">
            <v xml:space="preserve">Solution Evaluation &amp; Determination
</v>
          </cell>
          <cell r="D9">
            <v>0.15</v>
          </cell>
          <cell r="E9" t="str">
            <v>How does the RAN network optimization system have the capability of automatically evaluating network optimization solutions and determining the best solution to implement?</v>
          </cell>
          <cell r="J9" t="str">
            <v>A</v>
          </cell>
          <cell r="K9" t="str">
            <v>A</v>
          </cell>
          <cell r="L9" t="str">
            <v>A</v>
          </cell>
          <cell r="M9" t="str">
            <v>A</v>
          </cell>
          <cell r="N9" t="str">
            <v>A</v>
          </cell>
          <cell r="O9" t="str">
            <v>A</v>
          </cell>
        </row>
        <row r="10">
          <cell r="C10" t="str">
            <v xml:space="preserve">Solution implementation
</v>
          </cell>
          <cell r="D10">
            <v>0.1</v>
          </cell>
          <cell r="E10" t="str">
            <v>How does the RAN network optimization system have the capability of executing the network adjustment solutions (e.g., adjusting and configuring the network parameters)? 
Note: network parameters including but not limited to L2/L3 configuration parameters, RF parameters, 5QI related service configuration parameters.</v>
          </cell>
          <cell r="J10" t="str">
            <v>A</v>
          </cell>
          <cell r="K10" t="str">
            <v>A</v>
          </cell>
          <cell r="L10" t="str">
            <v>A</v>
          </cell>
          <cell r="M10" t="str">
            <v>A</v>
          </cell>
          <cell r="N10" t="str">
            <v>A</v>
          </cell>
          <cell r="O10" t="str">
            <v>A</v>
          </cell>
        </row>
        <row r="16">
          <cell r="A16" t="str">
            <v xml:space="preserve">Work Order Automatic Optimization Duration
</v>
          </cell>
          <cell r="D16">
            <v>0.4</v>
          </cell>
          <cell r="J16" t="str">
            <v>A</v>
          </cell>
        </row>
        <row r="17">
          <cell r="A17" t="str">
            <v xml:space="preserve">Optimize Work Order Automation Rate
</v>
          </cell>
          <cell r="D17">
            <v>0.6</v>
          </cell>
          <cell r="J17" t="str">
            <v>A</v>
          </cell>
        </row>
      </sheetData>
      <sheetData sheetId="5" refreshError="1"/>
      <sheetData sheetId="6" refreshError="1"/>
    </sheetDataSet>
  </externalBook>
</externalLink>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tabSelected="1" workbookViewId="0">
      <selection activeCell="B13" sqref="B13"/>
    </sheetView>
  </sheetViews>
  <sheetFormatPr defaultColWidth="10.26953125" defaultRowHeight="15" customHeight="1"/>
  <cols>
    <col min="1" max="1" width="54" style="1" customWidth="1"/>
    <col min="2" max="2" width="38" style="1" customWidth="1"/>
    <col min="3" max="26" width="6.36328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3"/>
      <c r="B5" s="2"/>
      <c r="C5" s="2"/>
      <c r="D5" s="2"/>
      <c r="E5" s="2"/>
      <c r="F5" s="2"/>
      <c r="G5" s="2"/>
      <c r="H5" s="2"/>
      <c r="I5" s="2"/>
      <c r="J5" s="2"/>
      <c r="K5" s="2"/>
      <c r="L5" s="2"/>
      <c r="M5" s="2"/>
      <c r="N5" s="2"/>
      <c r="O5" s="2"/>
      <c r="P5" s="2"/>
      <c r="Q5" s="2"/>
      <c r="R5" s="2"/>
      <c r="S5" s="2"/>
      <c r="T5" s="2"/>
      <c r="U5" s="2"/>
      <c r="V5" s="2"/>
      <c r="W5" s="2"/>
      <c r="X5" s="2"/>
      <c r="Y5" s="2"/>
      <c r="Z5" s="2"/>
    </row>
    <row r="6" spans="1:26" ht="15.75" customHeight="1">
      <c r="A6" s="3"/>
      <c r="B6" s="2"/>
      <c r="C6" s="2"/>
      <c r="D6" s="2"/>
      <c r="E6" s="2"/>
      <c r="F6" s="2"/>
      <c r="G6" s="2"/>
      <c r="H6" s="2"/>
      <c r="I6" s="2"/>
      <c r="J6" s="2"/>
      <c r="K6" s="2"/>
      <c r="L6" s="2"/>
      <c r="M6" s="2"/>
      <c r="N6" s="2"/>
      <c r="O6" s="2"/>
      <c r="P6" s="2"/>
      <c r="Q6" s="2"/>
      <c r="R6" s="2"/>
      <c r="S6" s="2"/>
      <c r="T6" s="2"/>
      <c r="U6" s="2"/>
      <c r="V6" s="2"/>
      <c r="W6" s="2"/>
      <c r="X6" s="2"/>
      <c r="Y6" s="2"/>
      <c r="Z6" s="2"/>
    </row>
    <row r="7" spans="1:26" s="5" customFormat="1" ht="63" customHeight="1">
      <c r="A7" s="113" t="s">
        <v>0</v>
      </c>
      <c r="B7" s="113"/>
      <c r="C7" s="4"/>
      <c r="D7" s="4"/>
      <c r="E7" s="4"/>
      <c r="F7" s="4"/>
      <c r="G7" s="4"/>
      <c r="H7" s="4"/>
      <c r="I7" s="4"/>
      <c r="J7" s="4"/>
      <c r="K7" s="4"/>
      <c r="L7" s="4"/>
      <c r="M7" s="4"/>
      <c r="N7" s="4"/>
      <c r="O7" s="4"/>
      <c r="P7" s="4"/>
      <c r="Q7" s="4"/>
      <c r="R7" s="4"/>
      <c r="S7" s="4"/>
      <c r="T7" s="4"/>
      <c r="U7" s="4"/>
      <c r="V7" s="4"/>
      <c r="W7" s="4"/>
      <c r="X7" s="4"/>
      <c r="Y7" s="4"/>
      <c r="Z7" s="4"/>
    </row>
    <row r="8" spans="1:26" s="5" customFormat="1" ht="80.400000000000006" customHeight="1">
      <c r="A8" s="112" t="s">
        <v>32</v>
      </c>
      <c r="B8" s="112"/>
      <c r="C8" s="4"/>
      <c r="D8" s="4"/>
      <c r="E8" s="4"/>
      <c r="F8" s="4"/>
      <c r="G8" s="4"/>
      <c r="H8" s="4"/>
      <c r="I8" s="4"/>
      <c r="J8" s="4"/>
      <c r="K8" s="4"/>
      <c r="L8" s="4"/>
      <c r="M8" s="4"/>
      <c r="N8" s="4"/>
      <c r="O8" s="4"/>
      <c r="P8" s="4"/>
      <c r="Q8" s="4"/>
      <c r="R8" s="4"/>
      <c r="S8" s="4"/>
      <c r="T8" s="4"/>
      <c r="U8" s="4"/>
      <c r="V8" s="4"/>
      <c r="W8" s="4"/>
      <c r="X8" s="4"/>
      <c r="Y8" s="4"/>
      <c r="Z8" s="4"/>
    </row>
    <row r="9" spans="1:26" s="5" customFormat="1" ht="12.75" customHeight="1">
      <c r="A9" s="6"/>
      <c r="B9" s="4"/>
      <c r="C9" s="4"/>
      <c r="D9" s="4"/>
      <c r="E9" s="4"/>
      <c r="F9" s="4"/>
      <c r="G9" s="4"/>
      <c r="H9" s="4"/>
      <c r="I9" s="4"/>
      <c r="J9" s="4"/>
      <c r="K9" s="4"/>
      <c r="L9" s="4"/>
      <c r="M9" s="4"/>
      <c r="N9" s="4"/>
      <c r="O9" s="4"/>
      <c r="P9" s="4"/>
      <c r="Q9" s="4"/>
      <c r="R9" s="4"/>
      <c r="S9" s="4"/>
      <c r="T9" s="4"/>
      <c r="U9" s="4"/>
      <c r="V9" s="4"/>
      <c r="W9" s="4"/>
      <c r="X9" s="4"/>
      <c r="Y9" s="4"/>
      <c r="Z9" s="4"/>
    </row>
    <row r="10" spans="1:26" s="5" customFormat="1" ht="12.75" customHeight="1">
      <c r="A10" s="6"/>
      <c r="B10" s="4"/>
      <c r="C10" s="4"/>
      <c r="D10" s="4"/>
      <c r="E10" s="4"/>
      <c r="F10" s="4"/>
      <c r="G10" s="4"/>
      <c r="H10" s="4"/>
      <c r="I10" s="4"/>
      <c r="J10" s="4"/>
      <c r="K10" s="4"/>
      <c r="L10" s="4"/>
      <c r="M10" s="4"/>
      <c r="N10" s="4"/>
      <c r="O10" s="4"/>
      <c r="P10" s="4"/>
      <c r="Q10" s="4"/>
      <c r="R10" s="4"/>
      <c r="S10" s="4"/>
      <c r="T10" s="4"/>
      <c r="U10" s="4"/>
      <c r="V10" s="4"/>
      <c r="W10" s="4"/>
      <c r="X10" s="4"/>
      <c r="Y10" s="4"/>
      <c r="Z10" s="4"/>
    </row>
    <row r="11" spans="1:26" s="5" customFormat="1" ht="12.75" customHeight="1">
      <c r="A11" s="6"/>
      <c r="B11" s="4"/>
      <c r="C11" s="4"/>
      <c r="D11" s="4"/>
      <c r="E11" s="4"/>
      <c r="F11" s="4"/>
      <c r="G11" s="4"/>
      <c r="H11" s="4"/>
      <c r="I11" s="4"/>
      <c r="J11" s="4"/>
      <c r="K11" s="4"/>
      <c r="L11" s="4"/>
      <c r="M11" s="4"/>
      <c r="N11" s="4"/>
      <c r="O11" s="4"/>
      <c r="P11" s="4"/>
      <c r="Q11" s="4"/>
      <c r="R11" s="4"/>
      <c r="S11" s="4"/>
      <c r="T11" s="4"/>
      <c r="U11" s="4"/>
      <c r="V11" s="4"/>
      <c r="W11" s="4"/>
      <c r="X11" s="4"/>
      <c r="Y11" s="4"/>
      <c r="Z11" s="4"/>
    </row>
    <row r="12" spans="1:26" s="5" customFormat="1" ht="14.25" customHeight="1">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s="5" customFormat="1" ht="12" customHeight="1">
      <c r="A13" s="6"/>
      <c r="B13" s="4"/>
      <c r="C13" s="4"/>
      <c r="D13" s="4"/>
      <c r="E13" s="4"/>
      <c r="F13" s="4"/>
      <c r="G13" s="4"/>
      <c r="H13" s="4"/>
      <c r="I13" s="4"/>
      <c r="J13" s="4"/>
      <c r="K13" s="4"/>
      <c r="L13" s="4"/>
      <c r="M13" s="4"/>
      <c r="N13" s="4"/>
      <c r="O13" s="4"/>
      <c r="P13" s="4"/>
      <c r="Q13" s="4"/>
      <c r="R13" s="4"/>
      <c r="S13" s="4"/>
      <c r="T13" s="4"/>
      <c r="U13" s="4"/>
      <c r="V13" s="4"/>
      <c r="W13" s="4"/>
      <c r="X13" s="4"/>
      <c r="Y13" s="4"/>
      <c r="Z13" s="4"/>
    </row>
    <row r="14" spans="1:26" s="5" customFormat="1" ht="23.4">
      <c r="A14" s="6" t="s">
        <v>33</v>
      </c>
      <c r="B14" s="4"/>
      <c r="C14" s="4"/>
      <c r="D14" s="4"/>
      <c r="E14" s="4"/>
      <c r="F14" s="4"/>
      <c r="G14" s="4"/>
      <c r="H14" s="4"/>
      <c r="I14" s="4"/>
      <c r="J14" s="4"/>
      <c r="K14" s="4"/>
      <c r="L14" s="4"/>
      <c r="M14" s="4"/>
      <c r="N14" s="4"/>
      <c r="O14" s="4"/>
      <c r="P14" s="4"/>
      <c r="Q14" s="4"/>
      <c r="R14" s="4"/>
      <c r="S14" s="4"/>
      <c r="T14" s="4"/>
      <c r="U14" s="4"/>
      <c r="V14" s="4"/>
      <c r="W14" s="4"/>
      <c r="X14" s="4"/>
      <c r="Y14" s="4"/>
      <c r="Z14" s="4"/>
    </row>
    <row r="15" spans="1:26" s="5" customFormat="1" ht="11.25" customHeight="1" thickBot="1">
      <c r="A15" s="6"/>
      <c r="B15" s="4"/>
      <c r="C15" s="4"/>
      <c r="D15" s="4"/>
      <c r="E15" s="4"/>
      <c r="F15" s="4"/>
      <c r="G15" s="4"/>
      <c r="H15" s="4"/>
      <c r="I15" s="4"/>
      <c r="J15" s="4"/>
      <c r="K15" s="4"/>
      <c r="L15" s="4"/>
      <c r="M15" s="4"/>
      <c r="N15" s="4"/>
      <c r="O15" s="4"/>
      <c r="P15" s="4"/>
      <c r="Q15" s="4"/>
      <c r="R15" s="4"/>
      <c r="S15" s="4"/>
      <c r="T15" s="4"/>
      <c r="U15" s="4"/>
      <c r="V15" s="4"/>
      <c r="W15" s="4"/>
      <c r="X15" s="4"/>
      <c r="Y15" s="4"/>
      <c r="Z15" s="4"/>
    </row>
    <row r="16" spans="1:26" s="5" customFormat="1" ht="18">
      <c r="A16" s="37" t="s">
        <v>242</v>
      </c>
      <c r="B16" s="7" t="s">
        <v>1</v>
      </c>
      <c r="C16" s="4"/>
      <c r="D16" s="4"/>
      <c r="E16" s="4"/>
      <c r="F16" s="4"/>
      <c r="G16" s="4"/>
      <c r="H16" s="4"/>
      <c r="I16" s="4"/>
      <c r="J16" s="4"/>
      <c r="K16" s="4"/>
      <c r="L16" s="4"/>
      <c r="M16" s="4"/>
      <c r="N16" s="4"/>
      <c r="O16" s="4"/>
      <c r="P16" s="4"/>
      <c r="Q16" s="4"/>
      <c r="R16" s="4"/>
      <c r="S16" s="4"/>
      <c r="T16" s="4"/>
      <c r="U16" s="4"/>
      <c r="V16" s="4"/>
      <c r="W16" s="4"/>
      <c r="X16" s="4"/>
      <c r="Y16" s="4"/>
      <c r="Z16" s="4"/>
    </row>
    <row r="17" spans="1:26" s="5" customFormat="1" ht="18.600000000000001" thickBot="1">
      <c r="A17" s="8" t="s">
        <v>2</v>
      </c>
      <c r="B17" s="9" t="s">
        <v>3</v>
      </c>
      <c r="C17" s="4"/>
      <c r="D17" s="4"/>
      <c r="E17" s="4"/>
      <c r="F17" s="4"/>
      <c r="G17" s="4"/>
      <c r="H17" s="4"/>
      <c r="I17" s="4"/>
      <c r="J17" s="4"/>
      <c r="K17" s="4"/>
      <c r="L17" s="4"/>
      <c r="M17" s="4"/>
      <c r="N17" s="4"/>
      <c r="O17" s="4"/>
      <c r="P17" s="4"/>
      <c r="Q17" s="4"/>
      <c r="R17" s="4"/>
      <c r="S17" s="4"/>
      <c r="T17" s="4"/>
      <c r="U17" s="4"/>
      <c r="V17" s="4"/>
      <c r="W17" s="4"/>
      <c r="X17" s="4"/>
      <c r="Y17" s="4"/>
      <c r="Z17" s="4"/>
    </row>
    <row r="18" spans="1:26" s="5" customFormat="1" ht="18.600000000000001" thickBot="1">
      <c r="A18" s="8" t="s">
        <v>240</v>
      </c>
      <c r="B18" s="9" t="s">
        <v>4</v>
      </c>
      <c r="C18" s="4"/>
      <c r="D18" s="4"/>
      <c r="E18" s="4"/>
      <c r="F18" s="4"/>
      <c r="G18" s="4"/>
      <c r="H18" s="4"/>
      <c r="I18" s="4"/>
      <c r="J18" s="4"/>
      <c r="K18" s="4"/>
      <c r="L18" s="4"/>
      <c r="M18" s="4"/>
      <c r="N18" s="4"/>
      <c r="O18" s="4"/>
      <c r="P18" s="4"/>
      <c r="Q18" s="4"/>
      <c r="R18" s="4"/>
      <c r="S18" s="4"/>
      <c r="T18" s="4"/>
      <c r="U18" s="4"/>
      <c r="V18" s="4"/>
      <c r="W18" s="4"/>
      <c r="X18" s="4"/>
      <c r="Y18" s="4"/>
      <c r="Z18" s="4"/>
    </row>
    <row r="19" spans="1:26" s="5" customFormat="1" ht="13.8">
      <c r="A19" s="4"/>
      <c r="C19" s="4"/>
      <c r="D19" s="4"/>
      <c r="E19" s="4"/>
      <c r="F19" s="4"/>
      <c r="G19" s="4"/>
      <c r="H19" s="4"/>
      <c r="I19" s="4"/>
      <c r="J19" s="4"/>
      <c r="K19" s="4"/>
      <c r="L19" s="4"/>
      <c r="M19" s="4"/>
      <c r="N19" s="4"/>
      <c r="O19" s="4"/>
      <c r="P19" s="4"/>
      <c r="Q19" s="4"/>
      <c r="R19" s="4"/>
      <c r="S19" s="4"/>
      <c r="T19" s="4"/>
      <c r="U19" s="4"/>
      <c r="V19" s="4"/>
      <c r="W19" s="4"/>
      <c r="X19" s="4"/>
      <c r="Y19" s="4"/>
      <c r="Z19" s="4"/>
    </row>
    <row r="20" spans="1:26" s="5" customFormat="1" ht="6.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s="5" customFormat="1" ht="12.75" customHeight="1">
      <c r="B21" s="4"/>
      <c r="C21" s="4"/>
      <c r="D21" s="4"/>
      <c r="E21" s="4"/>
      <c r="F21" s="4"/>
      <c r="G21" s="4"/>
      <c r="H21" s="4"/>
      <c r="I21" s="4"/>
      <c r="J21" s="4"/>
      <c r="K21" s="4"/>
      <c r="L21" s="4"/>
      <c r="M21" s="4"/>
      <c r="N21" s="4"/>
      <c r="O21" s="4"/>
      <c r="P21" s="4"/>
      <c r="Q21" s="4"/>
      <c r="R21" s="4"/>
      <c r="S21" s="4"/>
      <c r="T21" s="4"/>
      <c r="U21" s="4"/>
      <c r="V21" s="4"/>
      <c r="W21" s="4"/>
      <c r="X21" s="4"/>
      <c r="Y21" s="4"/>
      <c r="Z21" s="4"/>
    </row>
    <row r="22" spans="1:26" s="5" customFormat="1" ht="12.75" customHeight="1">
      <c r="B22" s="4"/>
      <c r="C22" s="4"/>
      <c r="D22" s="4"/>
      <c r="E22" s="4"/>
      <c r="F22" s="4"/>
      <c r="G22" s="4"/>
      <c r="H22" s="4"/>
      <c r="I22" s="4"/>
      <c r="J22" s="4"/>
      <c r="K22" s="4"/>
      <c r="L22" s="4"/>
      <c r="M22" s="4"/>
      <c r="N22" s="4"/>
      <c r="O22" s="4"/>
      <c r="P22" s="4"/>
      <c r="Q22" s="4"/>
      <c r="R22" s="4"/>
      <c r="S22" s="4"/>
      <c r="T22" s="4"/>
      <c r="U22" s="4"/>
      <c r="V22" s="4"/>
      <c r="W22" s="4"/>
      <c r="X22" s="4"/>
      <c r="Y22" s="4"/>
      <c r="Z22" s="4"/>
    </row>
    <row r="23" spans="1:26" s="5" customFormat="1"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0" t="s">
        <v>5</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A8:B8"/>
    <mergeCell ref="A7:B7"/>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25D-07A6-4C5A-8AAD-45BD5326E116}">
  <dimension ref="A1:Z970"/>
  <sheetViews>
    <sheetView workbookViewId="0">
      <selection activeCell="A24" sqref="A24"/>
    </sheetView>
  </sheetViews>
  <sheetFormatPr defaultColWidth="10.26953125" defaultRowHeight="15" customHeight="1"/>
  <cols>
    <col min="1" max="1" width="95.90625" style="5" customWidth="1"/>
    <col min="2" max="26" width="6.36328125" style="5" customWidth="1"/>
    <col min="27" max="16384" width="10.26953125" style="5"/>
  </cols>
  <sheetData>
    <row r="1" spans="1:26" ht="5.25" customHeight="1">
      <c r="A1" s="11"/>
      <c r="B1" s="4"/>
      <c r="C1" s="4"/>
      <c r="D1" s="4"/>
      <c r="E1" s="4"/>
      <c r="F1" s="4"/>
      <c r="G1" s="4"/>
      <c r="H1" s="4"/>
      <c r="I1" s="4"/>
      <c r="J1" s="4"/>
      <c r="K1" s="4"/>
      <c r="L1" s="4"/>
      <c r="M1" s="4"/>
      <c r="N1" s="4"/>
      <c r="O1" s="4"/>
      <c r="P1" s="4"/>
      <c r="Q1" s="4"/>
      <c r="R1" s="4"/>
      <c r="S1" s="4"/>
      <c r="T1" s="4"/>
      <c r="U1" s="4"/>
      <c r="V1" s="4"/>
      <c r="W1" s="4"/>
      <c r="X1" s="4"/>
      <c r="Y1" s="4"/>
      <c r="Z1" s="4"/>
    </row>
    <row r="2" spans="1:26" ht="24" customHeight="1">
      <c r="A2" s="11"/>
      <c r="B2" s="4"/>
      <c r="C2" s="4"/>
      <c r="D2" s="4"/>
      <c r="E2" s="4"/>
      <c r="F2" s="4"/>
      <c r="G2" s="4"/>
      <c r="H2" s="4"/>
      <c r="I2" s="4"/>
      <c r="J2" s="4"/>
      <c r="K2" s="4"/>
      <c r="L2" s="4"/>
      <c r="M2" s="4"/>
      <c r="N2" s="4"/>
      <c r="O2" s="4"/>
      <c r="P2" s="4"/>
      <c r="Q2" s="4"/>
      <c r="R2" s="4"/>
      <c r="S2" s="4"/>
      <c r="T2" s="4"/>
      <c r="U2" s="4"/>
      <c r="V2" s="4"/>
      <c r="W2" s="4"/>
      <c r="X2" s="4"/>
      <c r="Y2" s="4"/>
      <c r="Z2" s="4"/>
    </row>
    <row r="3" spans="1:26" ht="5.25" customHeight="1">
      <c r="A3" s="11"/>
      <c r="B3" s="4"/>
      <c r="C3" s="4"/>
      <c r="D3" s="4"/>
      <c r="E3" s="4"/>
      <c r="F3" s="4"/>
      <c r="G3" s="4"/>
      <c r="H3" s="4"/>
      <c r="I3" s="4"/>
      <c r="J3" s="4"/>
      <c r="K3" s="4"/>
      <c r="L3" s="4"/>
      <c r="M3" s="4"/>
      <c r="N3" s="4"/>
      <c r="O3" s="4"/>
      <c r="P3" s="4"/>
      <c r="Q3" s="4"/>
      <c r="R3" s="4"/>
      <c r="S3" s="4"/>
      <c r="T3" s="4"/>
      <c r="U3" s="4"/>
      <c r="V3" s="4"/>
      <c r="W3" s="4"/>
      <c r="X3" s="4"/>
      <c r="Y3" s="4"/>
      <c r="Z3" s="4"/>
    </row>
    <row r="4" spans="1:26" ht="5.25" customHeight="1">
      <c r="A4" s="11"/>
      <c r="B4" s="4"/>
      <c r="C4" s="4"/>
      <c r="D4" s="4"/>
      <c r="E4" s="4"/>
      <c r="F4" s="4"/>
      <c r="G4" s="4"/>
      <c r="H4" s="4"/>
      <c r="I4" s="4"/>
      <c r="J4" s="4"/>
      <c r="K4" s="4"/>
      <c r="L4" s="4"/>
      <c r="M4" s="4"/>
      <c r="N4" s="4"/>
      <c r="O4" s="4"/>
      <c r="P4" s="4"/>
      <c r="Q4" s="4"/>
      <c r="R4" s="4"/>
      <c r="S4" s="4"/>
      <c r="T4" s="4"/>
      <c r="U4" s="4"/>
      <c r="V4" s="4"/>
      <c r="W4" s="4"/>
      <c r="X4" s="4"/>
      <c r="Y4" s="4"/>
      <c r="Z4" s="4"/>
    </row>
    <row r="5" spans="1:26" ht="5.25" customHeight="1">
      <c r="A5" s="11"/>
      <c r="B5" s="4"/>
      <c r="C5" s="4"/>
      <c r="D5" s="4"/>
      <c r="E5" s="4"/>
      <c r="F5" s="4"/>
      <c r="G5" s="4"/>
      <c r="H5" s="4"/>
      <c r="I5" s="4"/>
      <c r="J5" s="4"/>
      <c r="K5" s="4"/>
      <c r="L5" s="4"/>
      <c r="M5" s="4"/>
      <c r="N5" s="4"/>
      <c r="O5" s="4"/>
      <c r="P5" s="4"/>
      <c r="Q5" s="4"/>
      <c r="R5" s="4"/>
      <c r="S5" s="4"/>
      <c r="T5" s="4"/>
      <c r="U5" s="4"/>
      <c r="V5" s="4"/>
      <c r="W5" s="4"/>
      <c r="X5" s="4"/>
      <c r="Y5" s="4"/>
      <c r="Z5" s="4"/>
    </row>
    <row r="6" spans="1:26" ht="5.25" customHeight="1">
      <c r="A6" s="11"/>
      <c r="B6" s="4"/>
      <c r="C6" s="4"/>
      <c r="D6" s="4"/>
      <c r="E6" s="4"/>
      <c r="F6" s="4"/>
      <c r="G6" s="4"/>
      <c r="H6" s="4"/>
      <c r="I6" s="4"/>
      <c r="J6" s="4"/>
      <c r="K6" s="4"/>
      <c r="L6" s="4"/>
      <c r="M6" s="4"/>
      <c r="N6" s="4"/>
      <c r="O6" s="4"/>
      <c r="P6" s="4"/>
      <c r="Q6" s="4"/>
      <c r="R6" s="4"/>
      <c r="S6" s="4"/>
      <c r="T6" s="4"/>
      <c r="U6" s="4"/>
      <c r="V6" s="4"/>
      <c r="W6" s="4"/>
      <c r="X6" s="4"/>
      <c r="Y6" s="4"/>
      <c r="Z6" s="4"/>
    </row>
    <row r="7" spans="1:26" ht="41.25" customHeight="1">
      <c r="A7" s="12" t="s">
        <v>6</v>
      </c>
      <c r="B7" s="4"/>
      <c r="C7" s="4"/>
      <c r="D7" s="4"/>
      <c r="E7" s="4"/>
      <c r="F7" s="4"/>
      <c r="G7" s="4"/>
      <c r="H7" s="4"/>
      <c r="I7" s="4"/>
      <c r="J7" s="4"/>
      <c r="K7" s="4"/>
      <c r="L7" s="4"/>
      <c r="M7" s="4"/>
      <c r="N7" s="4"/>
      <c r="O7" s="4"/>
      <c r="P7" s="4"/>
      <c r="Q7" s="4"/>
      <c r="R7" s="4"/>
      <c r="S7" s="4"/>
      <c r="T7" s="4"/>
      <c r="U7" s="4"/>
      <c r="V7" s="4"/>
      <c r="W7" s="4"/>
      <c r="X7" s="4"/>
      <c r="Y7" s="4"/>
      <c r="Z7" s="4"/>
    </row>
    <row r="8" spans="1:26" ht="15" customHeight="1">
      <c r="A8" s="13" t="s">
        <v>7</v>
      </c>
      <c r="B8" s="14"/>
      <c r="C8" s="14"/>
      <c r="D8" s="14"/>
      <c r="E8" s="14"/>
      <c r="F8" s="14"/>
      <c r="G8" s="14"/>
      <c r="H8" s="14"/>
      <c r="I8" s="14"/>
      <c r="J8" s="14"/>
      <c r="K8" s="14"/>
      <c r="L8" s="14"/>
      <c r="M8" s="14"/>
      <c r="N8" s="14"/>
      <c r="O8" s="14"/>
      <c r="P8" s="14"/>
      <c r="Q8" s="14"/>
      <c r="R8" s="14"/>
      <c r="S8" s="14"/>
      <c r="T8" s="14"/>
      <c r="U8" s="14"/>
      <c r="V8" s="14"/>
      <c r="W8" s="14"/>
      <c r="X8" s="14"/>
      <c r="Y8" s="14"/>
      <c r="Z8" s="14"/>
    </row>
    <row r="9" spans="1:26" ht="7.5" customHeight="1">
      <c r="A9" s="13"/>
      <c r="B9" s="14"/>
      <c r="C9" s="14"/>
      <c r="D9" s="14"/>
      <c r="E9" s="14"/>
      <c r="F9" s="14"/>
      <c r="G9" s="14"/>
      <c r="H9" s="14"/>
      <c r="I9" s="14"/>
      <c r="J9" s="14"/>
      <c r="K9" s="14"/>
      <c r="L9" s="14"/>
      <c r="M9" s="14"/>
      <c r="N9" s="14"/>
      <c r="O9" s="14"/>
      <c r="P9" s="14"/>
      <c r="Q9" s="14"/>
      <c r="R9" s="14"/>
      <c r="S9" s="14"/>
      <c r="T9" s="14"/>
      <c r="U9" s="14"/>
      <c r="V9" s="14"/>
      <c r="W9" s="14"/>
      <c r="X9" s="14"/>
      <c r="Y9" s="14"/>
      <c r="Z9" s="14"/>
    </row>
    <row r="10" spans="1:26" ht="120.6" customHeight="1">
      <c r="A10" s="34" t="s">
        <v>8</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7.5" customHeight="1">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s="19" customFormat="1" ht="19.5" customHeight="1">
      <c r="A12" s="35" t="s">
        <v>9</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5" customHeight="1">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s="19" customFormat="1" ht="62.4" customHeight="1">
      <c r="A14" s="35" t="s">
        <v>10</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2" customHeight="1">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s="19" customFormat="1" ht="17.399999999999999" customHeight="1">
      <c r="A16" s="36" t="s">
        <v>11</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s="19" customFormat="1" ht="6" customHeight="1">
      <c r="A17" s="36"/>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s="19" customFormat="1" ht="17.399999999999999" customHeight="1">
      <c r="A18" s="17" t="s">
        <v>12</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s="19" customFormat="1" ht="16.5" customHeight="1">
      <c r="A19" s="19" t="s">
        <v>13</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s="19" customFormat="1" ht="16.5" customHeight="1">
      <c r="A20" s="17" t="s">
        <v>14</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s="19" customFormat="1" ht="16.5" customHeight="1">
      <c r="A21" s="17" t="s">
        <v>15</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s="19" customFormat="1" ht="18" customHeight="1">
      <c r="A22" s="20" t="s">
        <v>16</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4" spans="1:26" ht="14.4" customHeight="1">
      <c r="A24" s="10" t="s">
        <v>17</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8" customHeight="1">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8" customHeight="1">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6.6" customHeight="1">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6.5" customHeight="1">
      <c r="A28" s="10"/>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25" customHeight="1">
      <c r="A29" s="10"/>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25" customHeight="1">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25" customHeight="1">
      <c r="A31" s="10"/>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25" customHeight="1">
      <c r="A32" s="10"/>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25" customHeight="1">
      <c r="A33" s="10"/>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25" customHeight="1">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25" customHeight="1">
      <c r="A35" s="10"/>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60.75" customHeight="1">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7.5" customHeigh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7.5"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37.5"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7.5"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7.5"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7.5"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7.5"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7.5"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c r="A45" s="16"/>
      <c r="B45" s="4"/>
      <c r="C45" s="4"/>
      <c r="D45" s="4"/>
      <c r="E45" s="4"/>
      <c r="F45" s="4"/>
      <c r="G45" s="4"/>
      <c r="H45" s="4"/>
      <c r="I45" s="4"/>
      <c r="J45" s="4"/>
      <c r="K45" s="4"/>
      <c r="L45" s="4"/>
      <c r="M45" s="4"/>
      <c r="N45" s="4"/>
      <c r="O45" s="4"/>
      <c r="P45" s="4"/>
      <c r="Q45" s="4"/>
      <c r="R45" s="4"/>
      <c r="S45" s="4"/>
      <c r="T45" s="4"/>
      <c r="U45" s="4"/>
      <c r="V45" s="4"/>
      <c r="W45" s="4"/>
      <c r="X45" s="4"/>
      <c r="Y45" s="4"/>
      <c r="Z45" s="4"/>
    </row>
    <row r="46" spans="1:26" ht="15" customHeight="1">
      <c r="A46" s="16"/>
      <c r="B46" s="4"/>
      <c r="C46" s="4"/>
      <c r="D46" s="4"/>
      <c r="E46" s="4"/>
      <c r="F46" s="4"/>
      <c r="G46" s="4"/>
      <c r="H46" s="4"/>
      <c r="I46" s="4"/>
      <c r="J46" s="4"/>
      <c r="K46" s="4"/>
      <c r="L46" s="4"/>
      <c r="M46" s="4"/>
      <c r="N46" s="4"/>
      <c r="O46" s="4"/>
      <c r="P46" s="4"/>
      <c r="Q46" s="4"/>
      <c r="R46" s="4"/>
      <c r="S46" s="4"/>
      <c r="T46" s="4"/>
      <c r="U46" s="4"/>
      <c r="V46" s="4"/>
      <c r="W46" s="4"/>
      <c r="X46" s="4"/>
      <c r="Y46" s="4"/>
      <c r="Z46" s="4"/>
    </row>
    <row r="47" spans="1:26" ht="15" customHeight="1">
      <c r="A47" s="16"/>
      <c r="B47" s="4"/>
      <c r="C47" s="4"/>
      <c r="D47" s="4"/>
      <c r="E47" s="4"/>
      <c r="F47" s="4"/>
      <c r="G47" s="4"/>
      <c r="H47" s="4"/>
      <c r="I47" s="4"/>
      <c r="J47" s="4"/>
      <c r="K47" s="4"/>
      <c r="L47" s="4"/>
      <c r="M47" s="4"/>
      <c r="N47" s="4"/>
      <c r="O47" s="4"/>
      <c r="P47" s="4"/>
      <c r="Q47" s="4"/>
      <c r="R47" s="4"/>
      <c r="S47" s="4"/>
      <c r="T47" s="4"/>
      <c r="U47" s="4"/>
      <c r="V47" s="4"/>
      <c r="W47" s="4"/>
      <c r="X47" s="4"/>
      <c r="Y47" s="4"/>
      <c r="Z47" s="4"/>
    </row>
    <row r="48" spans="1:26" ht="15" customHeight="1">
      <c r="A48" s="16"/>
      <c r="B48" s="4"/>
      <c r="C48" s="4"/>
      <c r="D48" s="4"/>
      <c r="E48" s="4"/>
      <c r="F48" s="4"/>
      <c r="G48" s="4"/>
      <c r="H48" s="4"/>
      <c r="I48" s="4"/>
      <c r="J48" s="4"/>
      <c r="K48" s="4"/>
      <c r="L48" s="4"/>
      <c r="M48" s="4"/>
      <c r="N48" s="4"/>
      <c r="O48" s="4"/>
      <c r="P48" s="4"/>
      <c r="Q48" s="4"/>
      <c r="R48" s="4"/>
      <c r="S48" s="4"/>
      <c r="T48" s="4"/>
      <c r="U48" s="4"/>
      <c r="V48" s="4"/>
      <c r="W48" s="4"/>
      <c r="X48" s="4"/>
      <c r="Y48" s="4"/>
      <c r="Z48" s="4"/>
    </row>
    <row r="49" spans="1:26" ht="15" customHeight="1">
      <c r="A49" s="16"/>
      <c r="B49" s="4"/>
      <c r="C49" s="4"/>
      <c r="D49" s="4"/>
      <c r="E49" s="4"/>
      <c r="F49" s="4"/>
      <c r="G49" s="4"/>
      <c r="H49" s="4"/>
      <c r="I49" s="4"/>
      <c r="J49" s="4"/>
      <c r="K49" s="4"/>
      <c r="L49" s="4"/>
      <c r="M49" s="4"/>
      <c r="N49" s="4"/>
      <c r="O49" s="4"/>
      <c r="P49" s="4"/>
      <c r="Q49" s="4"/>
      <c r="R49" s="4"/>
      <c r="S49" s="4"/>
      <c r="T49" s="4"/>
      <c r="U49" s="4"/>
      <c r="V49" s="4"/>
      <c r="W49" s="4"/>
      <c r="X49" s="4"/>
      <c r="Y49" s="4"/>
      <c r="Z49" s="4"/>
    </row>
    <row r="50" spans="1:26" ht="15" customHeight="1">
      <c r="A50" s="16"/>
      <c r="B50" s="4"/>
      <c r="C50" s="4"/>
      <c r="D50" s="4"/>
      <c r="E50" s="4"/>
      <c r="F50" s="4"/>
      <c r="G50" s="4"/>
      <c r="H50" s="4"/>
      <c r="I50" s="4"/>
      <c r="J50" s="4"/>
      <c r="K50" s="4"/>
      <c r="L50" s="4"/>
      <c r="M50" s="4"/>
      <c r="N50" s="4"/>
      <c r="O50" s="4"/>
      <c r="P50" s="4"/>
      <c r="Q50" s="4"/>
      <c r="R50" s="4"/>
      <c r="S50" s="4"/>
      <c r="T50" s="4"/>
      <c r="U50" s="4"/>
      <c r="V50" s="4"/>
      <c r="W50" s="4"/>
      <c r="X50" s="4"/>
      <c r="Y50" s="4"/>
      <c r="Z50" s="4"/>
    </row>
    <row r="51" spans="1:26" ht="15" customHeight="1">
      <c r="A51" s="16"/>
      <c r="B51" s="4"/>
      <c r="C51" s="4"/>
      <c r="D51" s="4"/>
      <c r="E51" s="4"/>
      <c r="F51" s="4"/>
      <c r="G51" s="4"/>
      <c r="H51" s="4"/>
      <c r="I51" s="4"/>
      <c r="J51" s="4"/>
      <c r="K51" s="4"/>
      <c r="L51" s="4"/>
      <c r="M51" s="4"/>
      <c r="N51" s="4"/>
      <c r="O51" s="4"/>
      <c r="P51" s="4"/>
      <c r="Q51" s="4"/>
      <c r="R51" s="4"/>
      <c r="S51" s="4"/>
      <c r="T51" s="4"/>
      <c r="U51" s="4"/>
      <c r="V51" s="4"/>
      <c r="W51" s="4"/>
      <c r="X51" s="4"/>
      <c r="Y51" s="4"/>
      <c r="Z51" s="4"/>
    </row>
    <row r="52" spans="1:26" ht="15" customHeight="1">
      <c r="A52" s="16"/>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c r="A53" s="16"/>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c r="A54" s="16"/>
      <c r="B54" s="4"/>
      <c r="C54" s="4"/>
      <c r="D54" s="4"/>
      <c r="E54" s="4"/>
      <c r="F54" s="4"/>
      <c r="G54" s="4"/>
      <c r="H54" s="4"/>
      <c r="I54" s="4"/>
      <c r="J54" s="4"/>
      <c r="K54" s="4"/>
      <c r="L54" s="4"/>
      <c r="M54" s="4"/>
      <c r="N54" s="4"/>
      <c r="O54" s="4"/>
      <c r="P54" s="4"/>
      <c r="Q54" s="4"/>
      <c r="R54" s="4"/>
      <c r="S54" s="4"/>
      <c r="T54" s="4"/>
      <c r="U54" s="4"/>
      <c r="V54" s="4"/>
      <c r="W54" s="4"/>
      <c r="X54" s="4"/>
      <c r="Y54" s="4"/>
      <c r="Z54" s="4"/>
    </row>
    <row r="55" spans="1:26" ht="15" customHeight="1">
      <c r="A55" s="16"/>
      <c r="B55" s="4"/>
      <c r="C55" s="4"/>
      <c r="D55" s="4"/>
      <c r="E55" s="4"/>
      <c r="F55" s="4"/>
      <c r="G55" s="4"/>
      <c r="H55" s="4"/>
      <c r="I55" s="4"/>
      <c r="J55" s="4"/>
      <c r="K55" s="4"/>
      <c r="L55" s="4"/>
      <c r="M55" s="4"/>
      <c r="N55" s="4"/>
      <c r="O55" s="4"/>
      <c r="P55" s="4"/>
      <c r="Q55" s="4"/>
      <c r="R55" s="4"/>
      <c r="S55" s="4"/>
      <c r="T55" s="4"/>
      <c r="U55" s="4"/>
      <c r="V55" s="4"/>
      <c r="W55" s="4"/>
      <c r="X55" s="4"/>
      <c r="Y55" s="4"/>
      <c r="Z55" s="4"/>
    </row>
    <row r="56" spans="1:26" ht="15" customHeight="1">
      <c r="A56" s="16"/>
      <c r="B56" s="4"/>
      <c r="C56" s="4"/>
      <c r="D56" s="4"/>
      <c r="E56" s="4"/>
      <c r="F56" s="4"/>
      <c r="G56" s="4"/>
      <c r="H56" s="4"/>
      <c r="I56" s="4"/>
      <c r="J56" s="4"/>
      <c r="K56" s="4"/>
      <c r="L56" s="4"/>
      <c r="M56" s="4"/>
      <c r="N56" s="4"/>
      <c r="O56" s="4"/>
      <c r="P56" s="4"/>
      <c r="Q56" s="4"/>
      <c r="R56" s="4"/>
      <c r="S56" s="4"/>
      <c r="T56" s="4"/>
      <c r="U56" s="4"/>
      <c r="V56" s="4"/>
      <c r="W56" s="4"/>
      <c r="X56" s="4"/>
      <c r="Y56" s="4"/>
      <c r="Z56" s="4"/>
    </row>
    <row r="57" spans="1:26" ht="15" customHeight="1">
      <c r="A57" s="16"/>
      <c r="B57" s="4"/>
      <c r="C57" s="4"/>
      <c r="D57" s="4"/>
      <c r="E57" s="4"/>
      <c r="F57" s="4"/>
      <c r="G57" s="4"/>
      <c r="H57" s="4"/>
      <c r="I57" s="4"/>
      <c r="J57" s="4"/>
      <c r="K57" s="4"/>
      <c r="L57" s="4"/>
      <c r="M57" s="4"/>
      <c r="N57" s="4"/>
      <c r="O57" s="4"/>
      <c r="P57" s="4"/>
      <c r="Q57" s="4"/>
      <c r="R57" s="4"/>
      <c r="S57" s="4"/>
      <c r="T57" s="4"/>
      <c r="U57" s="4"/>
      <c r="V57" s="4"/>
      <c r="W57" s="4"/>
      <c r="X57" s="4"/>
      <c r="Y57" s="4"/>
      <c r="Z57" s="4"/>
    </row>
    <row r="58" spans="1:26" ht="15" customHeight="1">
      <c r="A58" s="16"/>
      <c r="B58" s="4"/>
      <c r="C58" s="4"/>
      <c r="D58" s="4"/>
      <c r="E58" s="4"/>
      <c r="F58" s="4"/>
      <c r="G58" s="4"/>
      <c r="H58" s="4"/>
      <c r="I58" s="4"/>
      <c r="J58" s="4"/>
      <c r="K58" s="4"/>
      <c r="L58" s="4"/>
      <c r="M58" s="4"/>
      <c r="N58" s="4"/>
      <c r="O58" s="4"/>
      <c r="P58" s="4"/>
      <c r="Q58" s="4"/>
      <c r="R58" s="4"/>
      <c r="S58" s="4"/>
      <c r="T58" s="4"/>
      <c r="U58" s="4"/>
      <c r="V58" s="4"/>
      <c r="W58" s="4"/>
      <c r="X58" s="4"/>
      <c r="Y58" s="4"/>
      <c r="Z58" s="4"/>
    </row>
    <row r="59" spans="1:26" ht="15" customHeight="1">
      <c r="A59" s="16"/>
      <c r="B59" s="4"/>
      <c r="C59" s="4"/>
      <c r="D59" s="4"/>
      <c r="E59" s="4"/>
      <c r="F59" s="4"/>
      <c r="G59" s="4"/>
      <c r="H59" s="4"/>
      <c r="I59" s="4"/>
      <c r="J59" s="4"/>
      <c r="K59" s="4"/>
      <c r="L59" s="4"/>
      <c r="M59" s="4"/>
      <c r="N59" s="4"/>
      <c r="O59" s="4"/>
      <c r="P59" s="4"/>
      <c r="Q59" s="4"/>
      <c r="R59" s="4"/>
      <c r="S59" s="4"/>
      <c r="T59" s="4"/>
      <c r="U59" s="4"/>
      <c r="V59" s="4"/>
      <c r="W59" s="4"/>
      <c r="X59" s="4"/>
      <c r="Y59" s="4"/>
      <c r="Z59" s="4"/>
    </row>
    <row r="60" spans="1:26" ht="15" customHeight="1">
      <c r="A60" s="16"/>
      <c r="B60" s="4"/>
      <c r="C60" s="4"/>
      <c r="D60" s="4"/>
      <c r="E60" s="4"/>
      <c r="F60" s="4"/>
      <c r="G60" s="4"/>
      <c r="H60" s="4"/>
      <c r="I60" s="4"/>
      <c r="J60" s="4"/>
      <c r="K60" s="4"/>
      <c r="L60" s="4"/>
      <c r="M60" s="4"/>
      <c r="N60" s="4"/>
      <c r="O60" s="4"/>
      <c r="P60" s="4"/>
      <c r="Q60" s="4"/>
      <c r="R60" s="4"/>
      <c r="S60" s="4"/>
      <c r="T60" s="4"/>
      <c r="U60" s="4"/>
      <c r="V60" s="4"/>
      <c r="W60" s="4"/>
      <c r="X60" s="4"/>
      <c r="Y60" s="4"/>
      <c r="Z60" s="4"/>
    </row>
    <row r="61" spans="1:26" ht="15" customHeight="1">
      <c r="A61" s="16"/>
      <c r="B61" s="4"/>
      <c r="C61" s="4"/>
      <c r="D61" s="4"/>
      <c r="E61" s="4"/>
      <c r="F61" s="4"/>
      <c r="G61" s="4"/>
      <c r="H61" s="4"/>
      <c r="I61" s="4"/>
      <c r="J61" s="4"/>
      <c r="K61" s="4"/>
      <c r="L61" s="4"/>
      <c r="M61" s="4"/>
      <c r="N61" s="4"/>
      <c r="O61" s="4"/>
      <c r="P61" s="4"/>
      <c r="Q61" s="4"/>
      <c r="R61" s="4"/>
      <c r="S61" s="4"/>
      <c r="T61" s="4"/>
      <c r="U61" s="4"/>
      <c r="V61" s="4"/>
      <c r="W61" s="4"/>
      <c r="X61" s="4"/>
      <c r="Y61" s="4"/>
      <c r="Z61" s="4"/>
    </row>
    <row r="62" spans="1:26" ht="15" customHeight="1">
      <c r="A62" s="16"/>
      <c r="B62" s="4"/>
      <c r="C62" s="4"/>
      <c r="D62" s="4"/>
      <c r="E62" s="4"/>
      <c r="F62" s="4"/>
      <c r="G62" s="4"/>
      <c r="H62" s="4"/>
      <c r="I62" s="4"/>
      <c r="J62" s="4"/>
      <c r="K62" s="4"/>
      <c r="L62" s="4"/>
      <c r="M62" s="4"/>
      <c r="N62" s="4"/>
      <c r="O62" s="4"/>
      <c r="P62" s="4"/>
      <c r="Q62" s="4"/>
      <c r="R62" s="4"/>
      <c r="S62" s="4"/>
      <c r="T62" s="4"/>
      <c r="U62" s="4"/>
      <c r="V62" s="4"/>
      <c r="W62" s="4"/>
      <c r="X62" s="4"/>
      <c r="Y62" s="4"/>
      <c r="Z62" s="4"/>
    </row>
    <row r="63" spans="1:26" ht="15" customHeight="1">
      <c r="A63" s="16"/>
      <c r="B63" s="4"/>
      <c r="C63" s="4"/>
      <c r="D63" s="4"/>
      <c r="E63" s="4"/>
      <c r="F63" s="4"/>
      <c r="G63" s="4"/>
      <c r="H63" s="4"/>
      <c r="I63" s="4"/>
      <c r="J63" s="4"/>
      <c r="K63" s="4"/>
      <c r="L63" s="4"/>
      <c r="M63" s="4"/>
      <c r="N63" s="4"/>
      <c r="O63" s="4"/>
      <c r="P63" s="4"/>
      <c r="Q63" s="4"/>
      <c r="R63" s="4"/>
      <c r="S63" s="4"/>
      <c r="T63" s="4"/>
      <c r="U63" s="4"/>
      <c r="V63" s="4"/>
      <c r="W63" s="4"/>
      <c r="X63" s="4"/>
      <c r="Y63" s="4"/>
      <c r="Z63" s="4"/>
    </row>
    <row r="64" spans="1:26" ht="15" customHeight="1">
      <c r="A64" s="16"/>
      <c r="B64" s="4"/>
      <c r="C64" s="4"/>
      <c r="D64" s="4"/>
      <c r="E64" s="4"/>
      <c r="F64" s="4"/>
      <c r="G64" s="4"/>
      <c r="H64" s="4"/>
      <c r="I64" s="4"/>
      <c r="J64" s="4"/>
      <c r="K64" s="4"/>
      <c r="L64" s="4"/>
      <c r="M64" s="4"/>
      <c r="N64" s="4"/>
      <c r="O64" s="4"/>
      <c r="P64" s="4"/>
      <c r="Q64" s="4"/>
      <c r="R64" s="4"/>
      <c r="S64" s="4"/>
      <c r="T64" s="4"/>
      <c r="U64" s="4"/>
      <c r="V64" s="4"/>
      <c r="W64" s="4"/>
      <c r="X64" s="4"/>
      <c r="Y64" s="4"/>
      <c r="Z64" s="4"/>
    </row>
    <row r="65" spans="1:26" ht="15" customHeight="1">
      <c r="A65" s="16"/>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c r="A66" s="16"/>
      <c r="B66" s="4"/>
      <c r="C66" s="4"/>
      <c r="D66" s="4"/>
      <c r="E66" s="4"/>
      <c r="F66" s="4"/>
      <c r="G66" s="4"/>
      <c r="H66" s="4"/>
      <c r="I66" s="4"/>
      <c r="J66" s="4"/>
      <c r="K66" s="4"/>
      <c r="L66" s="4"/>
      <c r="M66" s="4"/>
      <c r="N66" s="4"/>
      <c r="O66" s="4"/>
      <c r="P66" s="4"/>
      <c r="Q66" s="4"/>
      <c r="R66" s="4"/>
      <c r="S66" s="4"/>
      <c r="T66" s="4"/>
      <c r="U66" s="4"/>
      <c r="V66" s="4"/>
      <c r="W66" s="4"/>
      <c r="X66" s="4"/>
      <c r="Y66" s="4"/>
      <c r="Z66" s="4"/>
    </row>
    <row r="67" spans="1:26" ht="15" customHeight="1">
      <c r="A67" s="16"/>
      <c r="B67" s="4"/>
      <c r="C67" s="4"/>
      <c r="D67" s="4"/>
      <c r="E67" s="4"/>
      <c r="F67" s="4"/>
      <c r="G67" s="4"/>
      <c r="H67" s="4"/>
      <c r="I67" s="4"/>
      <c r="J67" s="4"/>
      <c r="K67" s="4"/>
      <c r="L67" s="4"/>
      <c r="M67" s="4"/>
      <c r="N67" s="4"/>
      <c r="O67" s="4"/>
      <c r="P67" s="4"/>
      <c r="Q67" s="4"/>
      <c r="R67" s="4"/>
      <c r="S67" s="4"/>
      <c r="T67" s="4"/>
      <c r="U67" s="4"/>
      <c r="V67" s="4"/>
      <c r="W67" s="4"/>
      <c r="X67" s="4"/>
      <c r="Y67" s="4"/>
      <c r="Z67" s="4"/>
    </row>
    <row r="68" spans="1:26" ht="15" customHeight="1">
      <c r="A68" s="16"/>
      <c r="B68" s="4"/>
      <c r="C68" s="4"/>
      <c r="D68" s="4"/>
      <c r="E68" s="4"/>
      <c r="F68" s="4"/>
      <c r="G68" s="4"/>
      <c r="H68" s="4"/>
      <c r="I68" s="4"/>
      <c r="J68" s="4"/>
      <c r="K68" s="4"/>
      <c r="L68" s="4"/>
      <c r="M68" s="4"/>
      <c r="N68" s="4"/>
      <c r="O68" s="4"/>
      <c r="P68" s="4"/>
      <c r="Q68" s="4"/>
      <c r="R68" s="4"/>
      <c r="S68" s="4"/>
      <c r="T68" s="4"/>
      <c r="U68" s="4"/>
      <c r="V68" s="4"/>
      <c r="W68" s="4"/>
      <c r="X68" s="4"/>
      <c r="Y68" s="4"/>
      <c r="Z68" s="4"/>
    </row>
    <row r="69" spans="1:26" ht="15" customHeight="1">
      <c r="A69" s="16"/>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c r="A70" s="16"/>
      <c r="B70" s="4"/>
      <c r="C70" s="4"/>
      <c r="D70" s="4"/>
      <c r="E70" s="4"/>
      <c r="F70" s="4"/>
      <c r="G70" s="4"/>
      <c r="H70" s="4"/>
      <c r="I70" s="4"/>
      <c r="J70" s="4"/>
      <c r="K70" s="4"/>
      <c r="L70" s="4"/>
      <c r="M70" s="4"/>
      <c r="N70" s="4"/>
      <c r="O70" s="4"/>
      <c r="P70" s="4"/>
      <c r="Q70" s="4"/>
      <c r="R70" s="4"/>
      <c r="S70" s="4"/>
      <c r="T70" s="4"/>
      <c r="U70" s="4"/>
      <c r="V70" s="4"/>
      <c r="W70" s="4"/>
      <c r="X70" s="4"/>
      <c r="Y70" s="4"/>
      <c r="Z70" s="4"/>
    </row>
    <row r="71" spans="1:26" ht="15" customHeight="1">
      <c r="A71" s="16"/>
      <c r="B71" s="4"/>
      <c r="C71" s="4"/>
      <c r="D71" s="4"/>
      <c r="E71" s="4"/>
      <c r="F71" s="4"/>
      <c r="G71" s="4"/>
      <c r="H71" s="4"/>
      <c r="I71" s="4"/>
      <c r="J71" s="4"/>
      <c r="K71" s="4"/>
      <c r="L71" s="4"/>
      <c r="M71" s="4"/>
      <c r="N71" s="4"/>
      <c r="O71" s="4"/>
      <c r="P71" s="4"/>
      <c r="Q71" s="4"/>
      <c r="R71" s="4"/>
      <c r="S71" s="4"/>
      <c r="T71" s="4"/>
      <c r="U71" s="4"/>
      <c r="V71" s="4"/>
      <c r="W71" s="4"/>
      <c r="X71" s="4"/>
      <c r="Y71" s="4"/>
      <c r="Z71" s="4"/>
    </row>
    <row r="72" spans="1:26" ht="15" customHeight="1">
      <c r="A72" s="16"/>
      <c r="B72" s="4"/>
      <c r="C72" s="4"/>
      <c r="D72" s="4"/>
      <c r="E72" s="4"/>
      <c r="F72" s="4"/>
      <c r="G72" s="4"/>
      <c r="H72" s="4"/>
      <c r="I72" s="4"/>
      <c r="J72" s="4"/>
      <c r="K72" s="4"/>
      <c r="L72" s="4"/>
      <c r="M72" s="4"/>
      <c r="N72" s="4"/>
      <c r="O72" s="4"/>
      <c r="P72" s="4"/>
      <c r="Q72" s="4"/>
      <c r="R72" s="4"/>
      <c r="S72" s="4"/>
      <c r="T72" s="4"/>
      <c r="U72" s="4"/>
      <c r="V72" s="4"/>
      <c r="W72" s="4"/>
      <c r="X72" s="4"/>
      <c r="Y72" s="4"/>
      <c r="Z72" s="4"/>
    </row>
    <row r="73" spans="1:26" ht="15" customHeight="1">
      <c r="A73" s="16"/>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11"/>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11"/>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11"/>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11"/>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11"/>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11"/>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11"/>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11"/>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11"/>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11"/>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11"/>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11"/>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11"/>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11"/>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11"/>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11"/>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11"/>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11"/>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11"/>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11"/>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11"/>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11"/>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11"/>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11"/>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11"/>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11"/>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1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1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1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1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1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1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1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1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1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1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1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1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1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1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1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1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1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1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1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1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1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1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1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1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1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1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1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1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1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1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1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1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1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1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1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1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1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1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1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1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1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1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1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1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1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1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1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1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1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1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1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1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1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1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1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1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1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1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1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1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1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1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1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1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1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1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1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1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1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1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1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1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1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1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1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1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1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1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1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1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1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1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1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11"/>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11"/>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11"/>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11"/>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11"/>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11"/>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11"/>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11"/>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11"/>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11"/>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11"/>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11"/>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11"/>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11"/>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11"/>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11"/>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11"/>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11"/>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11"/>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11"/>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11"/>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11"/>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11"/>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11"/>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11"/>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11"/>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11"/>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11"/>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11"/>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11"/>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11"/>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11"/>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11"/>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11"/>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11"/>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11"/>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11"/>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11"/>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11"/>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11"/>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11"/>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11"/>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11"/>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11"/>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11"/>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11"/>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11"/>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11"/>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11"/>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11"/>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11"/>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11"/>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11"/>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11"/>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11"/>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11"/>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11"/>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11"/>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11"/>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11"/>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11"/>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11"/>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11"/>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11"/>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11"/>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11"/>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11"/>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11"/>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11"/>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11"/>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11"/>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11"/>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11"/>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11"/>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11"/>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11"/>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11"/>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11"/>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11"/>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11"/>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11"/>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11"/>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11"/>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11"/>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11"/>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11"/>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11"/>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11"/>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11"/>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11"/>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11"/>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11"/>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11"/>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11"/>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11"/>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11"/>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11"/>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11"/>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11"/>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11"/>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11"/>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11"/>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11"/>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11"/>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11"/>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11"/>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11"/>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11"/>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11"/>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11"/>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11"/>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11"/>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11"/>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11"/>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11"/>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11"/>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11"/>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11"/>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11"/>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11"/>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11"/>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11"/>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11"/>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11"/>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11"/>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11"/>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11"/>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11"/>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11"/>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11"/>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11"/>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11"/>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11"/>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11"/>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11"/>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11"/>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11"/>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11"/>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11"/>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11"/>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11"/>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11"/>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11"/>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11"/>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11"/>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11"/>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11"/>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11"/>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11"/>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11"/>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11"/>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11"/>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11"/>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11"/>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11"/>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11"/>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11"/>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11"/>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11"/>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11"/>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11"/>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11"/>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11"/>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11"/>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11"/>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11"/>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11"/>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11"/>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11"/>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11"/>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11"/>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11"/>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11"/>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11"/>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11"/>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11"/>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11"/>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11"/>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11"/>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11"/>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11"/>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11"/>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11"/>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11"/>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11"/>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11"/>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11"/>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11"/>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11"/>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11"/>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11"/>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11"/>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11"/>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11"/>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11"/>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11"/>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11"/>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11"/>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11"/>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11"/>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11"/>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11"/>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11"/>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11"/>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11"/>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11"/>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11"/>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11"/>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11"/>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11"/>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11"/>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11"/>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11"/>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11"/>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11"/>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11"/>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11"/>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11"/>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11"/>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11"/>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11"/>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11"/>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11"/>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11"/>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11"/>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11"/>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11"/>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11"/>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11"/>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11"/>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11"/>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11"/>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11"/>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11"/>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11"/>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11"/>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11"/>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11"/>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11"/>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11"/>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11"/>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11"/>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11"/>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11"/>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11"/>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11"/>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11"/>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11"/>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11"/>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11"/>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11"/>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11"/>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11"/>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11"/>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11"/>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11"/>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11"/>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11"/>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11"/>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11"/>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11"/>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11"/>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11"/>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11"/>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11"/>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11"/>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11"/>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11"/>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11"/>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11"/>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11"/>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11"/>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11"/>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11"/>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11"/>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11"/>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11"/>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11"/>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11"/>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11"/>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11"/>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11"/>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11"/>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11"/>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11"/>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11"/>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11"/>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11"/>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11"/>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11"/>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11"/>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11"/>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11"/>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11"/>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11"/>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11"/>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11"/>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11"/>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11"/>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11"/>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11"/>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11"/>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11"/>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11"/>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11"/>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11"/>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11"/>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11"/>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11"/>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11"/>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11"/>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11"/>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11"/>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11"/>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11"/>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11"/>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11"/>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11"/>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11"/>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11"/>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11"/>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11"/>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11"/>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11"/>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11"/>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11"/>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11"/>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11"/>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11"/>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11"/>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11"/>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11"/>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11"/>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11"/>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11"/>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11"/>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11"/>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11"/>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11"/>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11"/>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11"/>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11"/>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11"/>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11"/>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11"/>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11"/>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11"/>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11"/>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11"/>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11"/>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11"/>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11"/>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11"/>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11"/>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11"/>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11"/>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11"/>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11"/>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11"/>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11"/>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11"/>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11"/>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11"/>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11"/>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11"/>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11"/>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11"/>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11"/>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11"/>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11"/>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11"/>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11"/>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11"/>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11"/>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11"/>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11"/>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11"/>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11"/>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11"/>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11"/>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11"/>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11"/>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11"/>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11"/>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11"/>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11"/>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11"/>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11"/>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11"/>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11"/>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11"/>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11"/>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11"/>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11"/>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11"/>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11"/>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11"/>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11"/>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11"/>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11"/>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11"/>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11"/>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11"/>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11"/>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11"/>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11"/>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11"/>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11"/>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11"/>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11"/>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11"/>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11"/>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11"/>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11"/>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11"/>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11"/>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11"/>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11"/>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11"/>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11"/>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11"/>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11"/>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11"/>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11"/>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11"/>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11"/>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11"/>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11"/>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11"/>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11"/>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11"/>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11"/>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11"/>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11"/>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11"/>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11"/>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11"/>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11"/>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11"/>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11"/>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11"/>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11"/>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11"/>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11"/>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11"/>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11"/>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11"/>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11"/>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11"/>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11"/>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11"/>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11"/>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11"/>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11"/>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11"/>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11"/>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11"/>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11"/>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11"/>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11"/>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11"/>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11"/>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11"/>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11"/>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11"/>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11"/>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11"/>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11"/>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11"/>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11"/>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11"/>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11"/>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11"/>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11"/>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11"/>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11"/>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11"/>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11"/>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11"/>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11"/>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11"/>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11"/>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11"/>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11"/>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11"/>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11"/>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11"/>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11"/>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11"/>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11"/>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11"/>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11"/>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11"/>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11"/>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11"/>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11"/>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11"/>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11"/>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11"/>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11"/>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11"/>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11"/>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11"/>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11"/>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11"/>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11"/>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11"/>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11"/>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11"/>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11"/>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11"/>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11"/>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11"/>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11"/>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11"/>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11"/>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11"/>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11"/>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11"/>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11"/>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11"/>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11"/>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11"/>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11"/>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11"/>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11"/>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11"/>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11"/>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11"/>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11"/>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11"/>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11"/>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11"/>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11"/>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11"/>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11"/>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11"/>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11"/>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11"/>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11"/>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11"/>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11"/>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11"/>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11"/>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11"/>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11"/>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11"/>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11"/>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11"/>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11"/>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11"/>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11"/>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11"/>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11"/>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11"/>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11"/>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11"/>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11"/>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11"/>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11"/>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11"/>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11"/>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11"/>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11"/>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11"/>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11"/>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11"/>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11"/>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11"/>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11"/>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11"/>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11"/>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11"/>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11"/>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11"/>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11"/>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11"/>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11"/>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11"/>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11"/>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11"/>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11"/>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11"/>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11"/>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11"/>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11"/>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11"/>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11"/>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11"/>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11"/>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11"/>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11"/>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11"/>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11"/>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11"/>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11"/>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11"/>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11"/>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11"/>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11"/>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11"/>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11"/>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11"/>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11"/>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11"/>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11"/>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11"/>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11"/>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11"/>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11"/>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11"/>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11"/>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11"/>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11"/>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11"/>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11"/>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11"/>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11"/>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11"/>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11"/>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11"/>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11"/>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11"/>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11"/>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11"/>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11"/>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11"/>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11"/>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11"/>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11"/>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11"/>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11"/>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11"/>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11"/>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11"/>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11"/>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11"/>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11"/>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11"/>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11"/>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11"/>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11"/>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11"/>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11"/>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11"/>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11"/>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11"/>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11"/>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11"/>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11"/>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11"/>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11"/>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11"/>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11"/>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11"/>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11"/>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11"/>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11"/>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11"/>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11"/>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11"/>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11"/>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11"/>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11"/>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11"/>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11"/>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11"/>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FBDDD2D8-EA24-46CE-818B-4E2C2AD6CCE3}"/>
    <hyperlink ref="A22" r:id="rId2" xr:uid="{22A6E015-88D2-464D-A75A-AD490108C248}"/>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9B09-405D-4A80-A7F8-3D785E1E518D}">
  <dimension ref="A1:C62"/>
  <sheetViews>
    <sheetView zoomScale="70" zoomScaleNormal="70" workbookViewId="0">
      <selection activeCell="H5" sqref="H5"/>
    </sheetView>
  </sheetViews>
  <sheetFormatPr defaultColWidth="7.36328125" defaultRowHeight="14.4"/>
  <cols>
    <col min="1" max="1" width="9.26953125" style="38" customWidth="1"/>
    <col min="2" max="2" width="72.26953125" style="38" customWidth="1"/>
    <col min="3" max="16384" width="7.36328125" style="38"/>
  </cols>
  <sheetData>
    <row r="1" spans="1:3">
      <c r="A1" s="114" t="s">
        <v>34</v>
      </c>
      <c r="B1" s="114"/>
      <c r="C1" s="114"/>
    </row>
    <row r="2" spans="1:3" ht="114.9" customHeight="1">
      <c r="A2" s="115" t="s">
        <v>35</v>
      </c>
      <c r="B2" s="116"/>
      <c r="C2" s="116"/>
    </row>
    <row r="3" spans="1:3" ht="73.650000000000006" customHeight="1">
      <c r="A3" s="117" t="s">
        <v>36</v>
      </c>
      <c r="B3" s="118"/>
      <c r="C3" s="119"/>
    </row>
    <row r="4" spans="1:3" ht="43.2" customHeight="1">
      <c r="A4" s="115" t="s">
        <v>37</v>
      </c>
      <c r="B4" s="116"/>
      <c r="C4" s="116"/>
    </row>
    <row r="5" spans="1:3" ht="84" customHeight="1">
      <c r="A5" s="117" t="s">
        <v>38</v>
      </c>
      <c r="B5" s="120"/>
      <c r="C5" s="121"/>
    </row>
    <row r="6" spans="1:3">
      <c r="A6" s="122"/>
      <c r="B6" s="122"/>
      <c r="C6" s="122"/>
    </row>
    <row r="62" spans="1:1">
      <c r="A62" s="39"/>
    </row>
  </sheetData>
  <sheetProtection formatCells="0" insertHyperlinks="0" autoFilter="0"/>
  <mergeCells count="6">
    <mergeCell ref="A6:C6"/>
    <mergeCell ref="A1:C1"/>
    <mergeCell ref="A2:C2"/>
    <mergeCell ref="A3:C3"/>
    <mergeCell ref="A4:C4"/>
    <mergeCell ref="A5:C5"/>
  </mergeCells>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7FB4-46BC-4057-B8FD-E90740F39561}">
  <dimension ref="A1:M39"/>
  <sheetViews>
    <sheetView workbookViewId="0">
      <selection activeCell="D21" sqref="D21"/>
    </sheetView>
  </sheetViews>
  <sheetFormatPr defaultColWidth="7.453125" defaultRowHeight="14.4"/>
  <cols>
    <col min="1" max="1" width="17.90625" style="40" customWidth="1"/>
    <col min="2" max="2" width="22.7265625" style="40" customWidth="1"/>
    <col min="3" max="3" width="41.6328125" style="40" customWidth="1"/>
    <col min="4" max="4" width="74.36328125" style="40" customWidth="1"/>
    <col min="5" max="16384" width="7.453125" style="38"/>
  </cols>
  <sheetData>
    <row r="1" spans="1:13" ht="15" thickBot="1">
      <c r="F1" s="40"/>
      <c r="G1" s="40"/>
      <c r="H1" s="40"/>
      <c r="I1" s="40"/>
      <c r="J1" s="40"/>
      <c r="K1" s="40"/>
      <c r="L1" s="40"/>
      <c r="M1" s="40"/>
    </row>
    <row r="2" spans="1:13" ht="15" thickBot="1">
      <c r="A2" s="143" t="s">
        <v>39</v>
      </c>
      <c r="B2" s="144"/>
      <c r="C2" s="144"/>
      <c r="D2" s="145"/>
      <c r="F2" s="41"/>
      <c r="G2" s="41"/>
      <c r="H2" s="41"/>
      <c r="I2" s="41"/>
      <c r="J2" s="41"/>
      <c r="K2" s="41"/>
      <c r="L2" s="41"/>
      <c r="M2" s="41"/>
    </row>
    <row r="3" spans="1:13">
      <c r="A3" s="150" t="s">
        <v>40</v>
      </c>
      <c r="B3" s="151"/>
      <c r="C3" s="151"/>
      <c r="D3" s="152"/>
      <c r="F3" s="41"/>
      <c r="G3" s="41"/>
      <c r="H3" s="41"/>
      <c r="I3" s="41"/>
      <c r="J3" s="41"/>
      <c r="K3" s="41"/>
      <c r="L3" s="41"/>
      <c r="M3" s="41"/>
    </row>
    <row r="4" spans="1:13" ht="13.2" customHeight="1">
      <c r="A4" s="140" t="s">
        <v>41</v>
      </c>
      <c r="B4" s="141"/>
      <c r="C4" s="141"/>
      <c r="D4" s="142"/>
      <c r="F4" s="41"/>
      <c r="G4" s="41"/>
      <c r="H4" s="41"/>
      <c r="I4" s="41"/>
      <c r="J4" s="41"/>
      <c r="K4" s="41"/>
      <c r="L4" s="41"/>
      <c r="M4" s="41"/>
    </row>
    <row r="5" spans="1:13" ht="11.4" customHeight="1">
      <c r="A5" s="140" t="s">
        <v>42</v>
      </c>
      <c r="B5" s="141"/>
      <c r="C5" s="141"/>
      <c r="D5" s="142"/>
      <c r="F5" s="41"/>
      <c r="G5" s="41"/>
      <c r="H5" s="41"/>
      <c r="I5" s="41"/>
      <c r="J5" s="41"/>
      <c r="K5" s="41"/>
      <c r="L5" s="41"/>
      <c r="M5" s="41"/>
    </row>
    <row r="6" spans="1:13" s="42" customFormat="1" ht="13.2" customHeight="1">
      <c r="A6" s="140" t="s">
        <v>43</v>
      </c>
      <c r="B6" s="141"/>
      <c r="C6" s="141"/>
      <c r="D6" s="142"/>
      <c r="F6" s="41"/>
      <c r="G6" s="41"/>
      <c r="H6" s="41"/>
      <c r="I6" s="41"/>
      <c r="J6" s="41"/>
      <c r="K6" s="41"/>
      <c r="L6" s="41"/>
      <c r="M6" s="41"/>
    </row>
    <row r="7" spans="1:13" s="42" customFormat="1" ht="16.8" customHeight="1">
      <c r="A7" s="140" t="s">
        <v>44</v>
      </c>
      <c r="B7" s="141"/>
      <c r="C7" s="141"/>
      <c r="D7" s="142"/>
      <c r="F7" s="41"/>
      <c r="G7" s="41"/>
      <c r="H7" s="41"/>
      <c r="I7" s="41"/>
      <c r="J7" s="41"/>
      <c r="K7" s="41"/>
      <c r="L7" s="41"/>
      <c r="M7" s="41"/>
    </row>
    <row r="8" spans="1:13" s="42" customFormat="1" ht="16.2" customHeight="1">
      <c r="A8" s="140" t="s">
        <v>45</v>
      </c>
      <c r="B8" s="141"/>
      <c r="C8" s="141"/>
      <c r="D8" s="142"/>
      <c r="F8" s="41"/>
      <c r="G8" s="41"/>
      <c r="H8" s="41"/>
      <c r="I8" s="41"/>
      <c r="J8" s="41"/>
      <c r="K8" s="41"/>
      <c r="L8" s="41"/>
      <c r="M8" s="41"/>
    </row>
    <row r="9" spans="1:13" s="42" customFormat="1" ht="13.2" customHeight="1">
      <c r="A9" s="140" t="s">
        <v>46</v>
      </c>
      <c r="B9" s="141"/>
      <c r="C9" s="141"/>
      <c r="D9" s="142"/>
      <c r="F9" s="41"/>
      <c r="G9" s="41"/>
      <c r="H9" s="41"/>
      <c r="I9" s="41"/>
      <c r="J9" s="41"/>
      <c r="K9" s="41"/>
      <c r="L9" s="41"/>
      <c r="M9" s="41"/>
    </row>
    <row r="10" spans="1:13" ht="15" thickBot="1">
      <c r="F10" s="41"/>
      <c r="G10" s="41"/>
      <c r="H10" s="41"/>
      <c r="I10" s="41"/>
      <c r="J10" s="41"/>
      <c r="K10" s="41"/>
      <c r="L10" s="41"/>
      <c r="M10" s="41"/>
    </row>
    <row r="11" spans="1:13" ht="15" thickBot="1">
      <c r="A11" s="143" t="s">
        <v>47</v>
      </c>
      <c r="B11" s="144"/>
      <c r="C11" s="144"/>
      <c r="D11" s="145"/>
      <c r="F11" s="41"/>
      <c r="G11" s="41"/>
      <c r="H11" s="41"/>
      <c r="I11" s="41"/>
      <c r="J11" s="41"/>
      <c r="K11" s="41"/>
      <c r="L11" s="41"/>
      <c r="M11" s="41"/>
    </row>
    <row r="12" spans="1:13">
      <c r="A12" s="43" t="s">
        <v>48</v>
      </c>
      <c r="B12" s="44"/>
      <c r="C12" s="44"/>
      <c r="D12" s="45"/>
      <c r="F12" s="41"/>
      <c r="G12" s="41"/>
      <c r="H12" s="41"/>
      <c r="I12" s="41"/>
      <c r="J12" s="41"/>
      <c r="K12" s="41"/>
      <c r="L12" s="41"/>
      <c r="M12" s="41"/>
    </row>
    <row r="13" spans="1:13">
      <c r="A13" s="146" t="s">
        <v>49</v>
      </c>
      <c r="B13" s="124"/>
      <c r="C13" s="124"/>
      <c r="D13" s="125"/>
      <c r="F13" s="41"/>
      <c r="G13" s="41"/>
      <c r="H13" s="41"/>
      <c r="I13" s="41"/>
      <c r="J13" s="41"/>
      <c r="K13" s="41"/>
      <c r="L13" s="41"/>
      <c r="M13" s="41"/>
    </row>
    <row r="14" spans="1:13">
      <c r="A14" s="147" t="s">
        <v>50</v>
      </c>
      <c r="B14" s="148"/>
      <c r="C14" s="148"/>
      <c r="D14" s="149"/>
      <c r="F14" s="41"/>
      <c r="G14" s="41"/>
      <c r="H14" s="41"/>
      <c r="I14" s="41"/>
      <c r="J14" s="41"/>
      <c r="K14" s="41"/>
      <c r="L14" s="41"/>
      <c r="M14" s="41"/>
    </row>
    <row r="15" spans="1:13">
      <c r="A15" s="147" t="s">
        <v>51</v>
      </c>
      <c r="B15" s="148"/>
      <c r="C15" s="148"/>
      <c r="D15" s="149"/>
      <c r="F15" s="41"/>
      <c r="G15" s="41"/>
      <c r="H15" s="41"/>
      <c r="I15" s="41"/>
      <c r="J15" s="41"/>
      <c r="K15" s="41"/>
      <c r="L15" s="41"/>
      <c r="M15" s="41"/>
    </row>
    <row r="16" spans="1:13">
      <c r="A16" s="123" t="s">
        <v>52</v>
      </c>
      <c r="B16" s="124"/>
      <c r="C16" s="124"/>
      <c r="D16" s="125"/>
      <c r="F16" s="41"/>
      <c r="G16" s="41"/>
      <c r="H16" s="41"/>
      <c r="I16" s="41"/>
      <c r="J16" s="41"/>
      <c r="K16" s="41"/>
      <c r="L16" s="41"/>
      <c r="M16" s="41"/>
    </row>
    <row r="17" spans="1:13">
      <c r="A17" s="123" t="s">
        <v>53</v>
      </c>
      <c r="B17" s="126"/>
      <c r="C17" s="126"/>
      <c r="D17" s="127"/>
      <c r="F17" s="41"/>
      <c r="G17" s="41"/>
      <c r="H17" s="41"/>
      <c r="I17" s="41"/>
      <c r="J17" s="41"/>
      <c r="K17" s="41"/>
      <c r="L17" s="41"/>
      <c r="M17" s="41"/>
    </row>
    <row r="18" spans="1:13">
      <c r="A18" s="128" t="s">
        <v>54</v>
      </c>
      <c r="B18" s="129"/>
      <c r="C18" s="129"/>
      <c r="D18" s="130"/>
      <c r="F18" s="41"/>
      <c r="G18" s="41"/>
      <c r="H18" s="41"/>
      <c r="I18" s="41"/>
      <c r="J18" s="41"/>
      <c r="K18" s="41"/>
      <c r="L18" s="41"/>
      <c r="M18" s="41"/>
    </row>
    <row r="19" spans="1:13" ht="15" thickBot="1">
      <c r="A19" s="131" t="s">
        <v>55</v>
      </c>
      <c r="B19" s="132"/>
      <c r="C19" s="132"/>
      <c r="D19" s="133"/>
      <c r="F19" s="41"/>
      <c r="G19" s="41"/>
      <c r="H19" s="41"/>
      <c r="I19" s="41"/>
      <c r="J19" s="41"/>
      <c r="K19" s="41"/>
      <c r="L19" s="41"/>
      <c r="M19" s="41"/>
    </row>
    <row r="20" spans="1:13">
      <c r="A20" s="46"/>
      <c r="B20" s="47"/>
      <c r="C20" s="47"/>
      <c r="D20" s="47"/>
      <c r="F20" s="41"/>
      <c r="G20" s="41"/>
      <c r="H20" s="41"/>
      <c r="I20" s="41"/>
      <c r="J20" s="41"/>
      <c r="K20" s="41"/>
      <c r="L20" s="41"/>
      <c r="M20" s="41"/>
    </row>
    <row r="21" spans="1:13" ht="15" thickBot="1">
      <c r="A21" s="46"/>
      <c r="B21" s="47"/>
      <c r="C21" s="47"/>
      <c r="D21" s="47"/>
      <c r="F21" s="41"/>
      <c r="G21" s="41"/>
      <c r="H21" s="41"/>
      <c r="I21" s="41"/>
      <c r="J21" s="41"/>
      <c r="K21" s="41"/>
      <c r="L21" s="41"/>
      <c r="M21" s="41"/>
    </row>
    <row r="22" spans="1:13" ht="15" thickBot="1">
      <c r="A22" s="48"/>
      <c r="B22" s="134" t="s">
        <v>56</v>
      </c>
      <c r="C22" s="135"/>
      <c r="D22" s="136"/>
      <c r="F22" s="41"/>
      <c r="G22" s="41"/>
      <c r="H22" s="41"/>
      <c r="I22" s="41"/>
      <c r="J22" s="41"/>
      <c r="K22" s="41"/>
      <c r="L22" s="41"/>
      <c r="M22" s="41"/>
    </row>
    <row r="23" spans="1:13" ht="21.6">
      <c r="A23" s="49" t="s">
        <v>57</v>
      </c>
      <c r="B23" s="49" t="s">
        <v>58</v>
      </c>
      <c r="C23" s="50" t="s">
        <v>59</v>
      </c>
      <c r="D23" s="51" t="s">
        <v>60</v>
      </c>
      <c r="F23" s="41"/>
      <c r="G23" s="41"/>
      <c r="H23" s="41"/>
      <c r="I23" s="41"/>
      <c r="J23" s="41"/>
      <c r="K23" s="41"/>
      <c r="L23" s="41"/>
      <c r="M23" s="41"/>
    </row>
    <row r="24" spans="1:13" ht="109.95" customHeight="1">
      <c r="A24" s="52" t="s">
        <v>61</v>
      </c>
      <c r="B24" s="52" t="str">
        <f>'[1]RAN Network Optimization'!C4</f>
        <v>Intent Translation &amp; Fulfilment evaluation</v>
      </c>
      <c r="C24" s="53" t="str">
        <f>'[1]RAN Network Optimization'!E4</f>
        <v>How does the system translate the RAN network optimization intent into the RAN network optimization related control information and evaluate the RAN  network optimization intent fulfilment？ 
Note: RAN network optimization intent includes multiple targets for specified areas.
RAN network optimization control information includes RAN network optimization policies (e.g.  adjusting base station parameters,  load balancing)</v>
      </c>
      <c r="D24" s="53" t="s">
        <v>62</v>
      </c>
      <c r="F24" s="40"/>
      <c r="G24" s="40"/>
      <c r="H24" s="40"/>
      <c r="I24" s="40"/>
      <c r="J24" s="40"/>
      <c r="K24" s="40"/>
      <c r="L24" s="40"/>
      <c r="M24" s="40"/>
    </row>
    <row r="25" spans="1:13" ht="109.05" customHeight="1">
      <c r="A25" s="52" t="s">
        <v>63</v>
      </c>
      <c r="B25" s="52" t="str">
        <f>'[1]RAN Network Optimization'!C5</f>
        <v>RAN Network Information Collection</v>
      </c>
      <c r="C25" s="53" t="str">
        <f>'[1]RAN Network Optimization'!E5</f>
        <v xml:space="preserve">How does the system collects data?
Note:
Data includes network performance data (e.g., performance measurement, MR data, MDT data), service experience data if needed, network configuration data, alarm data and environment data (e.g., electronic map, site location).
</v>
      </c>
      <c r="D25" s="53" t="s">
        <v>64</v>
      </c>
      <c r="F25" s="40"/>
      <c r="G25" s="40"/>
      <c r="H25" s="40"/>
      <c r="I25" s="40"/>
      <c r="J25" s="40"/>
      <c r="K25" s="40"/>
      <c r="L25" s="40"/>
      <c r="M25" s="40"/>
    </row>
    <row r="26" spans="1:13" ht="120">
      <c r="A26" s="137" t="s">
        <v>65</v>
      </c>
      <c r="B26" s="52" t="str">
        <f>'[1]RAN Network Optimization'!C6</f>
        <v xml:space="preserve">RAN Network Issue Identification &amp; Performance Deterioration Prediction
</v>
      </c>
      <c r="C26" s="53" t="str">
        <f>'[1]RAN Network Optimization'!E6</f>
        <v xml:space="preserve">How does the system identifies RAN network performance / and service experience  issues (e.g., coverage-related issues, RAN UE throughput-related issues) or predict network performance /service experience deterioration?
</v>
      </c>
      <c r="D26" s="53" t="s">
        <v>66</v>
      </c>
      <c r="F26" s="40"/>
      <c r="G26" s="40"/>
      <c r="H26" s="40"/>
      <c r="I26" s="40"/>
      <c r="J26" s="40"/>
      <c r="K26" s="40"/>
      <c r="L26" s="40"/>
      <c r="M26" s="40"/>
    </row>
    <row r="27" spans="1:13" ht="108">
      <c r="A27" s="138"/>
      <c r="B27" s="52" t="str">
        <f>'[1]RAN Network Optimization'!C7</f>
        <v xml:space="preserve">Issue Demarcation &amp; Root Cause Analysis
</v>
      </c>
      <c r="C27" s="53" t="str">
        <f>'[1]RAN Network Optimization'!E7</f>
        <v>How does the system perform problem demarcation and root cause diagnosis?
Note: The root causes including but not limited to: Weak coverage, high load, inference and equipment fault.</v>
      </c>
      <c r="D27" s="53" t="s">
        <v>67</v>
      </c>
      <c r="F27" s="40"/>
      <c r="G27" s="40"/>
      <c r="H27" s="40"/>
      <c r="I27" s="40"/>
      <c r="J27" s="40"/>
      <c r="K27" s="40"/>
      <c r="L27" s="40"/>
      <c r="M27" s="40"/>
    </row>
    <row r="28" spans="1:13" ht="115.95" customHeight="1">
      <c r="A28" s="139"/>
      <c r="B28" s="52" t="str">
        <f>'[1]RAN Network Optimization'!C8</f>
        <v xml:space="preserve">Adjustment Solutions Generating 
</v>
      </c>
      <c r="C28" s="53" t="str">
        <f>'[1]RAN Network Optimization'!E8</f>
        <v>How does the system generate the recommended network adjustment solutions (including a set of network adjusting actions) to solve the identified or and predicted network performance or service experience issues?
Note: network adjustment solutions including but not limited to L2/L3 configuration parameters, RF parameters, 5QI related service configuration parameters.</v>
      </c>
      <c r="D28" s="53" t="s">
        <v>68</v>
      </c>
      <c r="F28" s="40"/>
      <c r="G28" s="40"/>
      <c r="H28" s="40"/>
      <c r="I28" s="40"/>
      <c r="J28" s="40"/>
      <c r="K28" s="40"/>
      <c r="L28" s="40"/>
      <c r="M28" s="40"/>
    </row>
    <row r="29" spans="1:13" ht="109.95" customHeight="1">
      <c r="A29" s="52" t="s">
        <v>69</v>
      </c>
      <c r="B29" s="52" t="str">
        <f>'[1]RAN Network Optimization'!C9</f>
        <v xml:space="preserve">Solution Evaluation &amp; Determination
</v>
      </c>
      <c r="C29" s="53" t="str">
        <f>'[1]RAN Network Optimization'!E9</f>
        <v>How does the RAN network optimization system have the capability of automatically evaluating network optimization solutions and determining the best solution to implement?</v>
      </c>
      <c r="D29" s="53" t="s">
        <v>70</v>
      </c>
      <c r="F29" s="40"/>
      <c r="H29" s="40"/>
      <c r="I29" s="40"/>
      <c r="J29" s="40"/>
      <c r="K29" s="40"/>
      <c r="L29" s="40"/>
      <c r="M29" s="40"/>
    </row>
    <row r="30" spans="1:13" ht="106.95" customHeight="1">
      <c r="A30" s="54" t="s">
        <v>71</v>
      </c>
      <c r="B30" s="52" t="str">
        <f>'[1]RAN Network Optimization'!C10</f>
        <v xml:space="preserve">Solution implementation
</v>
      </c>
      <c r="C30" s="53" t="str">
        <f>'[1]RAN Network Optimization'!E10</f>
        <v>How does the RAN network optimization system have the capability of executing the network adjustment solutions (e.g., adjusting and configuring the network parameters)? 
Note: network parameters including but not limited to L2/L3 configuration parameters, RF parameters, 5QI related service configuration parameters.</v>
      </c>
      <c r="D30" s="53" t="s">
        <v>72</v>
      </c>
      <c r="F30" s="40"/>
      <c r="G30" s="40"/>
      <c r="H30" s="40"/>
      <c r="I30" s="40"/>
      <c r="J30" s="40"/>
      <c r="K30" s="40"/>
      <c r="L30" s="40"/>
      <c r="M30" s="40"/>
    </row>
    <row r="31" spans="1:13">
      <c r="F31" s="40"/>
      <c r="G31" s="40"/>
      <c r="H31" s="40"/>
      <c r="I31" s="40"/>
      <c r="J31" s="40"/>
      <c r="K31" s="40"/>
      <c r="L31" s="40"/>
      <c r="M31" s="40"/>
    </row>
    <row r="32" spans="1:13">
      <c r="F32" s="40"/>
      <c r="G32" s="40"/>
      <c r="H32" s="40"/>
      <c r="I32" s="40"/>
      <c r="J32" s="40"/>
      <c r="K32" s="40"/>
      <c r="L32" s="40"/>
      <c r="M32" s="40"/>
    </row>
    <row r="33" spans="6:13">
      <c r="F33" s="40"/>
      <c r="G33" s="40"/>
      <c r="H33" s="40"/>
      <c r="I33" s="40"/>
      <c r="J33" s="40"/>
      <c r="K33" s="40"/>
      <c r="L33" s="40"/>
      <c r="M33" s="40"/>
    </row>
    <row r="34" spans="6:13">
      <c r="F34" s="40"/>
      <c r="G34" s="40"/>
      <c r="H34" s="40"/>
      <c r="I34" s="40"/>
      <c r="J34" s="40"/>
      <c r="K34" s="40"/>
      <c r="L34" s="40"/>
      <c r="M34" s="40"/>
    </row>
    <row r="35" spans="6:13">
      <c r="F35" s="40"/>
      <c r="G35" s="40"/>
      <c r="H35" s="40"/>
      <c r="I35" s="40"/>
      <c r="J35" s="40"/>
      <c r="K35" s="40"/>
      <c r="L35" s="40"/>
      <c r="M35" s="40"/>
    </row>
    <row r="36" spans="6:13">
      <c r="F36" s="40"/>
      <c r="G36" s="40"/>
      <c r="H36" s="40"/>
      <c r="I36" s="40"/>
      <c r="J36" s="40"/>
      <c r="K36" s="40"/>
      <c r="L36" s="40"/>
      <c r="M36" s="40"/>
    </row>
    <row r="37" spans="6:13">
      <c r="F37" s="40"/>
      <c r="G37" s="40"/>
      <c r="H37" s="40"/>
      <c r="I37" s="40"/>
      <c r="J37" s="40"/>
      <c r="K37" s="40"/>
      <c r="L37" s="40"/>
      <c r="M37" s="40"/>
    </row>
    <row r="38" spans="6:13">
      <c r="F38" s="40"/>
      <c r="G38" s="40"/>
      <c r="H38" s="40"/>
      <c r="I38" s="40"/>
      <c r="J38" s="40"/>
      <c r="K38" s="40"/>
      <c r="L38" s="40"/>
      <c r="M38" s="40"/>
    </row>
    <row r="39" spans="6:13">
      <c r="F39" s="40"/>
      <c r="G39" s="40"/>
      <c r="H39" s="40"/>
      <c r="I39" s="40"/>
      <c r="J39" s="40"/>
      <c r="K39" s="40"/>
      <c r="L39" s="40"/>
      <c r="M39" s="40"/>
    </row>
  </sheetData>
  <mergeCells count="18">
    <mergeCell ref="A7:D7"/>
    <mergeCell ref="A2:D2"/>
    <mergeCell ref="A3:D3"/>
    <mergeCell ref="A4:D4"/>
    <mergeCell ref="A5:D5"/>
    <mergeCell ref="A6:D6"/>
    <mergeCell ref="A26:A28"/>
    <mergeCell ref="A8:D8"/>
    <mergeCell ref="A9:D9"/>
    <mergeCell ref="A11:D11"/>
    <mergeCell ref="A13:D13"/>
    <mergeCell ref="A14:D14"/>
    <mergeCell ref="A15:D15"/>
    <mergeCell ref="A16:D16"/>
    <mergeCell ref="A17:D17"/>
    <mergeCell ref="A18:D18"/>
    <mergeCell ref="A19:D19"/>
    <mergeCell ref="B22:D22"/>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D229-F931-4666-87CA-FC1AAA5AC348}">
  <dimension ref="A1:XFB81"/>
  <sheetViews>
    <sheetView topLeftCell="I1" zoomScale="60" zoomScaleNormal="60" workbookViewId="0">
      <selection activeCell="L8" sqref="L8"/>
    </sheetView>
  </sheetViews>
  <sheetFormatPr defaultColWidth="7.453125" defaultRowHeight="15"/>
  <cols>
    <col min="1" max="3" width="20.54296875" style="69" customWidth="1"/>
    <col min="4" max="4" width="9.7265625" style="69" customWidth="1"/>
    <col min="5" max="5" width="83.26953125" style="69" customWidth="1"/>
    <col min="6" max="6" width="40.08984375" style="69" customWidth="1"/>
    <col min="7" max="7" width="38.08984375" style="69" customWidth="1"/>
    <col min="8" max="8" width="32.6328125" style="69" customWidth="1"/>
    <col min="9" max="11" width="28.7265625" style="69" customWidth="1"/>
    <col min="12" max="12" width="23.81640625" style="71" customWidth="1"/>
    <col min="13" max="13" width="32.6328125" style="71" customWidth="1"/>
    <col min="14" max="14" width="30.453125" style="71" customWidth="1"/>
    <col min="15" max="15" width="37.26953125" style="71" customWidth="1"/>
    <col min="16" max="16" width="27.7265625" style="84" customWidth="1"/>
    <col min="17" max="17" width="32.36328125" style="69" customWidth="1"/>
    <col min="18" max="18" width="25.6328125" style="85" customWidth="1"/>
    <col min="19" max="19" width="40.453125" style="85" customWidth="1"/>
    <col min="20" max="16379" width="7.453125" style="55"/>
    <col min="16380" max="16382" width="7.453125" style="38"/>
    <col min="16383" max="16384" width="7.453125" style="55"/>
  </cols>
  <sheetData>
    <row r="1" spans="1:26 16380:16382" ht="47.25" customHeight="1">
      <c r="A1" s="164" t="s">
        <v>73</v>
      </c>
      <c r="B1" s="164" t="s">
        <v>57</v>
      </c>
      <c r="C1" s="164" t="s">
        <v>58</v>
      </c>
      <c r="D1" s="164" t="s">
        <v>74</v>
      </c>
      <c r="E1" s="164" t="s">
        <v>59</v>
      </c>
      <c r="F1" s="159" t="s">
        <v>75</v>
      </c>
      <c r="G1" s="159" t="s">
        <v>76</v>
      </c>
      <c r="H1" s="159" t="s">
        <v>77</v>
      </c>
      <c r="I1" s="159" t="s">
        <v>78</v>
      </c>
      <c r="J1" s="160" t="s">
        <v>79</v>
      </c>
      <c r="K1" s="161"/>
      <c r="L1" s="161"/>
      <c r="M1" s="161"/>
      <c r="N1" s="161"/>
      <c r="O1" s="162"/>
      <c r="P1" s="163" t="s">
        <v>80</v>
      </c>
      <c r="Q1" s="163" t="s">
        <v>81</v>
      </c>
      <c r="R1" s="155" t="s">
        <v>82</v>
      </c>
      <c r="S1" s="155" t="s">
        <v>83</v>
      </c>
    </row>
    <row r="2" spans="1:26 16380:16382" ht="94.8" customHeight="1">
      <c r="A2" s="164"/>
      <c r="B2" s="164"/>
      <c r="C2" s="164"/>
      <c r="D2" s="164"/>
      <c r="E2" s="164"/>
      <c r="F2" s="159"/>
      <c r="G2" s="159"/>
      <c r="H2" s="159"/>
      <c r="I2" s="159"/>
      <c r="J2" s="56" t="s">
        <v>84</v>
      </c>
      <c r="K2" s="56" t="s">
        <v>85</v>
      </c>
      <c r="L2" s="56" t="s">
        <v>86</v>
      </c>
      <c r="M2" s="56" t="s">
        <v>87</v>
      </c>
      <c r="N2" s="56" t="s">
        <v>88</v>
      </c>
      <c r="O2" s="56" t="s">
        <v>89</v>
      </c>
      <c r="P2" s="163"/>
      <c r="Q2" s="163"/>
      <c r="R2" s="155"/>
      <c r="S2" s="155"/>
    </row>
    <row r="3" spans="1:26 16380:16382" ht="76.8" customHeight="1">
      <c r="A3" s="164"/>
      <c r="B3" s="164"/>
      <c r="C3" s="164"/>
      <c r="D3" s="164"/>
      <c r="E3" s="164"/>
      <c r="F3" s="159"/>
      <c r="G3" s="159"/>
      <c r="H3" s="159"/>
      <c r="I3" s="159"/>
      <c r="J3" s="57">
        <v>0.15</v>
      </c>
      <c r="K3" s="57">
        <v>0.15</v>
      </c>
      <c r="L3" s="57">
        <v>0.15</v>
      </c>
      <c r="M3" s="57">
        <v>0.15</v>
      </c>
      <c r="N3" s="57">
        <v>0.15</v>
      </c>
      <c r="O3" s="57">
        <v>0.25</v>
      </c>
      <c r="P3" s="163"/>
      <c r="Q3" s="163"/>
      <c r="R3" s="155"/>
      <c r="S3" s="155"/>
    </row>
    <row r="4" spans="1:26 16380:16382" ht="73.2" customHeight="1">
      <c r="A4" s="156" t="s">
        <v>90</v>
      </c>
      <c r="B4" s="58" t="s">
        <v>91</v>
      </c>
      <c r="C4" s="58" t="s">
        <v>92</v>
      </c>
      <c r="D4" s="59">
        <v>0.1</v>
      </c>
      <c r="E4" s="60" t="s">
        <v>93</v>
      </c>
      <c r="F4" s="60" t="s">
        <v>94</v>
      </c>
      <c r="G4" s="60" t="s">
        <v>95</v>
      </c>
      <c r="H4" s="60" t="s">
        <v>96</v>
      </c>
      <c r="I4" s="61" t="s">
        <v>97</v>
      </c>
      <c r="J4" s="62" t="s">
        <v>98</v>
      </c>
      <c r="K4" s="62" t="s">
        <v>98</v>
      </c>
      <c r="L4" s="62" t="s">
        <v>98</v>
      </c>
      <c r="M4" s="62" t="s">
        <v>98</v>
      </c>
      <c r="N4" s="62" t="s">
        <v>98</v>
      </c>
      <c r="O4" s="62" t="s">
        <v>98</v>
      </c>
      <c r="P4" s="63" t="s">
        <v>99</v>
      </c>
      <c r="Q4" s="64" t="s">
        <v>100</v>
      </c>
      <c r="R4" s="65"/>
      <c r="S4" s="66"/>
    </row>
    <row r="5" spans="1:26 16380:16382" ht="132" customHeight="1">
      <c r="A5" s="156"/>
      <c r="B5" s="58" t="s">
        <v>101</v>
      </c>
      <c r="C5" s="58" t="s">
        <v>102</v>
      </c>
      <c r="D5" s="59">
        <v>0.1</v>
      </c>
      <c r="E5" s="67" t="s">
        <v>103</v>
      </c>
      <c r="F5" s="67" t="s">
        <v>104</v>
      </c>
      <c r="G5" s="67" t="s">
        <v>105</v>
      </c>
      <c r="H5" s="67" t="s">
        <v>106</v>
      </c>
      <c r="I5" s="67"/>
      <c r="J5" s="62" t="s">
        <v>98</v>
      </c>
      <c r="K5" s="62" t="s">
        <v>98</v>
      </c>
      <c r="L5" s="62" t="s">
        <v>98</v>
      </c>
      <c r="M5" s="62" t="s">
        <v>98</v>
      </c>
      <c r="N5" s="62" t="s">
        <v>98</v>
      </c>
      <c r="O5" s="62" t="s">
        <v>98</v>
      </c>
      <c r="P5" s="63" t="s">
        <v>99</v>
      </c>
      <c r="Q5" s="64" t="s">
        <v>107</v>
      </c>
      <c r="R5" s="66"/>
      <c r="S5" s="66"/>
    </row>
    <row r="6" spans="1:26 16380:16382" ht="139.5" customHeight="1">
      <c r="A6" s="156"/>
      <c r="B6" s="156" t="s">
        <v>108</v>
      </c>
      <c r="C6" s="58" t="s">
        <v>109</v>
      </c>
      <c r="D6" s="59">
        <v>0.15</v>
      </c>
      <c r="E6" s="67" t="s">
        <v>110</v>
      </c>
      <c r="F6" s="67" t="s">
        <v>111</v>
      </c>
      <c r="G6" s="67" t="s">
        <v>112</v>
      </c>
      <c r="H6" s="67" t="s">
        <v>113</v>
      </c>
      <c r="I6" s="67" t="s">
        <v>114</v>
      </c>
      <c r="J6" s="62" t="s">
        <v>98</v>
      </c>
      <c r="K6" s="62" t="s">
        <v>98</v>
      </c>
      <c r="L6" s="62" t="s">
        <v>98</v>
      </c>
      <c r="M6" s="62" t="s">
        <v>98</v>
      </c>
      <c r="N6" s="62" t="s">
        <v>98</v>
      </c>
      <c r="O6" s="62" t="s">
        <v>98</v>
      </c>
      <c r="P6" s="63" t="s">
        <v>99</v>
      </c>
      <c r="Q6" s="64" t="s">
        <v>115</v>
      </c>
      <c r="R6" s="66"/>
      <c r="S6" s="66"/>
    </row>
    <row r="7" spans="1:26 16380:16382" ht="117" customHeight="1">
      <c r="A7" s="156"/>
      <c r="B7" s="156"/>
      <c r="C7" s="58" t="s">
        <v>116</v>
      </c>
      <c r="D7" s="59">
        <v>0.2</v>
      </c>
      <c r="E7" s="67" t="s">
        <v>117</v>
      </c>
      <c r="F7" s="67" t="s">
        <v>118</v>
      </c>
      <c r="G7" s="67" t="s">
        <v>119</v>
      </c>
      <c r="H7" s="67" t="s">
        <v>120</v>
      </c>
      <c r="I7" s="67" t="s">
        <v>121</v>
      </c>
      <c r="J7" s="62" t="s">
        <v>98</v>
      </c>
      <c r="K7" s="62" t="s">
        <v>98</v>
      </c>
      <c r="L7" s="62" t="s">
        <v>98</v>
      </c>
      <c r="M7" s="62" t="s">
        <v>98</v>
      </c>
      <c r="N7" s="62" t="s">
        <v>98</v>
      </c>
      <c r="O7" s="62" t="s">
        <v>98</v>
      </c>
      <c r="P7" s="63" t="s">
        <v>99</v>
      </c>
      <c r="Q7" s="64" t="s">
        <v>122</v>
      </c>
      <c r="R7" s="66"/>
      <c r="S7" s="66"/>
    </row>
    <row r="8" spans="1:26 16380:16382" ht="177.45" customHeight="1">
      <c r="A8" s="156"/>
      <c r="B8" s="156"/>
      <c r="C8" s="58" t="s">
        <v>123</v>
      </c>
      <c r="D8" s="59">
        <v>0.2</v>
      </c>
      <c r="E8" s="67" t="s">
        <v>124</v>
      </c>
      <c r="F8" s="67" t="s">
        <v>125</v>
      </c>
      <c r="G8" s="67" t="s">
        <v>126</v>
      </c>
      <c r="H8" s="67" t="s">
        <v>127</v>
      </c>
      <c r="I8" s="67" t="s">
        <v>128</v>
      </c>
      <c r="J8" s="62" t="s">
        <v>98</v>
      </c>
      <c r="K8" s="62" t="s">
        <v>98</v>
      </c>
      <c r="L8" s="62" t="s">
        <v>98</v>
      </c>
      <c r="M8" s="62" t="s">
        <v>98</v>
      </c>
      <c r="N8" s="62" t="s">
        <v>98</v>
      </c>
      <c r="O8" s="62" t="s">
        <v>98</v>
      </c>
      <c r="P8" s="63" t="s">
        <v>99</v>
      </c>
      <c r="Q8" s="64" t="s">
        <v>129</v>
      </c>
      <c r="R8" s="66"/>
      <c r="S8" s="66"/>
    </row>
    <row r="9" spans="1:26 16380:16382" ht="88.5" customHeight="1">
      <c r="A9" s="156"/>
      <c r="B9" s="68" t="s">
        <v>130</v>
      </c>
      <c r="C9" s="68" t="s">
        <v>131</v>
      </c>
      <c r="D9" s="59">
        <v>0.15</v>
      </c>
      <c r="E9" s="67" t="s">
        <v>132</v>
      </c>
      <c r="F9" s="67" t="s">
        <v>133</v>
      </c>
      <c r="G9" s="67" t="s">
        <v>134</v>
      </c>
      <c r="H9" s="67" t="s">
        <v>135</v>
      </c>
      <c r="I9" s="67" t="s">
        <v>136</v>
      </c>
      <c r="J9" s="62" t="s">
        <v>98</v>
      </c>
      <c r="K9" s="62" t="s">
        <v>98</v>
      </c>
      <c r="L9" s="62" t="s">
        <v>98</v>
      </c>
      <c r="M9" s="62" t="s">
        <v>98</v>
      </c>
      <c r="N9" s="62" t="s">
        <v>98</v>
      </c>
      <c r="O9" s="62" t="s">
        <v>98</v>
      </c>
      <c r="P9" s="63" t="s">
        <v>99</v>
      </c>
      <c r="Q9" s="64" t="s">
        <v>137</v>
      </c>
      <c r="R9" s="66"/>
      <c r="S9" s="66"/>
    </row>
    <row r="10" spans="1:26 16380:16382" ht="140.1" customHeight="1">
      <c r="A10" s="156"/>
      <c r="B10" s="58" t="s">
        <v>138</v>
      </c>
      <c r="C10" s="58" t="s">
        <v>139</v>
      </c>
      <c r="D10" s="59">
        <v>0.1</v>
      </c>
      <c r="E10" s="67" t="s">
        <v>140</v>
      </c>
      <c r="F10" s="67" t="s">
        <v>141</v>
      </c>
      <c r="G10" s="67" t="s">
        <v>142</v>
      </c>
      <c r="H10" s="67" t="s">
        <v>143</v>
      </c>
      <c r="I10" s="67"/>
      <c r="J10" s="62" t="s">
        <v>98</v>
      </c>
      <c r="K10" s="62" t="s">
        <v>98</v>
      </c>
      <c r="L10" s="62" t="s">
        <v>98</v>
      </c>
      <c r="M10" s="62" t="s">
        <v>98</v>
      </c>
      <c r="N10" s="62" t="s">
        <v>98</v>
      </c>
      <c r="O10" s="62" t="s">
        <v>98</v>
      </c>
      <c r="P10" s="63" t="s">
        <v>99</v>
      </c>
      <c r="Q10" s="64" t="s">
        <v>144</v>
      </c>
      <c r="R10" s="66"/>
      <c r="S10" s="66"/>
    </row>
    <row r="11" spans="1:26 16380:16382" ht="27" customHeight="1">
      <c r="H11" s="70"/>
      <c r="I11" s="70"/>
      <c r="J11" s="70"/>
      <c r="K11" s="70"/>
      <c r="L11" s="70"/>
      <c r="M11" s="70"/>
      <c r="N11" s="70"/>
      <c r="O11" s="70"/>
      <c r="P11" s="70"/>
      <c r="Q11" s="70"/>
      <c r="R11" s="70"/>
      <c r="S11" s="70"/>
      <c r="XEZ11" s="55"/>
      <c r="XFA11" s="55"/>
      <c r="XFB11" s="55"/>
    </row>
    <row r="12" spans="1:26 16380:16382" ht="45" customHeight="1">
      <c r="A12" s="157"/>
      <c r="B12" s="157"/>
      <c r="C12" s="157"/>
      <c r="D12" s="157"/>
      <c r="E12" s="157"/>
      <c r="F12" s="157"/>
      <c r="G12" s="157"/>
      <c r="H12" s="71"/>
      <c r="I12" s="71"/>
      <c r="J12" s="71"/>
      <c r="K12" s="71"/>
      <c r="P12" s="71"/>
      <c r="Q12" s="71"/>
      <c r="R12" s="71"/>
      <c r="S12" s="71"/>
      <c r="T12" s="71"/>
      <c r="U12" s="71"/>
      <c r="V12" s="71"/>
      <c r="W12" s="71"/>
      <c r="X12" s="71"/>
      <c r="Y12" s="71"/>
      <c r="Z12" s="71"/>
      <c r="XEZ12" s="55"/>
      <c r="XFA12" s="55"/>
      <c r="XFB12" s="55"/>
    </row>
    <row r="13" spans="1:26 16380:16382" ht="14.4">
      <c r="A13" s="71"/>
      <c r="B13" s="71"/>
      <c r="C13" s="71"/>
      <c r="D13" s="71"/>
      <c r="E13" s="71"/>
      <c r="F13" s="71"/>
      <c r="G13" s="71"/>
      <c r="H13" s="71"/>
      <c r="I13" s="71"/>
      <c r="J13" s="71"/>
      <c r="K13" s="71"/>
      <c r="P13" s="71"/>
      <c r="Q13" s="71"/>
      <c r="R13" s="71"/>
      <c r="S13" s="71"/>
      <c r="T13" s="71"/>
      <c r="U13" s="71"/>
      <c r="V13" s="71"/>
      <c r="W13" s="71"/>
      <c r="X13" s="71"/>
      <c r="Y13" s="71"/>
      <c r="Z13" s="71"/>
      <c r="XEZ13" s="55"/>
      <c r="XFA13" s="55"/>
      <c r="XFB13" s="55"/>
    </row>
    <row r="14" spans="1:26 16380:16382" ht="14.4">
      <c r="A14" s="71"/>
      <c r="B14" s="71"/>
      <c r="C14" s="71"/>
      <c r="D14" s="71"/>
      <c r="E14" s="71"/>
      <c r="F14" s="71"/>
      <c r="G14" s="71"/>
      <c r="H14" s="71"/>
      <c r="I14" s="71"/>
      <c r="J14" s="71"/>
      <c r="K14" s="71"/>
      <c r="P14" s="71"/>
      <c r="Q14" s="71"/>
      <c r="R14" s="71"/>
      <c r="S14" s="71"/>
      <c r="T14" s="71"/>
      <c r="U14" s="71"/>
      <c r="V14" s="71"/>
      <c r="W14" s="71"/>
      <c r="X14" s="71"/>
      <c r="Y14" s="71"/>
      <c r="Z14" s="71"/>
      <c r="XEZ14" s="55"/>
      <c r="XFA14" s="55"/>
      <c r="XFB14" s="55"/>
    </row>
    <row r="15" spans="1:26 16380:16382" ht="39" customHeight="1">
      <c r="A15" s="158" t="s">
        <v>145</v>
      </c>
      <c r="B15" s="158"/>
      <c r="C15" s="158"/>
      <c r="D15" s="72" t="s">
        <v>74</v>
      </c>
      <c r="E15" s="72" t="s">
        <v>146</v>
      </c>
      <c r="F15" s="73" t="s">
        <v>75</v>
      </c>
      <c r="G15" s="73" t="s">
        <v>76</v>
      </c>
      <c r="H15" s="73" t="s">
        <v>77</v>
      </c>
      <c r="I15" s="73" t="s">
        <v>147</v>
      </c>
      <c r="J15" s="74" t="s">
        <v>148</v>
      </c>
      <c r="K15" s="75"/>
      <c r="P15" s="71"/>
      <c r="Q15" s="71"/>
      <c r="R15" s="71"/>
      <c r="S15" s="71"/>
      <c r="T15" s="71"/>
      <c r="U15" s="71"/>
      <c r="V15" s="71"/>
      <c r="W15" s="71"/>
      <c r="X15" s="71"/>
      <c r="Y15" s="71"/>
      <c r="Z15" s="71"/>
      <c r="XEZ15" s="55"/>
      <c r="XFA15" s="55"/>
      <c r="XFB15" s="55"/>
    </row>
    <row r="16" spans="1:26 16380:16382" s="82" customFormat="1" ht="184.8" customHeight="1">
      <c r="A16" s="153" t="s">
        <v>149</v>
      </c>
      <c r="B16" s="153"/>
      <c r="C16" s="153"/>
      <c r="D16" s="76">
        <v>0.4</v>
      </c>
      <c r="E16" s="77" t="s">
        <v>150</v>
      </c>
      <c r="F16" s="78" t="s">
        <v>151</v>
      </c>
      <c r="G16" s="79" t="s">
        <v>152</v>
      </c>
      <c r="H16" s="79" t="s">
        <v>153</v>
      </c>
      <c r="I16" s="79"/>
      <c r="J16" s="80" t="s">
        <v>98</v>
      </c>
      <c r="K16" s="81"/>
      <c r="L16" s="70"/>
      <c r="M16" s="70"/>
      <c r="N16" s="70"/>
      <c r="O16" s="70"/>
      <c r="P16" s="70"/>
      <c r="Q16" s="70"/>
      <c r="R16" s="70"/>
      <c r="S16" s="70"/>
      <c r="T16" s="70"/>
      <c r="U16" s="70"/>
      <c r="V16" s="70"/>
      <c r="W16" s="70"/>
      <c r="X16" s="70"/>
      <c r="Y16" s="70"/>
      <c r="Z16" s="70"/>
    </row>
    <row r="17" spans="1:26 16380:16382" s="82" customFormat="1" ht="166.2" customHeight="1">
      <c r="A17" s="153" t="s">
        <v>154</v>
      </c>
      <c r="B17" s="153"/>
      <c r="C17" s="153"/>
      <c r="D17" s="76">
        <v>0.6</v>
      </c>
      <c r="E17" s="77" t="s">
        <v>155</v>
      </c>
      <c r="F17" s="78" t="s">
        <v>156</v>
      </c>
      <c r="G17" s="79" t="s">
        <v>157</v>
      </c>
      <c r="H17" s="79" t="s">
        <v>158</v>
      </c>
      <c r="I17" s="79"/>
      <c r="J17" s="80" t="s">
        <v>98</v>
      </c>
      <c r="K17" s="81"/>
      <c r="L17" s="70"/>
      <c r="M17" s="70"/>
      <c r="N17" s="70"/>
      <c r="O17" s="70"/>
      <c r="P17" s="70"/>
      <c r="Q17" s="70"/>
      <c r="R17" s="70"/>
      <c r="S17" s="70"/>
      <c r="T17" s="70"/>
      <c r="U17" s="70"/>
      <c r="V17" s="70"/>
      <c r="W17" s="70"/>
      <c r="X17" s="70"/>
      <c r="Y17" s="70"/>
      <c r="Z17" s="70"/>
    </row>
    <row r="18" spans="1:26 16380:16382" ht="14.4">
      <c r="A18" s="71"/>
      <c r="B18" s="71"/>
      <c r="C18" s="71"/>
      <c r="D18" s="71"/>
      <c r="E18" s="71"/>
      <c r="F18" s="71"/>
      <c r="G18" s="71"/>
      <c r="H18" s="71"/>
      <c r="I18" s="71"/>
      <c r="J18" s="71"/>
      <c r="K18" s="71"/>
      <c r="P18" s="71"/>
      <c r="Q18" s="71"/>
      <c r="R18" s="71"/>
      <c r="S18" s="71"/>
      <c r="T18" s="71"/>
      <c r="U18" s="71"/>
      <c r="V18" s="71"/>
      <c r="W18" s="71"/>
      <c r="X18" s="71"/>
      <c r="Y18" s="71"/>
      <c r="Z18" s="71"/>
      <c r="XEZ18" s="55"/>
      <c r="XFA18" s="55"/>
      <c r="XFB18" s="55"/>
    </row>
    <row r="19" spans="1:26 16380:16382">
      <c r="A19" s="154" t="s">
        <v>159</v>
      </c>
      <c r="B19" s="154"/>
      <c r="C19" s="154"/>
      <c r="D19" s="154"/>
      <c r="E19" s="154"/>
      <c r="F19" s="154"/>
      <c r="G19" s="71"/>
      <c r="H19" s="71"/>
      <c r="I19" s="71"/>
      <c r="J19" s="71"/>
      <c r="K19" s="71"/>
      <c r="P19" s="71"/>
      <c r="Q19" s="71"/>
      <c r="R19" s="71"/>
      <c r="S19" s="71"/>
      <c r="T19" s="71"/>
      <c r="U19" s="71"/>
      <c r="V19" s="71"/>
      <c r="W19" s="71"/>
      <c r="X19" s="71"/>
      <c r="Y19" s="71"/>
      <c r="Z19" s="71"/>
      <c r="XEZ19" s="55"/>
      <c r="XFA19" s="55"/>
      <c r="XFB19" s="55"/>
    </row>
    <row r="20" spans="1:26 16380:16382" ht="14.4">
      <c r="A20" s="71"/>
      <c r="B20" s="71"/>
      <c r="C20" s="71"/>
      <c r="D20" s="71"/>
      <c r="E20" s="71"/>
      <c r="F20" s="71"/>
      <c r="G20" s="71"/>
      <c r="H20" s="71"/>
      <c r="I20" s="71"/>
      <c r="J20" s="71"/>
      <c r="K20" s="71"/>
      <c r="P20" s="71"/>
      <c r="Q20" s="71"/>
      <c r="R20" s="71"/>
      <c r="S20" s="71"/>
      <c r="T20" s="71"/>
      <c r="U20" s="71"/>
      <c r="V20" s="71"/>
      <c r="W20" s="71"/>
      <c r="X20" s="71"/>
      <c r="Y20" s="71"/>
      <c r="Z20" s="71"/>
      <c r="XEZ20" s="55"/>
      <c r="XFA20" s="55"/>
      <c r="XFB20" s="55"/>
    </row>
    <row r="21" spans="1:26 16380:16382" ht="14.4">
      <c r="A21" s="71"/>
      <c r="B21" s="71"/>
      <c r="C21" s="71"/>
      <c r="D21" s="71"/>
      <c r="E21" s="71"/>
      <c r="F21" s="71"/>
      <c r="G21" s="71"/>
      <c r="H21" s="71"/>
      <c r="I21" s="71"/>
      <c r="J21" s="71"/>
      <c r="K21" s="71"/>
      <c r="P21" s="71"/>
      <c r="Q21" s="71"/>
      <c r="R21" s="71"/>
      <c r="S21" s="71"/>
      <c r="T21" s="71"/>
      <c r="U21" s="71"/>
      <c r="V21" s="71"/>
      <c r="W21" s="71"/>
      <c r="X21" s="71"/>
      <c r="Y21" s="71"/>
      <c r="Z21" s="71"/>
      <c r="XEZ21" s="55"/>
      <c r="XFA21" s="55"/>
      <c r="XFB21" s="55"/>
    </row>
    <row r="22" spans="1:26 16380:16382" ht="14.4">
      <c r="A22" s="71"/>
      <c r="B22" s="71"/>
      <c r="C22" s="71"/>
      <c r="D22" s="71"/>
      <c r="E22" s="71"/>
      <c r="F22" s="71"/>
      <c r="G22" s="71"/>
      <c r="H22" s="71"/>
      <c r="I22" s="71"/>
      <c r="J22" s="71"/>
      <c r="K22" s="71"/>
      <c r="P22" s="71"/>
      <c r="Q22" s="71"/>
      <c r="R22" s="71"/>
      <c r="S22" s="71"/>
      <c r="T22" s="71"/>
      <c r="U22" s="71"/>
      <c r="V22" s="71"/>
      <c r="W22" s="71"/>
      <c r="X22" s="71"/>
      <c r="Y22" s="71"/>
      <c r="Z22" s="71"/>
      <c r="XEZ22" s="55"/>
      <c r="XFA22" s="55"/>
      <c r="XFB22" s="55"/>
    </row>
    <row r="23" spans="1:26 16380:16382" ht="14.4">
      <c r="A23" s="71"/>
      <c r="B23" s="71"/>
      <c r="C23" s="71"/>
      <c r="D23" s="71"/>
      <c r="E23" s="71"/>
      <c r="F23" s="71"/>
      <c r="G23" s="71"/>
      <c r="H23" s="71"/>
      <c r="I23" s="71"/>
      <c r="J23" s="71"/>
      <c r="K23" s="71"/>
      <c r="P23" s="71"/>
      <c r="Q23" s="71"/>
      <c r="R23" s="71"/>
      <c r="S23" s="71"/>
      <c r="T23" s="71"/>
      <c r="U23" s="71"/>
      <c r="V23" s="71"/>
      <c r="W23" s="71"/>
      <c r="X23" s="71"/>
      <c r="Y23" s="71"/>
      <c r="Z23" s="71"/>
      <c r="XEZ23" s="55"/>
      <c r="XFA23" s="55"/>
      <c r="XFB23" s="55"/>
    </row>
    <row r="24" spans="1:26 16380:16382" ht="14.4">
      <c r="A24" s="71"/>
      <c r="B24" s="71"/>
      <c r="C24" s="71"/>
      <c r="D24" s="71"/>
      <c r="E24" s="71"/>
      <c r="F24" s="71"/>
      <c r="G24" s="71"/>
      <c r="H24" s="71"/>
      <c r="I24" s="71"/>
      <c r="J24" s="71"/>
      <c r="K24" s="71"/>
      <c r="P24" s="71"/>
      <c r="Q24" s="71"/>
      <c r="R24" s="71"/>
      <c r="S24" s="71"/>
      <c r="T24" s="71"/>
      <c r="U24" s="71"/>
      <c r="V24" s="71"/>
      <c r="W24" s="71"/>
      <c r="X24" s="71"/>
      <c r="Y24" s="71"/>
      <c r="Z24" s="71"/>
      <c r="XEZ24" s="55"/>
      <c r="XFA24" s="55"/>
      <c r="XFB24" s="55"/>
    </row>
    <row r="25" spans="1:26 16380:16382" ht="14.4">
      <c r="A25" s="71"/>
      <c r="B25" s="71"/>
      <c r="C25" s="71"/>
      <c r="D25" s="71"/>
      <c r="E25" s="71"/>
      <c r="F25" s="71"/>
      <c r="G25" s="71"/>
      <c r="H25" s="71"/>
      <c r="I25" s="71"/>
      <c r="J25" s="71"/>
      <c r="K25" s="71"/>
      <c r="P25" s="71"/>
      <c r="Q25" s="71"/>
      <c r="R25" s="71"/>
      <c r="S25" s="71"/>
      <c r="T25" s="71"/>
      <c r="U25" s="71"/>
      <c r="V25" s="71"/>
      <c r="W25" s="71"/>
      <c r="X25" s="71"/>
      <c r="Y25" s="71"/>
      <c r="Z25" s="71"/>
      <c r="XEZ25" s="55"/>
      <c r="XFA25" s="55"/>
      <c r="XFB25" s="55"/>
    </row>
    <row r="26" spans="1:26 16380:16382" ht="14.4">
      <c r="A26" s="71"/>
      <c r="B26" s="71"/>
      <c r="C26" s="71"/>
      <c r="D26" s="71"/>
      <c r="E26" s="71"/>
      <c r="F26" s="71"/>
      <c r="G26" s="71"/>
      <c r="H26" s="71"/>
      <c r="I26" s="71"/>
      <c r="J26" s="71"/>
      <c r="K26" s="71"/>
      <c r="P26" s="71"/>
      <c r="Q26" s="71"/>
      <c r="R26" s="71"/>
      <c r="S26" s="71"/>
      <c r="T26" s="71"/>
      <c r="U26" s="71"/>
      <c r="V26" s="71"/>
      <c r="W26" s="71"/>
      <c r="X26" s="71"/>
      <c r="Y26" s="71"/>
      <c r="Z26" s="71"/>
      <c r="XEZ26" s="55"/>
      <c r="XFA26" s="55"/>
      <c r="XFB26" s="55"/>
    </row>
    <row r="27" spans="1:26 16380:16382" ht="14.4">
      <c r="A27" s="71"/>
      <c r="B27" s="71"/>
      <c r="C27" s="71"/>
      <c r="D27" s="71"/>
      <c r="E27" s="71"/>
      <c r="F27" s="71"/>
      <c r="G27" s="71"/>
      <c r="H27" s="71"/>
      <c r="I27" s="71"/>
      <c r="J27" s="71"/>
      <c r="K27" s="71"/>
      <c r="P27" s="71"/>
      <c r="Q27" s="71"/>
      <c r="R27" s="71"/>
      <c r="S27" s="71"/>
      <c r="T27" s="71"/>
      <c r="U27" s="71"/>
      <c r="V27" s="71"/>
      <c r="W27" s="71"/>
      <c r="X27" s="71"/>
      <c r="Y27" s="71"/>
      <c r="Z27" s="71"/>
      <c r="XEZ27" s="55"/>
      <c r="XFA27" s="55"/>
      <c r="XFB27" s="55"/>
    </row>
    <row r="28" spans="1:26 16380:16382" ht="14.4">
      <c r="A28" s="71"/>
      <c r="B28" s="71"/>
      <c r="C28" s="71"/>
      <c r="D28" s="71"/>
      <c r="E28" s="71"/>
      <c r="F28" s="71"/>
      <c r="G28" s="71"/>
      <c r="H28" s="71"/>
      <c r="I28" s="71"/>
      <c r="J28" s="71"/>
      <c r="K28" s="71"/>
      <c r="P28" s="71"/>
      <c r="Q28" s="71"/>
      <c r="R28" s="71"/>
      <c r="S28" s="71"/>
      <c r="T28" s="71"/>
      <c r="U28" s="71"/>
      <c r="V28" s="71"/>
      <c r="W28" s="71"/>
      <c r="X28" s="71"/>
      <c r="Y28" s="71"/>
      <c r="Z28" s="71"/>
      <c r="XEZ28" s="55"/>
      <c r="XFA28" s="55"/>
      <c r="XFB28" s="55"/>
    </row>
    <row r="29" spans="1:26 16380:16382" ht="14.4">
      <c r="A29" s="71"/>
      <c r="B29" s="71"/>
      <c r="C29" s="71"/>
      <c r="D29" s="71"/>
      <c r="E29" s="71"/>
      <c r="F29" s="71"/>
      <c r="G29" s="71"/>
      <c r="H29" s="71"/>
      <c r="I29" s="71"/>
      <c r="J29" s="71"/>
      <c r="K29" s="71"/>
      <c r="P29" s="71"/>
      <c r="Q29" s="71"/>
      <c r="R29" s="71"/>
      <c r="S29" s="71"/>
      <c r="T29" s="71"/>
      <c r="U29" s="71"/>
      <c r="V29" s="71"/>
      <c r="W29" s="71"/>
      <c r="X29" s="71"/>
      <c r="Y29" s="71"/>
      <c r="Z29" s="71"/>
      <c r="XEZ29" s="55"/>
      <c r="XFA29" s="55"/>
      <c r="XFB29" s="55"/>
    </row>
    <row r="30" spans="1:26 16380:16382" ht="14.4">
      <c r="A30" s="71"/>
      <c r="B30" s="71"/>
      <c r="C30" s="71"/>
      <c r="D30" s="71"/>
      <c r="E30" s="71"/>
      <c r="F30" s="71"/>
      <c r="G30" s="71"/>
      <c r="H30" s="71"/>
      <c r="I30" s="71"/>
      <c r="J30" s="71"/>
      <c r="K30" s="71"/>
      <c r="P30" s="71"/>
      <c r="Q30" s="71"/>
      <c r="R30" s="71"/>
      <c r="S30" s="71"/>
      <c r="T30" s="71"/>
      <c r="U30" s="71"/>
      <c r="V30" s="71"/>
      <c r="W30" s="71"/>
      <c r="X30" s="71"/>
      <c r="Y30" s="71"/>
      <c r="Z30" s="71"/>
      <c r="XEZ30" s="55"/>
      <c r="XFA30" s="55"/>
      <c r="XFB30" s="55"/>
    </row>
    <row r="31" spans="1:26 16380:16382" ht="14.4">
      <c r="A31" s="71"/>
      <c r="B31" s="71"/>
      <c r="C31" s="71"/>
      <c r="D31" s="71"/>
      <c r="E31" s="71"/>
      <c r="F31" s="71"/>
      <c r="G31" s="71"/>
      <c r="H31" s="71"/>
      <c r="I31" s="71"/>
      <c r="J31" s="71"/>
      <c r="K31" s="71"/>
      <c r="P31" s="71"/>
      <c r="Q31" s="71"/>
      <c r="R31" s="71"/>
      <c r="S31" s="71"/>
      <c r="T31" s="71"/>
      <c r="U31" s="71"/>
      <c r="V31" s="71"/>
      <c r="W31" s="71"/>
      <c r="X31" s="71"/>
      <c r="Y31" s="71"/>
      <c r="Z31" s="71"/>
      <c r="XEZ31" s="55"/>
      <c r="XFA31" s="55"/>
      <c r="XFB31" s="55"/>
    </row>
    <row r="32" spans="1:26 16380:16382" ht="14.4">
      <c r="A32" s="71"/>
      <c r="B32" s="71"/>
      <c r="C32" s="71"/>
      <c r="D32" s="71"/>
      <c r="E32" s="71"/>
      <c r="F32" s="71"/>
      <c r="G32" s="71"/>
      <c r="H32" s="71"/>
      <c r="I32" s="71"/>
      <c r="J32" s="71"/>
      <c r="K32" s="71"/>
      <c r="P32" s="71"/>
      <c r="Q32" s="71"/>
      <c r="R32" s="71"/>
      <c r="S32" s="71"/>
      <c r="T32" s="71"/>
      <c r="U32" s="71"/>
      <c r="V32" s="71"/>
      <c r="W32" s="71"/>
      <c r="X32" s="71"/>
      <c r="Y32" s="71"/>
      <c r="Z32" s="71"/>
      <c r="XEZ32" s="55"/>
      <c r="XFA32" s="55"/>
      <c r="XFB32" s="55"/>
    </row>
    <row r="33" spans="1:26 16380:16382" ht="14.4">
      <c r="A33" s="71"/>
      <c r="B33" s="71"/>
      <c r="C33" s="71"/>
      <c r="D33" s="71"/>
      <c r="E33" s="71"/>
      <c r="F33" s="71"/>
      <c r="G33" s="71"/>
      <c r="H33" s="71"/>
      <c r="I33" s="71"/>
      <c r="J33" s="71"/>
      <c r="K33" s="71"/>
      <c r="P33" s="71"/>
      <c r="Q33" s="71"/>
      <c r="R33" s="71"/>
      <c r="S33" s="71"/>
      <c r="T33" s="71"/>
      <c r="U33" s="71"/>
      <c r="V33" s="71"/>
      <c r="W33" s="71"/>
      <c r="X33" s="71"/>
      <c r="Y33" s="71"/>
      <c r="Z33" s="71"/>
      <c r="XEZ33" s="55"/>
      <c r="XFA33" s="55"/>
      <c r="XFB33" s="55"/>
    </row>
    <row r="34" spans="1:26 16380:16382" ht="14.4">
      <c r="A34" s="71"/>
      <c r="B34" s="71"/>
      <c r="C34" s="71"/>
      <c r="D34" s="71"/>
      <c r="E34" s="71"/>
      <c r="F34" s="71"/>
      <c r="G34" s="71"/>
      <c r="H34" s="71"/>
      <c r="I34" s="71"/>
      <c r="J34" s="71"/>
      <c r="K34" s="71"/>
      <c r="P34" s="71"/>
      <c r="Q34" s="71"/>
      <c r="R34" s="71"/>
      <c r="S34" s="71"/>
      <c r="T34" s="71"/>
      <c r="U34" s="71"/>
      <c r="V34" s="71"/>
      <c r="W34" s="71"/>
      <c r="X34" s="71"/>
      <c r="Y34" s="71"/>
      <c r="Z34" s="71"/>
      <c r="XEZ34" s="55"/>
      <c r="XFA34" s="55"/>
      <c r="XFB34" s="55"/>
    </row>
    <row r="35" spans="1:26 16380:16382" ht="14.4">
      <c r="A35" s="71"/>
      <c r="B35" s="71"/>
      <c r="C35" s="71"/>
      <c r="D35" s="71"/>
      <c r="E35" s="71"/>
      <c r="F35" s="71"/>
      <c r="G35" s="71"/>
      <c r="H35" s="71"/>
      <c r="I35" s="71"/>
      <c r="J35" s="71"/>
      <c r="K35" s="71"/>
      <c r="P35" s="71"/>
      <c r="Q35" s="71"/>
      <c r="R35" s="71"/>
      <c r="S35" s="71"/>
      <c r="T35" s="71"/>
      <c r="U35" s="71"/>
      <c r="V35" s="71"/>
      <c r="W35" s="71"/>
      <c r="X35" s="71"/>
      <c r="Y35" s="71"/>
      <c r="Z35" s="71"/>
      <c r="XEZ35" s="55"/>
      <c r="XFA35" s="55"/>
      <c r="XFB35" s="55"/>
    </row>
    <row r="36" spans="1:26 16380:16382" ht="14.4">
      <c r="A36" s="71"/>
      <c r="B36" s="71"/>
      <c r="C36" s="71"/>
      <c r="D36" s="71"/>
      <c r="E36" s="71"/>
      <c r="F36" s="71"/>
      <c r="G36" s="71"/>
      <c r="H36" s="71"/>
      <c r="I36" s="71"/>
      <c r="J36" s="71"/>
      <c r="K36" s="71"/>
      <c r="P36" s="71"/>
      <c r="Q36" s="71"/>
      <c r="R36" s="71"/>
      <c r="S36" s="71"/>
      <c r="T36" s="71"/>
      <c r="U36" s="71"/>
      <c r="V36" s="71"/>
      <c r="W36" s="71"/>
      <c r="X36" s="71"/>
      <c r="Y36" s="71"/>
      <c r="Z36" s="71"/>
      <c r="XEZ36" s="55"/>
      <c r="XFA36" s="55"/>
      <c r="XFB36" s="55"/>
    </row>
    <row r="37" spans="1:26 16380:16382" ht="14.4">
      <c r="A37" s="71"/>
      <c r="B37" s="71"/>
      <c r="C37" s="71"/>
      <c r="D37" s="71"/>
      <c r="E37" s="71"/>
      <c r="F37" s="71"/>
      <c r="G37" s="71"/>
      <c r="H37" s="71"/>
      <c r="I37" s="71"/>
      <c r="J37" s="71"/>
      <c r="K37" s="71"/>
      <c r="P37" s="71"/>
      <c r="Q37" s="71"/>
      <c r="R37" s="71"/>
      <c r="S37" s="71"/>
      <c r="T37" s="71"/>
      <c r="U37" s="71"/>
      <c r="V37" s="71"/>
      <c r="W37" s="71"/>
      <c r="X37" s="71"/>
      <c r="Y37" s="71"/>
      <c r="Z37" s="71"/>
      <c r="XEZ37" s="55"/>
      <c r="XFA37" s="55"/>
      <c r="XFB37" s="55"/>
    </row>
    <row r="38" spans="1:26 16380:16382" ht="14.4">
      <c r="A38" s="71"/>
      <c r="B38" s="71"/>
      <c r="C38" s="71"/>
      <c r="D38" s="71"/>
      <c r="E38" s="71"/>
      <c r="F38" s="71"/>
      <c r="G38" s="71"/>
      <c r="H38" s="71"/>
      <c r="I38" s="71"/>
      <c r="J38" s="71"/>
      <c r="K38" s="71"/>
      <c r="P38" s="71"/>
      <c r="Q38" s="71"/>
      <c r="R38" s="71"/>
      <c r="S38" s="71"/>
      <c r="T38" s="71"/>
      <c r="U38" s="71"/>
      <c r="V38" s="71"/>
      <c r="W38" s="71"/>
      <c r="X38" s="71"/>
      <c r="Y38" s="71"/>
      <c r="Z38" s="71"/>
      <c r="XEZ38" s="55"/>
      <c r="XFA38" s="55"/>
      <c r="XFB38" s="55"/>
    </row>
    <row r="39" spans="1:26 16380:16382" ht="14.4">
      <c r="A39" s="71"/>
      <c r="B39" s="71"/>
      <c r="C39" s="71"/>
      <c r="D39" s="71"/>
      <c r="E39" s="71"/>
      <c r="F39" s="71"/>
      <c r="G39" s="71"/>
      <c r="H39" s="71"/>
      <c r="I39" s="71"/>
      <c r="J39" s="71"/>
      <c r="K39" s="71"/>
      <c r="P39" s="71"/>
      <c r="Q39" s="71"/>
      <c r="R39" s="71"/>
      <c r="S39" s="71"/>
      <c r="T39" s="71"/>
      <c r="U39" s="71"/>
      <c r="V39" s="71"/>
      <c r="W39" s="71"/>
      <c r="X39" s="71"/>
      <c r="Y39" s="71"/>
      <c r="Z39" s="71"/>
      <c r="XEZ39" s="55"/>
      <c r="XFA39" s="55"/>
      <c r="XFB39" s="55"/>
    </row>
    <row r="40" spans="1:26 16380:16382" ht="14.4">
      <c r="A40" s="71"/>
      <c r="B40" s="71"/>
      <c r="C40" s="71"/>
      <c r="D40" s="71"/>
      <c r="E40" s="71"/>
      <c r="F40" s="71"/>
      <c r="G40" s="71"/>
      <c r="H40" s="71"/>
      <c r="I40" s="71"/>
      <c r="J40" s="71"/>
      <c r="K40" s="71"/>
      <c r="P40" s="71"/>
      <c r="Q40" s="71"/>
      <c r="R40" s="71"/>
      <c r="S40" s="71"/>
      <c r="T40" s="71"/>
      <c r="U40" s="71"/>
      <c r="V40" s="71"/>
      <c r="W40" s="71"/>
      <c r="X40" s="71"/>
      <c r="Y40" s="71"/>
      <c r="Z40" s="71"/>
      <c r="XEZ40" s="55"/>
      <c r="XFA40" s="55"/>
      <c r="XFB40" s="55"/>
    </row>
    <row r="41" spans="1:26 16380:16382" ht="14.4">
      <c r="A41" s="71"/>
      <c r="B41" s="71"/>
      <c r="C41" s="71"/>
      <c r="D41" s="71"/>
      <c r="E41" s="71"/>
      <c r="F41" s="71"/>
      <c r="G41" s="71"/>
      <c r="H41" s="71"/>
      <c r="I41" s="71"/>
      <c r="J41" s="71"/>
      <c r="K41" s="71"/>
      <c r="P41" s="71"/>
      <c r="Q41" s="71"/>
      <c r="R41" s="71"/>
      <c r="S41" s="71"/>
      <c r="T41" s="71"/>
      <c r="U41" s="71"/>
      <c r="V41" s="71"/>
      <c r="W41" s="71"/>
      <c r="X41" s="71"/>
      <c r="Y41" s="71"/>
      <c r="Z41" s="71"/>
      <c r="XEZ41" s="55"/>
      <c r="XFA41" s="55"/>
      <c r="XFB41" s="55"/>
    </row>
    <row r="42" spans="1:26 16380:16382" ht="14.4">
      <c r="A42" s="71"/>
      <c r="B42" s="71"/>
      <c r="C42" s="71"/>
      <c r="D42" s="71"/>
      <c r="E42" s="71"/>
      <c r="F42" s="71"/>
      <c r="G42" s="71"/>
      <c r="H42" s="71"/>
      <c r="I42" s="71"/>
      <c r="J42" s="71"/>
      <c r="K42" s="71"/>
      <c r="P42" s="71"/>
      <c r="Q42" s="71"/>
      <c r="R42" s="71"/>
      <c r="S42" s="71"/>
      <c r="T42" s="71"/>
      <c r="U42" s="71"/>
      <c r="V42" s="71"/>
      <c r="W42" s="71"/>
      <c r="X42" s="71"/>
      <c r="Y42" s="71"/>
      <c r="Z42" s="71"/>
      <c r="XEZ42" s="55"/>
      <c r="XFA42" s="55"/>
      <c r="XFB42" s="55"/>
    </row>
    <row r="43" spans="1:26 16380:16382" ht="14.4">
      <c r="A43" s="71"/>
      <c r="B43" s="71"/>
      <c r="C43" s="71"/>
      <c r="D43" s="71"/>
      <c r="E43" s="71"/>
      <c r="F43" s="71"/>
      <c r="G43" s="71"/>
      <c r="H43" s="71"/>
      <c r="I43" s="71"/>
      <c r="J43" s="71"/>
      <c r="K43" s="71"/>
      <c r="P43" s="71"/>
      <c r="Q43" s="71"/>
      <c r="R43" s="71"/>
      <c r="S43" s="71"/>
      <c r="T43" s="71"/>
      <c r="U43" s="71"/>
      <c r="V43" s="71"/>
      <c r="W43" s="71"/>
      <c r="X43" s="71"/>
      <c r="Y43" s="71"/>
      <c r="Z43" s="71"/>
      <c r="XEZ43" s="55"/>
      <c r="XFA43" s="55"/>
      <c r="XFB43" s="55"/>
    </row>
    <row r="44" spans="1:26 16380:16382" ht="14.4">
      <c r="A44" s="71"/>
      <c r="B44" s="71"/>
      <c r="C44" s="71"/>
      <c r="D44" s="71"/>
      <c r="E44" s="71"/>
      <c r="F44" s="71"/>
      <c r="G44" s="71"/>
      <c r="H44" s="71"/>
      <c r="I44" s="71"/>
      <c r="J44" s="71"/>
      <c r="K44" s="71"/>
      <c r="P44" s="71"/>
      <c r="Q44" s="71"/>
      <c r="R44" s="71"/>
      <c r="S44" s="71"/>
      <c r="T44" s="71"/>
      <c r="U44" s="71"/>
      <c r="V44" s="71"/>
      <c r="W44" s="71"/>
      <c r="X44" s="71"/>
      <c r="Y44" s="71"/>
      <c r="Z44" s="71"/>
      <c r="XEZ44" s="55"/>
      <c r="XFA44" s="55"/>
      <c r="XFB44" s="55"/>
    </row>
    <row r="45" spans="1:26 16380:16382" ht="14.4">
      <c r="A45" s="71"/>
      <c r="B45" s="71"/>
      <c r="C45" s="71"/>
      <c r="D45" s="71"/>
      <c r="E45" s="71"/>
      <c r="F45" s="71"/>
      <c r="G45" s="71"/>
      <c r="H45" s="71"/>
      <c r="I45" s="71"/>
      <c r="J45" s="71"/>
      <c r="K45" s="71"/>
      <c r="P45" s="71"/>
      <c r="Q45" s="71"/>
      <c r="R45" s="71"/>
      <c r="S45" s="71"/>
      <c r="T45" s="71"/>
      <c r="U45" s="71"/>
      <c r="V45" s="71"/>
      <c r="W45" s="71"/>
      <c r="X45" s="71"/>
      <c r="Y45" s="71"/>
      <c r="Z45" s="71"/>
      <c r="XEZ45" s="55"/>
      <c r="XFA45" s="55"/>
      <c r="XFB45" s="55"/>
    </row>
    <row r="46" spans="1:26 16380:16382" ht="14.4">
      <c r="A46" s="71"/>
      <c r="B46" s="71"/>
      <c r="C46" s="71"/>
      <c r="D46" s="71"/>
      <c r="E46" s="71"/>
      <c r="F46" s="71"/>
      <c r="G46" s="71"/>
      <c r="H46" s="71"/>
      <c r="I46" s="71"/>
      <c r="J46" s="71"/>
      <c r="K46" s="71"/>
      <c r="P46" s="71"/>
      <c r="Q46" s="71"/>
      <c r="R46" s="71"/>
      <c r="S46" s="71"/>
      <c r="T46" s="71"/>
      <c r="U46" s="71"/>
      <c r="V46" s="71"/>
      <c r="W46" s="71"/>
      <c r="X46" s="71"/>
      <c r="Y46" s="71"/>
      <c r="Z46" s="71"/>
      <c r="XEZ46" s="55"/>
      <c r="XFA46" s="55"/>
      <c r="XFB46" s="55"/>
    </row>
    <row r="47" spans="1:26 16380:16382" ht="14.4">
      <c r="A47" s="71"/>
      <c r="B47" s="71"/>
      <c r="C47" s="71"/>
      <c r="D47" s="71"/>
      <c r="E47" s="71"/>
      <c r="F47" s="71"/>
      <c r="G47" s="71"/>
      <c r="H47" s="71"/>
      <c r="I47" s="71"/>
      <c r="J47" s="71"/>
      <c r="K47" s="71"/>
      <c r="P47" s="71"/>
      <c r="Q47" s="71"/>
      <c r="R47" s="71"/>
      <c r="S47" s="71"/>
      <c r="T47" s="71"/>
      <c r="U47" s="71"/>
      <c r="V47" s="71"/>
      <c r="W47" s="71"/>
      <c r="X47" s="71"/>
      <c r="Y47" s="71"/>
      <c r="Z47" s="71"/>
      <c r="XEZ47" s="55"/>
      <c r="XFA47" s="55"/>
      <c r="XFB47" s="55"/>
    </row>
    <row r="48" spans="1:26 16380:16382" ht="14.4">
      <c r="A48" s="71"/>
      <c r="B48" s="71"/>
      <c r="C48" s="71"/>
      <c r="D48" s="71"/>
      <c r="E48" s="71"/>
      <c r="F48" s="71"/>
      <c r="G48" s="71"/>
      <c r="H48" s="71"/>
      <c r="I48" s="71"/>
      <c r="J48" s="71"/>
      <c r="K48" s="71"/>
      <c r="P48" s="71"/>
      <c r="Q48" s="71"/>
      <c r="R48" s="71"/>
      <c r="S48" s="71"/>
      <c r="T48" s="71"/>
      <c r="U48" s="71"/>
      <c r="V48" s="71"/>
      <c r="W48" s="71"/>
      <c r="X48" s="71"/>
      <c r="Y48" s="71"/>
      <c r="Z48" s="71"/>
      <c r="XEZ48" s="55"/>
      <c r="XFA48" s="55"/>
      <c r="XFB48" s="55"/>
    </row>
    <row r="49" spans="1:26 16380:16382" ht="14.4">
      <c r="A49" s="71"/>
      <c r="B49" s="71"/>
      <c r="C49" s="71"/>
      <c r="D49" s="71"/>
      <c r="E49" s="71"/>
      <c r="F49" s="71"/>
      <c r="G49" s="71"/>
      <c r="H49" s="71"/>
      <c r="I49" s="71"/>
      <c r="J49" s="71"/>
      <c r="K49" s="71"/>
      <c r="P49" s="71"/>
      <c r="Q49" s="71"/>
      <c r="R49" s="71"/>
      <c r="S49" s="71"/>
      <c r="T49" s="71"/>
      <c r="U49" s="71"/>
      <c r="V49" s="71"/>
      <c r="W49" s="71"/>
      <c r="X49" s="71"/>
      <c r="Y49" s="71"/>
      <c r="Z49" s="71"/>
      <c r="XEZ49" s="55"/>
      <c r="XFA49" s="55"/>
      <c r="XFB49" s="55"/>
    </row>
    <row r="50" spans="1:26 16380:16382" ht="14.4">
      <c r="A50" s="71"/>
      <c r="B50" s="71"/>
      <c r="C50" s="71"/>
      <c r="D50" s="71"/>
      <c r="E50" s="71"/>
      <c r="F50" s="71"/>
      <c r="G50" s="71"/>
      <c r="H50" s="71"/>
      <c r="I50" s="71"/>
      <c r="J50" s="71"/>
      <c r="K50" s="71"/>
      <c r="P50" s="71"/>
      <c r="Q50" s="71"/>
      <c r="R50" s="71"/>
      <c r="S50" s="71"/>
      <c r="T50" s="71"/>
      <c r="U50" s="71"/>
      <c r="V50" s="71"/>
      <c r="W50" s="71"/>
      <c r="X50" s="71"/>
      <c r="Y50" s="71"/>
      <c r="Z50" s="71"/>
      <c r="XEZ50" s="55"/>
      <c r="XFA50" s="55"/>
      <c r="XFB50" s="55"/>
    </row>
    <row r="51" spans="1:26 16380:16382" ht="14.4">
      <c r="A51" s="71"/>
      <c r="B51" s="71"/>
      <c r="C51" s="71"/>
      <c r="D51" s="71"/>
      <c r="E51" s="71"/>
      <c r="F51" s="71"/>
      <c r="G51" s="71"/>
      <c r="H51" s="71"/>
      <c r="I51" s="71"/>
      <c r="J51" s="71"/>
      <c r="K51" s="71"/>
      <c r="P51" s="71"/>
      <c r="Q51" s="71"/>
      <c r="R51" s="71"/>
      <c r="S51" s="71"/>
      <c r="T51" s="71"/>
      <c r="U51" s="71"/>
      <c r="V51" s="71"/>
      <c r="W51" s="71"/>
      <c r="X51" s="71"/>
      <c r="Y51" s="71"/>
      <c r="Z51" s="71"/>
      <c r="XEZ51" s="55"/>
      <c r="XFA51" s="55"/>
      <c r="XFB51" s="55"/>
    </row>
    <row r="52" spans="1:26 16380:16382" ht="14.4">
      <c r="A52" s="71"/>
      <c r="B52" s="71"/>
      <c r="C52" s="71"/>
      <c r="D52" s="71"/>
      <c r="E52" s="71"/>
      <c r="F52" s="71"/>
      <c r="G52" s="71"/>
      <c r="H52" s="71"/>
      <c r="I52" s="71"/>
      <c r="J52" s="71"/>
      <c r="K52" s="71"/>
      <c r="P52" s="71"/>
      <c r="Q52" s="71"/>
      <c r="R52" s="71"/>
      <c r="S52" s="71"/>
      <c r="T52" s="71"/>
      <c r="U52" s="71"/>
      <c r="V52" s="71"/>
      <c r="W52" s="71"/>
      <c r="X52" s="71"/>
      <c r="Y52" s="71"/>
      <c r="Z52" s="71"/>
      <c r="XEZ52" s="55"/>
      <c r="XFA52" s="55"/>
      <c r="XFB52" s="55"/>
    </row>
    <row r="53" spans="1:26 16380:16382" ht="14.4">
      <c r="A53" s="71"/>
      <c r="B53" s="71"/>
      <c r="C53" s="71"/>
      <c r="D53" s="71"/>
      <c r="E53" s="71"/>
      <c r="F53" s="71"/>
      <c r="G53" s="71"/>
      <c r="H53" s="71"/>
      <c r="I53" s="71"/>
      <c r="J53" s="71"/>
      <c r="K53" s="71"/>
      <c r="P53" s="71"/>
      <c r="Q53" s="71"/>
      <c r="R53" s="71"/>
      <c r="S53" s="71"/>
      <c r="T53" s="71"/>
      <c r="U53" s="71"/>
      <c r="V53" s="71"/>
      <c r="W53" s="71"/>
      <c r="X53" s="71"/>
      <c r="Y53" s="71"/>
      <c r="Z53" s="71"/>
      <c r="XEZ53" s="55"/>
      <c r="XFA53" s="55"/>
      <c r="XFB53" s="55"/>
    </row>
    <row r="54" spans="1:26 16380:16382" ht="14.4">
      <c r="A54" s="71"/>
      <c r="B54" s="71"/>
      <c r="C54" s="71"/>
      <c r="D54" s="71"/>
      <c r="E54" s="71"/>
      <c r="F54" s="71"/>
      <c r="G54" s="71"/>
      <c r="H54" s="71"/>
      <c r="I54" s="71"/>
      <c r="J54" s="71"/>
      <c r="K54" s="71"/>
      <c r="P54" s="71"/>
      <c r="Q54" s="71"/>
      <c r="R54" s="71"/>
      <c r="S54" s="71"/>
      <c r="T54" s="71"/>
      <c r="U54" s="71"/>
      <c r="V54" s="71"/>
      <c r="W54" s="71"/>
      <c r="X54" s="71"/>
      <c r="Y54" s="71"/>
      <c r="Z54" s="71"/>
      <c r="XEZ54" s="55"/>
      <c r="XFA54" s="55"/>
      <c r="XFB54" s="55"/>
    </row>
    <row r="55" spans="1:26 16380:16382" ht="14.4">
      <c r="A55" s="71"/>
      <c r="B55" s="71"/>
      <c r="C55" s="71"/>
      <c r="D55" s="71"/>
      <c r="E55" s="71"/>
      <c r="F55" s="71"/>
      <c r="G55" s="71"/>
      <c r="H55" s="71"/>
      <c r="I55" s="71"/>
      <c r="J55" s="71"/>
      <c r="K55" s="71"/>
      <c r="P55" s="71"/>
      <c r="Q55" s="71"/>
      <c r="R55" s="71"/>
      <c r="S55" s="71"/>
      <c r="T55" s="71"/>
      <c r="U55" s="71"/>
      <c r="V55" s="71"/>
      <c r="W55" s="71"/>
      <c r="X55" s="71"/>
      <c r="Y55" s="71"/>
      <c r="Z55" s="71"/>
      <c r="XEZ55" s="55"/>
      <c r="XFA55" s="55"/>
      <c r="XFB55" s="55"/>
    </row>
    <row r="56" spans="1:26 16380:16382" ht="14.4">
      <c r="A56" s="71"/>
      <c r="B56" s="71"/>
      <c r="C56" s="71"/>
      <c r="D56" s="71"/>
      <c r="E56" s="71"/>
      <c r="F56" s="71"/>
      <c r="G56" s="71"/>
      <c r="H56" s="71"/>
      <c r="I56" s="71"/>
      <c r="J56" s="71"/>
      <c r="K56" s="71"/>
      <c r="P56" s="71"/>
      <c r="Q56" s="71"/>
      <c r="R56" s="71"/>
      <c r="S56" s="71"/>
      <c r="T56" s="71"/>
      <c r="U56" s="71"/>
      <c r="V56" s="71"/>
      <c r="W56" s="71"/>
      <c r="X56" s="71"/>
      <c r="Y56" s="71"/>
      <c r="Z56" s="71"/>
      <c r="XEZ56" s="55"/>
      <c r="XFA56" s="55"/>
      <c r="XFB56" s="55"/>
    </row>
    <row r="57" spans="1:26 16380:16382" ht="14.4">
      <c r="A57" s="71"/>
      <c r="B57" s="71"/>
      <c r="C57" s="71"/>
      <c r="D57" s="71"/>
      <c r="E57" s="71"/>
      <c r="F57" s="71"/>
      <c r="G57" s="71"/>
      <c r="H57" s="71"/>
      <c r="I57" s="71"/>
      <c r="J57" s="71"/>
      <c r="K57" s="71"/>
      <c r="P57" s="71"/>
      <c r="Q57" s="71"/>
      <c r="R57" s="71"/>
      <c r="S57" s="71"/>
      <c r="T57" s="71"/>
      <c r="U57" s="71"/>
      <c r="V57" s="71"/>
      <c r="W57" s="71"/>
      <c r="X57" s="71"/>
      <c r="Y57" s="71"/>
      <c r="Z57" s="71"/>
      <c r="XEZ57" s="55"/>
      <c r="XFA57" s="55"/>
      <c r="XFB57" s="55"/>
    </row>
    <row r="58" spans="1:26 16380:16382" ht="14.4">
      <c r="A58" s="71"/>
      <c r="B58" s="71"/>
      <c r="C58" s="71"/>
      <c r="D58" s="71"/>
      <c r="E58" s="71"/>
      <c r="F58" s="71"/>
      <c r="G58" s="71"/>
      <c r="H58" s="71"/>
      <c r="I58" s="71"/>
      <c r="J58" s="71"/>
      <c r="K58" s="71"/>
      <c r="P58" s="71"/>
      <c r="Q58" s="71"/>
      <c r="R58" s="71"/>
      <c r="S58" s="71"/>
      <c r="T58" s="71"/>
      <c r="U58" s="71"/>
      <c r="V58" s="71"/>
      <c r="W58" s="71"/>
      <c r="X58" s="71"/>
      <c r="Y58" s="71"/>
      <c r="Z58" s="71"/>
      <c r="XEZ58" s="55"/>
      <c r="XFA58" s="55"/>
      <c r="XFB58" s="55"/>
    </row>
    <row r="59" spans="1:26 16380:16382" ht="14.4">
      <c r="A59" s="71"/>
      <c r="B59" s="71"/>
      <c r="C59" s="71"/>
      <c r="D59" s="71"/>
      <c r="E59" s="71"/>
      <c r="F59" s="71"/>
      <c r="G59" s="71"/>
      <c r="H59" s="71"/>
      <c r="I59" s="71"/>
      <c r="J59" s="71"/>
      <c r="K59" s="71"/>
      <c r="P59" s="71"/>
      <c r="Q59" s="71"/>
      <c r="R59" s="71"/>
      <c r="S59" s="71"/>
      <c r="T59" s="71"/>
      <c r="U59" s="71"/>
      <c r="V59" s="71"/>
      <c r="W59" s="71"/>
      <c r="X59" s="71"/>
      <c r="Y59" s="71"/>
      <c r="Z59" s="71"/>
      <c r="XEZ59" s="55"/>
      <c r="XFA59" s="55"/>
      <c r="XFB59" s="55"/>
    </row>
    <row r="60" spans="1:26 16380:16382" ht="14.4">
      <c r="A60" s="71"/>
      <c r="B60" s="71"/>
      <c r="C60" s="71"/>
      <c r="D60" s="71"/>
      <c r="E60" s="71"/>
      <c r="F60" s="71"/>
      <c r="G60" s="71"/>
      <c r="H60" s="71"/>
      <c r="I60" s="71"/>
      <c r="J60" s="71"/>
      <c r="K60" s="71"/>
      <c r="P60" s="71"/>
      <c r="Q60" s="71"/>
      <c r="R60" s="71"/>
      <c r="S60" s="71"/>
      <c r="T60" s="71"/>
      <c r="U60" s="71"/>
      <c r="V60" s="71"/>
      <c r="W60" s="71"/>
      <c r="X60" s="71"/>
      <c r="Y60" s="71"/>
      <c r="Z60" s="71"/>
      <c r="XEZ60" s="55"/>
      <c r="XFA60" s="55"/>
      <c r="XFB60" s="55"/>
    </row>
    <row r="61" spans="1:26 16380:16382" ht="14.4">
      <c r="A61" s="71"/>
      <c r="B61" s="71"/>
      <c r="C61" s="71"/>
      <c r="D61" s="71"/>
      <c r="E61" s="71"/>
      <c r="F61" s="71"/>
      <c r="G61" s="71"/>
      <c r="H61" s="71"/>
      <c r="I61" s="71"/>
      <c r="J61" s="71"/>
      <c r="K61" s="71"/>
      <c r="P61" s="71"/>
      <c r="Q61" s="71"/>
      <c r="R61" s="71"/>
      <c r="S61" s="71"/>
      <c r="T61" s="71"/>
      <c r="U61" s="71"/>
      <c r="V61" s="71"/>
      <c r="W61" s="71"/>
      <c r="X61" s="71"/>
      <c r="Y61" s="71"/>
      <c r="Z61" s="71"/>
      <c r="XEZ61" s="55"/>
      <c r="XFA61" s="55"/>
      <c r="XFB61" s="55"/>
    </row>
    <row r="62" spans="1:26 16380:16382" ht="14.4">
      <c r="A62" s="71"/>
      <c r="B62" s="71"/>
      <c r="C62" s="71"/>
      <c r="D62" s="71"/>
      <c r="E62" s="71"/>
      <c r="F62" s="71"/>
      <c r="G62" s="71"/>
      <c r="H62" s="71"/>
      <c r="I62" s="71"/>
      <c r="J62" s="71"/>
      <c r="K62" s="71"/>
      <c r="P62" s="71"/>
      <c r="Q62" s="71"/>
      <c r="R62" s="71"/>
      <c r="S62" s="71"/>
      <c r="T62" s="71"/>
      <c r="U62" s="71"/>
      <c r="V62" s="71"/>
      <c r="W62" s="71"/>
      <c r="X62" s="71"/>
      <c r="Y62" s="71"/>
      <c r="Z62" s="71"/>
      <c r="XEZ62" s="55"/>
      <c r="XFA62" s="55"/>
      <c r="XFB62" s="55"/>
    </row>
    <row r="63" spans="1:26 16380:16382" ht="14.4">
      <c r="A63" s="71"/>
      <c r="B63" s="71"/>
      <c r="C63" s="71"/>
      <c r="D63" s="71"/>
      <c r="E63" s="71"/>
      <c r="F63" s="71"/>
      <c r="G63" s="71"/>
      <c r="H63" s="71"/>
      <c r="I63" s="71"/>
      <c r="J63" s="71"/>
      <c r="K63" s="71"/>
      <c r="P63" s="71"/>
      <c r="Q63" s="71"/>
      <c r="R63" s="71"/>
      <c r="S63" s="71"/>
      <c r="T63" s="71"/>
      <c r="U63" s="71"/>
      <c r="V63" s="71"/>
      <c r="W63" s="71"/>
      <c r="X63" s="71"/>
      <c r="Y63" s="71"/>
      <c r="Z63" s="71"/>
      <c r="XEZ63" s="55"/>
      <c r="XFA63" s="55"/>
      <c r="XFB63" s="55"/>
    </row>
    <row r="64" spans="1:26 16380:16382" ht="14.4">
      <c r="A64" s="71"/>
      <c r="B64" s="71"/>
      <c r="C64" s="71"/>
      <c r="D64" s="71"/>
      <c r="E64" s="71"/>
      <c r="F64" s="71"/>
      <c r="G64" s="71"/>
      <c r="H64" s="71"/>
      <c r="I64" s="71"/>
      <c r="J64" s="71"/>
      <c r="K64" s="71"/>
      <c r="P64" s="71"/>
      <c r="Q64" s="71"/>
      <c r="R64" s="71"/>
      <c r="S64" s="71"/>
      <c r="T64" s="71"/>
      <c r="U64" s="71"/>
      <c r="V64" s="71"/>
      <c r="W64" s="71"/>
      <c r="X64" s="71"/>
      <c r="Y64" s="71"/>
      <c r="Z64" s="71"/>
      <c r="XEZ64" s="55"/>
      <c r="XFA64" s="55"/>
      <c r="XFB64" s="55"/>
    </row>
    <row r="65" spans="1:26 16380:16382" ht="14.4">
      <c r="A65" s="71"/>
      <c r="B65" s="71"/>
      <c r="C65" s="71"/>
      <c r="D65" s="71"/>
      <c r="E65" s="71"/>
      <c r="F65" s="71"/>
      <c r="G65" s="71"/>
      <c r="H65" s="71"/>
      <c r="I65" s="71"/>
      <c r="J65" s="71"/>
      <c r="K65" s="71"/>
      <c r="P65" s="71"/>
      <c r="Q65" s="71"/>
      <c r="R65" s="71"/>
      <c r="S65" s="71"/>
      <c r="T65" s="71"/>
      <c r="U65" s="71"/>
      <c r="V65" s="71"/>
      <c r="W65" s="71"/>
      <c r="X65" s="71"/>
      <c r="Y65" s="71"/>
      <c r="Z65" s="71"/>
      <c r="XEZ65" s="55"/>
      <c r="XFA65" s="55"/>
      <c r="XFB65" s="55"/>
    </row>
    <row r="66" spans="1:26 16380:16382" ht="14.4">
      <c r="A66" s="71"/>
      <c r="B66" s="71"/>
      <c r="C66" s="71"/>
      <c r="D66" s="71"/>
      <c r="E66" s="71"/>
      <c r="F66" s="71"/>
      <c r="G66" s="71"/>
      <c r="H66" s="71"/>
      <c r="I66" s="71"/>
      <c r="J66" s="71"/>
      <c r="K66" s="71"/>
      <c r="P66" s="71"/>
      <c r="Q66" s="71"/>
      <c r="R66" s="71"/>
      <c r="S66" s="71"/>
      <c r="T66" s="71"/>
      <c r="U66" s="71"/>
      <c r="V66" s="71"/>
      <c r="W66" s="71"/>
      <c r="X66" s="71"/>
      <c r="Y66" s="71"/>
      <c r="Z66" s="71"/>
      <c r="XEZ66" s="55"/>
      <c r="XFA66" s="55"/>
      <c r="XFB66" s="55"/>
    </row>
    <row r="67" spans="1:26 16380:16382" ht="14.4">
      <c r="A67" s="71"/>
      <c r="B67" s="71"/>
      <c r="C67" s="71"/>
      <c r="D67" s="71"/>
      <c r="E67" s="71"/>
      <c r="F67" s="71"/>
      <c r="G67" s="71"/>
      <c r="H67" s="71"/>
      <c r="I67" s="71"/>
      <c r="J67" s="71"/>
      <c r="K67" s="71"/>
      <c r="P67" s="71"/>
      <c r="Q67" s="71"/>
      <c r="R67" s="71"/>
      <c r="S67" s="71"/>
      <c r="T67" s="71"/>
      <c r="U67" s="71"/>
      <c r="V67" s="71"/>
      <c r="W67" s="71"/>
      <c r="X67" s="71"/>
      <c r="Y67" s="71"/>
      <c r="Z67" s="71"/>
      <c r="XEZ67" s="55"/>
      <c r="XFA67" s="55"/>
      <c r="XFB67" s="55"/>
    </row>
    <row r="68" spans="1:26 16380:16382" ht="14.4">
      <c r="A68" s="71"/>
      <c r="B68" s="71"/>
      <c r="C68" s="71"/>
      <c r="D68" s="71"/>
      <c r="E68" s="71"/>
      <c r="F68" s="71"/>
      <c r="G68" s="71"/>
      <c r="H68" s="71"/>
      <c r="I68" s="71"/>
      <c r="J68" s="71"/>
      <c r="K68" s="71"/>
      <c r="P68" s="71"/>
      <c r="Q68" s="71"/>
      <c r="R68" s="71"/>
      <c r="S68" s="71"/>
      <c r="T68" s="71"/>
      <c r="U68" s="71"/>
      <c r="V68" s="71"/>
      <c r="W68" s="71"/>
      <c r="X68" s="71"/>
      <c r="Y68" s="71"/>
      <c r="Z68" s="71"/>
      <c r="XEZ68" s="55"/>
      <c r="XFA68" s="55"/>
      <c r="XFB68" s="55"/>
    </row>
    <row r="69" spans="1:26 16380:16382" ht="14.4">
      <c r="A69" s="71"/>
      <c r="B69" s="71"/>
      <c r="C69" s="71"/>
      <c r="D69" s="71"/>
      <c r="E69" s="71"/>
      <c r="F69" s="71"/>
      <c r="G69" s="71"/>
      <c r="H69" s="71"/>
      <c r="I69" s="71"/>
      <c r="J69" s="71"/>
      <c r="K69" s="71"/>
      <c r="P69" s="71"/>
      <c r="Q69" s="71"/>
      <c r="R69" s="71"/>
      <c r="S69" s="71"/>
      <c r="T69" s="71"/>
      <c r="U69" s="71"/>
      <c r="V69" s="71"/>
      <c r="W69" s="71"/>
      <c r="X69" s="71"/>
      <c r="Y69" s="71"/>
      <c r="Z69" s="71"/>
      <c r="XEZ69" s="55"/>
      <c r="XFA69" s="55"/>
      <c r="XFB69" s="55"/>
    </row>
    <row r="70" spans="1:26 16380:16382" ht="14.4">
      <c r="A70" s="71"/>
      <c r="B70" s="71"/>
      <c r="C70" s="71"/>
      <c r="D70" s="71"/>
      <c r="E70" s="71"/>
      <c r="F70" s="71"/>
      <c r="G70" s="71"/>
      <c r="H70" s="71"/>
      <c r="I70" s="71"/>
      <c r="J70" s="71"/>
      <c r="K70" s="71"/>
      <c r="P70" s="71"/>
      <c r="Q70" s="71"/>
      <c r="R70" s="71"/>
      <c r="S70" s="71"/>
      <c r="T70" s="71"/>
      <c r="U70" s="71"/>
      <c r="V70" s="71"/>
      <c r="W70" s="71"/>
      <c r="X70" s="71"/>
      <c r="Y70" s="71"/>
      <c r="Z70" s="71"/>
      <c r="XEZ70" s="55"/>
      <c r="XFA70" s="55"/>
      <c r="XFB70" s="55"/>
    </row>
    <row r="71" spans="1:26 16380:16382" ht="14.4">
      <c r="A71" s="71"/>
      <c r="B71" s="71"/>
      <c r="C71" s="71"/>
      <c r="D71" s="71"/>
      <c r="E71" s="71"/>
      <c r="F71" s="71"/>
      <c r="G71" s="71"/>
      <c r="H71" s="71"/>
      <c r="I71" s="71"/>
      <c r="J71" s="71"/>
      <c r="K71" s="71"/>
      <c r="P71" s="71"/>
      <c r="Q71" s="71"/>
      <c r="R71" s="71"/>
      <c r="S71" s="71"/>
      <c r="T71" s="71"/>
      <c r="U71" s="71"/>
      <c r="V71" s="71"/>
      <c r="W71" s="71"/>
      <c r="X71" s="71"/>
      <c r="Y71" s="71"/>
      <c r="Z71" s="71"/>
      <c r="XEZ71" s="55"/>
      <c r="XFA71" s="55"/>
      <c r="XFB71" s="55"/>
    </row>
    <row r="72" spans="1:26 16380:16382" ht="14.4">
      <c r="A72" s="71"/>
      <c r="B72" s="71"/>
      <c r="C72" s="71"/>
      <c r="D72" s="71"/>
      <c r="E72" s="71"/>
      <c r="F72" s="71"/>
      <c r="G72" s="71"/>
      <c r="H72" s="71"/>
      <c r="I72" s="71"/>
      <c r="J72" s="71"/>
      <c r="K72" s="71"/>
      <c r="P72" s="71"/>
      <c r="Q72" s="71"/>
      <c r="R72" s="71"/>
      <c r="S72" s="71"/>
      <c r="T72" s="71"/>
      <c r="U72" s="71"/>
      <c r="V72" s="71"/>
      <c r="W72" s="71"/>
      <c r="X72" s="71"/>
      <c r="Y72" s="71"/>
      <c r="Z72" s="71"/>
      <c r="XEZ72" s="55"/>
      <c r="XFA72" s="55"/>
      <c r="XFB72" s="55"/>
    </row>
    <row r="73" spans="1:26 16380:16382" ht="14.4">
      <c r="A73" s="71"/>
      <c r="B73" s="71"/>
      <c r="C73" s="71"/>
      <c r="D73" s="71"/>
      <c r="E73" s="71"/>
      <c r="F73" s="71"/>
      <c r="G73" s="71"/>
      <c r="H73" s="71"/>
      <c r="I73" s="71"/>
      <c r="J73" s="71"/>
      <c r="K73" s="71"/>
      <c r="P73" s="71"/>
      <c r="Q73" s="71"/>
      <c r="R73" s="71"/>
      <c r="S73" s="71"/>
      <c r="T73" s="71"/>
      <c r="U73" s="71"/>
      <c r="V73" s="71"/>
      <c r="W73" s="71"/>
      <c r="X73" s="71"/>
      <c r="Y73" s="71"/>
      <c r="Z73" s="71"/>
      <c r="XEZ73" s="55"/>
      <c r="XFA73" s="55"/>
      <c r="XFB73" s="55"/>
    </row>
    <row r="74" spans="1:26 16380:16382" ht="14.4">
      <c r="A74" s="71"/>
      <c r="B74" s="71"/>
      <c r="C74" s="71"/>
      <c r="D74" s="71"/>
      <c r="E74" s="71"/>
      <c r="F74" s="71"/>
      <c r="G74" s="71"/>
      <c r="H74" s="71"/>
      <c r="I74" s="71"/>
      <c r="J74" s="71"/>
      <c r="K74" s="71"/>
      <c r="P74" s="71"/>
      <c r="Q74" s="71"/>
      <c r="R74" s="71"/>
      <c r="S74" s="71"/>
      <c r="T74" s="71"/>
      <c r="U74" s="71"/>
      <c r="V74" s="71"/>
      <c r="W74" s="71"/>
      <c r="X74" s="71"/>
      <c r="Y74" s="71"/>
      <c r="Z74" s="71"/>
      <c r="XEZ74" s="55"/>
      <c r="XFA74" s="55"/>
      <c r="XFB74" s="55"/>
    </row>
    <row r="75" spans="1:26 16380:16382" ht="14.4">
      <c r="A75" s="71"/>
      <c r="B75" s="71"/>
      <c r="C75" s="71"/>
      <c r="D75" s="71"/>
      <c r="E75" s="71"/>
      <c r="F75" s="71"/>
      <c r="G75" s="71"/>
      <c r="H75" s="71"/>
      <c r="I75" s="71"/>
      <c r="J75" s="71"/>
      <c r="K75" s="71"/>
      <c r="P75" s="71"/>
      <c r="Q75" s="71"/>
      <c r="R75" s="71"/>
      <c r="S75" s="71"/>
      <c r="T75" s="71"/>
      <c r="U75" s="71"/>
      <c r="V75" s="71"/>
      <c r="W75" s="71"/>
      <c r="X75" s="71"/>
      <c r="Y75" s="71"/>
      <c r="Z75" s="71"/>
      <c r="XEZ75" s="55"/>
      <c r="XFA75" s="55"/>
      <c r="XFB75" s="55"/>
    </row>
    <row r="76" spans="1:26 16380:16382">
      <c r="A76" s="71"/>
      <c r="B76" s="71"/>
      <c r="C76" s="71"/>
      <c r="D76" s="71"/>
      <c r="E76" s="71"/>
      <c r="F76" s="71"/>
      <c r="G76" s="71"/>
      <c r="H76" s="71"/>
      <c r="XEZ76" s="55"/>
      <c r="XFA76" s="55"/>
      <c r="XFB76" s="55"/>
    </row>
    <row r="77" spans="1:26 16380:16382">
      <c r="A77" s="71"/>
      <c r="B77" s="71"/>
      <c r="C77" s="71"/>
      <c r="D77" s="71"/>
      <c r="E77" s="71"/>
      <c r="F77" s="71"/>
      <c r="G77" s="71"/>
      <c r="H77" s="71"/>
      <c r="XEZ77" s="55"/>
      <c r="XFA77" s="55"/>
      <c r="XFB77" s="55"/>
    </row>
    <row r="78" spans="1:26 16380:16382">
      <c r="A78" s="71"/>
      <c r="B78" s="71"/>
      <c r="C78" s="71"/>
      <c r="D78" s="71"/>
      <c r="E78" s="71"/>
      <c r="F78" s="71"/>
      <c r="G78" s="71"/>
      <c r="H78" s="71"/>
      <c r="XEZ78" s="55"/>
      <c r="XFA78" s="55"/>
      <c r="XFB78" s="55"/>
    </row>
    <row r="79" spans="1:26 16380:16382">
      <c r="A79" s="71"/>
      <c r="B79" s="71"/>
      <c r="C79" s="71"/>
      <c r="D79" s="71"/>
      <c r="E79" s="71"/>
      <c r="F79" s="71"/>
      <c r="G79" s="71"/>
      <c r="H79" s="71"/>
      <c r="XEZ79" s="55"/>
      <c r="XFA79" s="55"/>
      <c r="XFB79" s="55"/>
    </row>
    <row r="80" spans="1:26 16380:16382">
      <c r="A80" s="71"/>
      <c r="B80" s="71"/>
      <c r="C80" s="71"/>
      <c r="D80" s="71"/>
      <c r="E80" s="71"/>
      <c r="F80" s="71"/>
      <c r="G80" s="71"/>
      <c r="H80" s="71"/>
      <c r="XEZ80" s="55"/>
      <c r="XFA80" s="55"/>
      <c r="XFB80" s="55"/>
    </row>
    <row r="81" spans="1:8 16380:16382">
      <c r="A81" s="71"/>
      <c r="B81" s="71"/>
      <c r="C81" s="71"/>
      <c r="D81" s="71"/>
      <c r="E81" s="71"/>
      <c r="F81" s="71"/>
      <c r="G81" s="71"/>
      <c r="H81" s="71"/>
      <c r="XEZ81" s="55"/>
      <c r="XFA81" s="55"/>
      <c r="XFB81" s="55"/>
    </row>
  </sheetData>
  <mergeCells count="21">
    <mergeCell ref="B1:B3"/>
    <mergeCell ref="C1:C3"/>
    <mergeCell ref="D1:D3"/>
    <mergeCell ref="E1:E3"/>
    <mergeCell ref="F1:F3"/>
    <mergeCell ref="A16:C16"/>
    <mergeCell ref="A17:C17"/>
    <mergeCell ref="A19:F19"/>
    <mergeCell ref="R1:R3"/>
    <mergeCell ref="S1:S3"/>
    <mergeCell ref="A4:A10"/>
    <mergeCell ref="B6:B8"/>
    <mergeCell ref="A12:G12"/>
    <mergeCell ref="A15:C15"/>
    <mergeCell ref="G1:G3"/>
    <mergeCell ref="H1:H3"/>
    <mergeCell ref="I1:I3"/>
    <mergeCell ref="J1:O1"/>
    <mergeCell ref="P1:P3"/>
    <mergeCell ref="Q1:Q3"/>
    <mergeCell ref="A1:A3"/>
  </mergeCells>
  <dataValidations count="1">
    <dataValidation type="list" allowBlank="1" showInputMessage="1" showErrorMessage="1" sqref="L11:O11 J16:J17 J4:O10" xr:uid="{8C8F3375-2CEE-4865-AB36-475EEBB26C65}">
      <formula1>"A,B,C,D"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61BE-C3AE-4C5E-AF47-99468C9EBE6D}">
  <dimension ref="A1:AH40"/>
  <sheetViews>
    <sheetView topLeftCell="A4" zoomScale="60" zoomScaleNormal="60" workbookViewId="0">
      <selection activeCell="J16" sqref="J16"/>
    </sheetView>
  </sheetViews>
  <sheetFormatPr defaultColWidth="7.36328125" defaultRowHeight="15"/>
  <cols>
    <col min="1" max="3" width="20.54296875" style="83" customWidth="1"/>
    <col min="4" max="4" width="9.7265625" style="83" customWidth="1"/>
    <col min="5" max="5" width="37.54296875" style="83" customWidth="1"/>
    <col min="6" max="11" width="7.08984375" style="38" customWidth="1"/>
    <col min="12" max="12" width="7.36328125" style="103"/>
    <col min="13" max="13" width="9.7265625" style="103" customWidth="1"/>
    <col min="14" max="30" width="7.36328125" style="103"/>
    <col min="31" max="33" width="10.81640625" style="103" customWidth="1"/>
    <col min="34" max="34" width="22.7265625" style="103" customWidth="1"/>
    <col min="35" max="16384" width="7.36328125" style="38"/>
  </cols>
  <sheetData>
    <row r="1" spans="1:34" ht="41.4" customHeight="1">
      <c r="A1" s="218" t="s">
        <v>160</v>
      </c>
      <c r="B1" s="218" t="s">
        <v>161</v>
      </c>
      <c r="C1" s="219" t="s">
        <v>162</v>
      </c>
      <c r="D1" s="220" t="s">
        <v>163</v>
      </c>
      <c r="E1" s="220" t="s">
        <v>59</v>
      </c>
      <c r="F1" s="221" t="s">
        <v>164</v>
      </c>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3"/>
    </row>
    <row r="2" spans="1:34" ht="56.4" customHeight="1">
      <c r="A2" s="218"/>
      <c r="B2" s="218"/>
      <c r="C2" s="219"/>
      <c r="D2" s="220"/>
      <c r="E2" s="220"/>
      <c r="F2" s="216" t="s">
        <v>165</v>
      </c>
      <c r="G2" s="216"/>
      <c r="H2" s="216"/>
      <c r="I2" s="216"/>
      <c r="J2" s="224" t="s">
        <v>148</v>
      </c>
      <c r="K2" s="225"/>
      <c r="L2" s="225"/>
      <c r="M2" s="225"/>
      <c r="N2" s="225"/>
      <c r="O2" s="226"/>
      <c r="P2" s="227" t="str">
        <f>'[1]RAN Network Optimization'!J2</f>
        <v>Capacity</v>
      </c>
      <c r="Q2" s="227"/>
      <c r="R2" s="228"/>
      <c r="S2" s="229" t="str">
        <f>'[1]RAN Network Optimization'!K2</f>
        <v>Interference</v>
      </c>
      <c r="T2" s="230"/>
      <c r="U2" s="231"/>
      <c r="V2" s="209" t="str">
        <f>'[1]RAN Network Optimization'!L2</f>
        <v>Coverage Structure</v>
      </c>
      <c r="W2" s="193"/>
      <c r="X2" s="193"/>
      <c r="Y2" s="210" t="str">
        <f>'[1]RAN Network Optimization'!M2</f>
        <v>RAN Voice KPIs (including but not limited to KPIs related to EPS fallback handover.)</v>
      </c>
      <c r="Z2" s="195"/>
      <c r="AA2" s="195"/>
      <c r="AB2" s="211" t="str">
        <f>'[1]RAN Network Optimization'!N2</f>
        <v>RAN Awareness-related KPIs (including but not limited to KPIs related to delay and throughput, which aligned with the Integrity KPIs defined in 3GPP specifications )</v>
      </c>
      <c r="AC2" s="212"/>
      <c r="AD2" s="212"/>
      <c r="AE2" s="213" t="str">
        <f>'[1]RAN Network Optimization'!O2</f>
        <v xml:space="preserve">Basic RAN KPIs (including but not limited to KPIs related to Accessibility , Mobility and Retainability) </v>
      </c>
      <c r="AF2" s="214"/>
      <c r="AG2" s="215"/>
      <c r="AH2" s="216" t="s">
        <v>166</v>
      </c>
    </row>
    <row r="3" spans="1:34" ht="33.6" customHeight="1">
      <c r="A3" s="218"/>
      <c r="B3" s="218"/>
      <c r="C3" s="219"/>
      <c r="D3" s="220"/>
      <c r="E3" s="220"/>
      <c r="F3" s="217" t="s">
        <v>167</v>
      </c>
      <c r="G3" s="217" t="s">
        <v>168</v>
      </c>
      <c r="H3" s="217" t="s">
        <v>169</v>
      </c>
      <c r="I3" s="217" t="s">
        <v>170</v>
      </c>
      <c r="J3" s="205" t="s">
        <v>84</v>
      </c>
      <c r="K3" s="205" t="s">
        <v>85</v>
      </c>
      <c r="L3" s="205" t="s">
        <v>86</v>
      </c>
      <c r="M3" s="205" t="s">
        <v>171</v>
      </c>
      <c r="N3" s="205" t="s">
        <v>172</v>
      </c>
      <c r="O3" s="205" t="s">
        <v>173</v>
      </c>
      <c r="P3" s="206">
        <f>'[1]RAN Network Optimization'!J3</f>
        <v>0.15</v>
      </c>
      <c r="Q3" s="207"/>
      <c r="R3" s="208"/>
      <c r="S3" s="190">
        <f>'[1]RAN Network Optimization'!K3</f>
        <v>0.15</v>
      </c>
      <c r="T3" s="191"/>
      <c r="U3" s="191"/>
      <c r="V3" s="192">
        <f>'[1]RAN Network Optimization'!L3</f>
        <v>0.15</v>
      </c>
      <c r="W3" s="193"/>
      <c r="X3" s="193"/>
      <c r="Y3" s="194">
        <f>'[1]RAN Network Optimization'!M3</f>
        <v>0.15</v>
      </c>
      <c r="Z3" s="195"/>
      <c r="AA3" s="195"/>
      <c r="AB3" s="196">
        <f>'[1]RAN Network Optimization'!N3</f>
        <v>0.15</v>
      </c>
      <c r="AC3" s="197"/>
      <c r="AD3" s="197"/>
      <c r="AE3" s="198">
        <f>'[1]RAN Network Optimization'!O3</f>
        <v>0.25</v>
      </c>
      <c r="AF3" s="199"/>
      <c r="AG3" s="200"/>
      <c r="AH3" s="216"/>
    </row>
    <row r="4" spans="1:34" ht="79.5" customHeight="1">
      <c r="A4" s="218"/>
      <c r="B4" s="218"/>
      <c r="C4" s="219"/>
      <c r="D4" s="220"/>
      <c r="E4" s="220"/>
      <c r="F4" s="217"/>
      <c r="G4" s="217"/>
      <c r="H4" s="217"/>
      <c r="I4" s="217"/>
      <c r="J4" s="205"/>
      <c r="K4" s="205"/>
      <c r="L4" s="205"/>
      <c r="M4" s="205"/>
      <c r="N4" s="205"/>
      <c r="O4" s="205"/>
      <c r="P4" s="87" t="s">
        <v>174</v>
      </c>
      <c r="Q4" s="87" t="s">
        <v>175</v>
      </c>
      <c r="R4" s="87" t="s">
        <v>176</v>
      </c>
      <c r="S4" s="88" t="s">
        <v>174</v>
      </c>
      <c r="T4" s="88" t="s">
        <v>175</v>
      </c>
      <c r="U4" s="88" t="s">
        <v>176</v>
      </c>
      <c r="V4" s="89" t="s">
        <v>174</v>
      </c>
      <c r="W4" s="89" t="s">
        <v>175</v>
      </c>
      <c r="X4" s="89" t="s">
        <v>176</v>
      </c>
      <c r="Y4" s="90" t="s">
        <v>174</v>
      </c>
      <c r="Z4" s="90" t="s">
        <v>175</v>
      </c>
      <c r="AA4" s="90" t="s">
        <v>176</v>
      </c>
      <c r="AB4" s="91" t="s">
        <v>174</v>
      </c>
      <c r="AC4" s="91" t="s">
        <v>175</v>
      </c>
      <c r="AD4" s="91" t="s">
        <v>176</v>
      </c>
      <c r="AE4" s="92" t="s">
        <v>174</v>
      </c>
      <c r="AF4" s="92" t="s">
        <v>175</v>
      </c>
      <c r="AG4" s="92" t="s">
        <v>176</v>
      </c>
      <c r="AH4" s="216"/>
    </row>
    <row r="5" spans="1:34" ht="79.5" customHeight="1">
      <c r="A5" s="184" t="s">
        <v>90</v>
      </c>
      <c r="B5" s="93" t="s">
        <v>61</v>
      </c>
      <c r="C5" s="93" t="str">
        <f>'[1]RAN Network Optimization'!C4</f>
        <v>Intent Translation &amp; Fulfilment evaluation</v>
      </c>
      <c r="D5" s="94">
        <f>'[1]RAN Network Optimization'!D4</f>
        <v>0.1</v>
      </c>
      <c r="E5" s="95" t="str">
        <f>'[1]RAN Network Optimization'!E4</f>
        <v>How does the system translate the RAN network optimization intent into the RAN network optimization related control information and evaluate the RAN  network optimization intent fulfilment？ 
Note: RAN network optimization intent includes multiple targets for specified areas.
RAN network optimization control information includes RAN network optimization policies (e.g.  adjusting base station parameters,  load balancing)</v>
      </c>
      <c r="F5" s="96">
        <v>4</v>
      </c>
      <c r="G5" s="96">
        <v>3</v>
      </c>
      <c r="H5" s="96">
        <v>2</v>
      </c>
      <c r="I5" s="96">
        <v>1</v>
      </c>
      <c r="J5" s="96" t="str">
        <f>'[1]RAN Network Optimization'!J4</f>
        <v>A</v>
      </c>
      <c r="K5" s="96" t="str">
        <f>'[1]RAN Network Optimization'!K4</f>
        <v>A</v>
      </c>
      <c r="L5" s="96" t="str">
        <f>'[1]RAN Network Optimization'!L4</f>
        <v>A</v>
      </c>
      <c r="M5" s="96" t="str">
        <f>'[1]RAN Network Optimization'!M4</f>
        <v>A</v>
      </c>
      <c r="N5" s="96" t="str">
        <f>'[1]RAN Network Optimization'!N4</f>
        <v>A</v>
      </c>
      <c r="O5" s="96" t="str">
        <f>'[1]RAN Network Optimization'!O4</f>
        <v>A</v>
      </c>
      <c r="P5" s="97">
        <f t="shared" ref="P5:P11" si="0">IF(J5="A",F5,IF(J5="B",G5,IF(J5="C",H5,IF(J5="D",I5))))</f>
        <v>4</v>
      </c>
      <c r="Q5" s="97">
        <f t="shared" ref="Q5:Q10" si="1">P5</f>
        <v>4</v>
      </c>
      <c r="R5" s="201">
        <f>AVERAGE(Q5:Q11)</f>
        <v>4</v>
      </c>
      <c r="S5" s="97">
        <f t="shared" ref="S5:S11" si="2">IF(K5="A",F5,IF(K5="B",G5,IF(K5="C",H5,IF(K5="D",I5))))</f>
        <v>4</v>
      </c>
      <c r="T5" s="97">
        <f>S5</f>
        <v>4</v>
      </c>
      <c r="U5" s="202">
        <f>AVERAGE(T5:T11)</f>
        <v>4</v>
      </c>
      <c r="V5" s="97">
        <f t="shared" ref="V5:V11" si="3">IF(L5="A",F5,IF(L5="B",G5,IF(L5="C",H5,IF(L5="D",I5))))</f>
        <v>4</v>
      </c>
      <c r="W5" s="97">
        <f>V5</f>
        <v>4</v>
      </c>
      <c r="X5" s="203">
        <f>AVERAGE(W5:W11)</f>
        <v>4</v>
      </c>
      <c r="Y5" s="97">
        <f t="shared" ref="Y5:Y11" si="4">IF(M5="A",F5,IF(M5="B",G5,IF(M5="C",H5,IF(M5="D",I5))))</f>
        <v>4</v>
      </c>
      <c r="Z5" s="97">
        <f>Y5</f>
        <v>4</v>
      </c>
      <c r="AA5" s="204">
        <f>AVERAGE(Z5:Z11)</f>
        <v>4</v>
      </c>
      <c r="AB5" s="97">
        <f t="shared" ref="AB5:AB11" si="5">IF(N5="A",F5,IF(N5="B",G5,IF(N5="C",H5,IF(N5="D",I5))))</f>
        <v>4</v>
      </c>
      <c r="AC5" s="97">
        <f t="shared" ref="AC5:AC10" si="6">AB5</f>
        <v>4</v>
      </c>
      <c r="AD5" s="179">
        <f>AVERAGE(AC5:AC11)</f>
        <v>4</v>
      </c>
      <c r="AE5" s="98">
        <f t="shared" ref="AE5:AE11" si="7">IF(O5="A",F5,IF(O5="B",G5,IF(O5="C",H5,IF(O5="D",I5))))</f>
        <v>4</v>
      </c>
      <c r="AF5" s="98">
        <f>AE5</f>
        <v>4</v>
      </c>
      <c r="AG5" s="180">
        <f>AVERAGE(AF5:AF11)</f>
        <v>4</v>
      </c>
      <c r="AH5" s="183">
        <f>(R5*P3+U5*S3+X5*V3+AA5*Y3+AD5*AB3+AG5*AE3)</f>
        <v>4</v>
      </c>
    </row>
    <row r="6" spans="1:34" ht="79.5" customHeight="1">
      <c r="A6" s="184"/>
      <c r="B6" s="99" t="s">
        <v>63</v>
      </c>
      <c r="C6" s="93" t="str">
        <f>'[1]RAN Network Optimization'!C5</f>
        <v>RAN Network Information Collection</v>
      </c>
      <c r="D6" s="94">
        <f>'[1]RAN Network Optimization'!D5</f>
        <v>0.1</v>
      </c>
      <c r="E6" s="95" t="str">
        <f>'[1]RAN Network Optimization'!E5</f>
        <v xml:space="preserve">How does the system collects data?
Note:
Data includes network performance data (e.g., performance measurement, MR data, MDT data), service experience data if needed, network configuration data, alarm data and environment data (e.g., electronic map, site location).
</v>
      </c>
      <c r="F6" s="96">
        <v>3</v>
      </c>
      <c r="G6" s="96">
        <v>2</v>
      </c>
      <c r="H6" s="96">
        <v>1</v>
      </c>
      <c r="I6" s="100"/>
      <c r="J6" s="96" t="str">
        <f>'[1]RAN Network Optimization'!J5</f>
        <v>A</v>
      </c>
      <c r="K6" s="96" t="str">
        <f>'[1]RAN Network Optimization'!K5</f>
        <v>A</v>
      </c>
      <c r="L6" s="96" t="str">
        <f>'[1]RAN Network Optimization'!L5</f>
        <v>A</v>
      </c>
      <c r="M6" s="96" t="str">
        <f>'[1]RAN Network Optimization'!M5</f>
        <v>A</v>
      </c>
      <c r="N6" s="96" t="str">
        <f>'[1]RAN Network Optimization'!N5</f>
        <v>A</v>
      </c>
      <c r="O6" s="96" t="str">
        <f>'[1]RAN Network Optimization'!O5</f>
        <v>A</v>
      </c>
      <c r="P6" s="97">
        <f t="shared" si="0"/>
        <v>3</v>
      </c>
      <c r="Q6" s="97">
        <f>IF(AND(P6=3,AVERAGE(,P5,P7,P8,P9,P10)&gt;2),AVERAGE(P5,P7,P8,P9,P10),P6)</f>
        <v>4</v>
      </c>
      <c r="R6" s="201"/>
      <c r="S6" s="97">
        <f t="shared" si="2"/>
        <v>3</v>
      </c>
      <c r="T6" s="97">
        <f>IF(AND(S6=3,AVERAGE(,S5,S7,S8,S9,S10)&gt;2),AVERAGE(S5,S7,S8,S9,S10),S6)</f>
        <v>4</v>
      </c>
      <c r="U6" s="202"/>
      <c r="V6" s="97">
        <f t="shared" si="3"/>
        <v>3</v>
      </c>
      <c r="W6" s="97">
        <f>IF(AND(V6=3,AVERAGE(,V5,V7,V8,V9,V10)&gt;2),AVERAGE(V5,V7,V8,V9,V10),V6)</f>
        <v>4</v>
      </c>
      <c r="X6" s="203"/>
      <c r="Y6" s="97">
        <f t="shared" si="4"/>
        <v>3</v>
      </c>
      <c r="Z6" s="97">
        <f>IF(AND(Y6=3,AVERAGE(Y5,Y7,Y8,Y9,Y10)&gt;2),AVERAGE(Y5,Y7,Y8,Y9,Y10),Y6)</f>
        <v>4</v>
      </c>
      <c r="AA6" s="204"/>
      <c r="AB6" s="97">
        <f t="shared" si="5"/>
        <v>3</v>
      </c>
      <c r="AC6" s="97">
        <f>IF(AND(AB6=3,AVERAGE(,AB5,AB7,AB8,AB9,AB10)&gt;2),AVERAGE(AB5,AB7,AB8,AB9,AB10),AB6)</f>
        <v>4</v>
      </c>
      <c r="AD6" s="179"/>
      <c r="AE6" s="98">
        <f t="shared" si="7"/>
        <v>3</v>
      </c>
      <c r="AF6" s="98">
        <f>IF(AND(AE6=3,AVERAGE(AE5,AE7,AE8,AE9,AE10)&gt;2),AVERAGE(AE5,AE7,AE8,AE9,AE10),AE6)</f>
        <v>4</v>
      </c>
      <c r="AG6" s="181"/>
      <c r="AH6" s="183"/>
    </row>
    <row r="7" spans="1:34" ht="79.5" customHeight="1">
      <c r="A7" s="184"/>
      <c r="B7" s="184" t="s">
        <v>65</v>
      </c>
      <c r="C7" s="93" t="str">
        <f>'[1]RAN Network Optimization'!C6</f>
        <v xml:space="preserve">RAN Network Issue Identification &amp; Performance Deterioration Prediction
</v>
      </c>
      <c r="D7" s="94">
        <f>'[1]RAN Network Optimization'!D6</f>
        <v>0.15</v>
      </c>
      <c r="E7" s="95" t="str">
        <f>'[1]RAN Network Optimization'!E6</f>
        <v xml:space="preserve">How does the system identifies RAN network performance / and service experience  issues (e.g., coverage-related issues, RAN UE throughput-related issues) or predict network performance /service experience deterioration?
</v>
      </c>
      <c r="F7" s="96">
        <v>4</v>
      </c>
      <c r="G7" s="96">
        <v>3</v>
      </c>
      <c r="H7" s="96">
        <v>2</v>
      </c>
      <c r="I7" s="96">
        <v>1</v>
      </c>
      <c r="J7" s="96" t="str">
        <f>'[1]RAN Network Optimization'!J6</f>
        <v>A</v>
      </c>
      <c r="K7" s="96" t="str">
        <f>'[1]RAN Network Optimization'!K6</f>
        <v>A</v>
      </c>
      <c r="L7" s="96" t="str">
        <f>'[1]RAN Network Optimization'!L6</f>
        <v>A</v>
      </c>
      <c r="M7" s="96" t="str">
        <f>'[1]RAN Network Optimization'!M6</f>
        <v>A</v>
      </c>
      <c r="N7" s="96" t="str">
        <f>'[1]RAN Network Optimization'!N6</f>
        <v>A</v>
      </c>
      <c r="O7" s="96" t="str">
        <f>'[1]RAN Network Optimization'!O6</f>
        <v>A</v>
      </c>
      <c r="P7" s="97">
        <f t="shared" si="0"/>
        <v>4</v>
      </c>
      <c r="Q7" s="97">
        <f t="shared" si="1"/>
        <v>4</v>
      </c>
      <c r="R7" s="201"/>
      <c r="S7" s="97">
        <f t="shared" si="2"/>
        <v>4</v>
      </c>
      <c r="T7" s="97">
        <f t="shared" ref="T7:T10" si="8">S7</f>
        <v>4</v>
      </c>
      <c r="U7" s="202"/>
      <c r="V7" s="97">
        <f t="shared" si="3"/>
        <v>4</v>
      </c>
      <c r="W7" s="97">
        <f>V7</f>
        <v>4</v>
      </c>
      <c r="X7" s="203"/>
      <c r="Y7" s="97">
        <f t="shared" si="4"/>
        <v>4</v>
      </c>
      <c r="Z7" s="97">
        <f t="shared" ref="Z7:Z10" si="9">Y7</f>
        <v>4</v>
      </c>
      <c r="AA7" s="204"/>
      <c r="AB7" s="97">
        <f t="shared" si="5"/>
        <v>4</v>
      </c>
      <c r="AC7" s="97">
        <f t="shared" si="6"/>
        <v>4</v>
      </c>
      <c r="AD7" s="179"/>
      <c r="AE7" s="98">
        <f t="shared" si="7"/>
        <v>4</v>
      </c>
      <c r="AF7" s="98">
        <f>AE7</f>
        <v>4</v>
      </c>
      <c r="AG7" s="181"/>
      <c r="AH7" s="183"/>
    </row>
    <row r="8" spans="1:34" ht="79.5" customHeight="1">
      <c r="A8" s="184"/>
      <c r="B8" s="184"/>
      <c r="C8" s="93" t="str">
        <f>'[1]RAN Network Optimization'!C7</f>
        <v xml:space="preserve">Issue Demarcation &amp; Root Cause Analysis
</v>
      </c>
      <c r="D8" s="94">
        <f>'[1]RAN Network Optimization'!D7</f>
        <v>0.2</v>
      </c>
      <c r="E8" s="95" t="str">
        <f>'[1]RAN Network Optimization'!E7</f>
        <v>How does the system perform problem demarcation and root cause diagnosis?
Note: The root causes including but not limited to: Weak coverage, high load, inference and equipment fault.</v>
      </c>
      <c r="F8" s="96">
        <v>4</v>
      </c>
      <c r="G8" s="96">
        <v>3</v>
      </c>
      <c r="H8" s="96">
        <v>2</v>
      </c>
      <c r="I8" s="96">
        <v>1</v>
      </c>
      <c r="J8" s="96" t="str">
        <f>'[1]RAN Network Optimization'!J7</f>
        <v>A</v>
      </c>
      <c r="K8" s="96" t="str">
        <f>'[1]RAN Network Optimization'!K7</f>
        <v>A</v>
      </c>
      <c r="L8" s="96" t="str">
        <f>'[1]RAN Network Optimization'!L7</f>
        <v>A</v>
      </c>
      <c r="M8" s="96" t="str">
        <f>'[1]RAN Network Optimization'!M7</f>
        <v>A</v>
      </c>
      <c r="N8" s="96" t="str">
        <f>'[1]RAN Network Optimization'!N7</f>
        <v>A</v>
      </c>
      <c r="O8" s="96" t="str">
        <f>'[1]RAN Network Optimization'!O7</f>
        <v>A</v>
      </c>
      <c r="P8" s="97">
        <f t="shared" si="0"/>
        <v>4</v>
      </c>
      <c r="Q8" s="97">
        <f t="shared" si="1"/>
        <v>4</v>
      </c>
      <c r="R8" s="201"/>
      <c r="S8" s="97">
        <f t="shared" si="2"/>
        <v>4</v>
      </c>
      <c r="T8" s="97">
        <f t="shared" si="8"/>
        <v>4</v>
      </c>
      <c r="U8" s="202"/>
      <c r="V8" s="97">
        <f t="shared" si="3"/>
        <v>4</v>
      </c>
      <c r="W8" s="97">
        <f>V8</f>
        <v>4</v>
      </c>
      <c r="X8" s="203"/>
      <c r="Y8" s="97">
        <f t="shared" si="4"/>
        <v>4</v>
      </c>
      <c r="Z8" s="97">
        <f t="shared" si="9"/>
        <v>4</v>
      </c>
      <c r="AA8" s="204"/>
      <c r="AB8" s="97">
        <f t="shared" si="5"/>
        <v>4</v>
      </c>
      <c r="AC8" s="97">
        <f t="shared" si="6"/>
        <v>4</v>
      </c>
      <c r="AD8" s="179"/>
      <c r="AE8" s="98">
        <f t="shared" si="7"/>
        <v>4</v>
      </c>
      <c r="AF8" s="98">
        <f>AE8</f>
        <v>4</v>
      </c>
      <c r="AG8" s="181"/>
      <c r="AH8" s="183"/>
    </row>
    <row r="9" spans="1:34" ht="79.5" customHeight="1">
      <c r="A9" s="184"/>
      <c r="B9" s="184"/>
      <c r="C9" s="93" t="str">
        <f>'[1]RAN Network Optimization'!C8</f>
        <v xml:space="preserve">Adjustment Solutions Generating 
</v>
      </c>
      <c r="D9" s="94">
        <f>'[1]RAN Network Optimization'!D8</f>
        <v>0.2</v>
      </c>
      <c r="E9" s="95" t="str">
        <f>'[1]RAN Network Optimization'!E8</f>
        <v>How does the system generate the recommended network adjustment solutions (including a set of network adjusting actions) to solve the identified or and predicted network performance or service experience issues?
Note: network adjustment solutions including but not limited to L2/L3 configuration parameters, RF parameters, 5QI related service configuration parameters.</v>
      </c>
      <c r="F9" s="96">
        <v>4</v>
      </c>
      <c r="G9" s="96">
        <v>3</v>
      </c>
      <c r="H9" s="96">
        <v>2</v>
      </c>
      <c r="I9" s="96">
        <v>1</v>
      </c>
      <c r="J9" s="96" t="str">
        <f>'[1]RAN Network Optimization'!J8</f>
        <v>A</v>
      </c>
      <c r="K9" s="96" t="str">
        <f>'[1]RAN Network Optimization'!K8</f>
        <v>A</v>
      </c>
      <c r="L9" s="96" t="str">
        <f>'[1]RAN Network Optimization'!L8</f>
        <v>A</v>
      </c>
      <c r="M9" s="96" t="str">
        <f>'[1]RAN Network Optimization'!M8</f>
        <v>A</v>
      </c>
      <c r="N9" s="96" t="str">
        <f>'[1]RAN Network Optimization'!N8</f>
        <v>A</v>
      </c>
      <c r="O9" s="96" t="str">
        <f>'[1]RAN Network Optimization'!O8</f>
        <v>A</v>
      </c>
      <c r="P9" s="97">
        <f t="shared" si="0"/>
        <v>4</v>
      </c>
      <c r="Q9" s="97">
        <f t="shared" si="1"/>
        <v>4</v>
      </c>
      <c r="R9" s="201"/>
      <c r="S9" s="97">
        <f t="shared" si="2"/>
        <v>4</v>
      </c>
      <c r="T9" s="97">
        <f t="shared" si="8"/>
        <v>4</v>
      </c>
      <c r="U9" s="202"/>
      <c r="V9" s="97">
        <f t="shared" si="3"/>
        <v>4</v>
      </c>
      <c r="W9" s="97">
        <f>V9</f>
        <v>4</v>
      </c>
      <c r="X9" s="203"/>
      <c r="Y9" s="97">
        <f t="shared" si="4"/>
        <v>4</v>
      </c>
      <c r="Z9" s="97">
        <f t="shared" si="9"/>
        <v>4</v>
      </c>
      <c r="AA9" s="204"/>
      <c r="AB9" s="97">
        <f t="shared" si="5"/>
        <v>4</v>
      </c>
      <c r="AC9" s="97">
        <f t="shared" si="6"/>
        <v>4</v>
      </c>
      <c r="AD9" s="179"/>
      <c r="AE9" s="98">
        <f t="shared" si="7"/>
        <v>4</v>
      </c>
      <c r="AF9" s="98">
        <f>AE9</f>
        <v>4</v>
      </c>
      <c r="AG9" s="181"/>
      <c r="AH9" s="183"/>
    </row>
    <row r="10" spans="1:34" ht="79.5" customHeight="1">
      <c r="A10" s="184"/>
      <c r="B10" s="101" t="s">
        <v>69</v>
      </c>
      <c r="C10" s="93" t="str">
        <f>'[1]RAN Network Optimization'!C9</f>
        <v xml:space="preserve">Solution Evaluation &amp; Determination
</v>
      </c>
      <c r="D10" s="94">
        <f>'[1]RAN Network Optimization'!D9</f>
        <v>0.15</v>
      </c>
      <c r="E10" s="95" t="str">
        <f>'[1]RAN Network Optimization'!E9</f>
        <v>How does the RAN network optimization system have the capability of automatically evaluating network optimization solutions and determining the best solution to implement?</v>
      </c>
      <c r="F10" s="96">
        <v>4</v>
      </c>
      <c r="G10" s="96">
        <v>3</v>
      </c>
      <c r="H10" s="96">
        <v>2</v>
      </c>
      <c r="I10" s="96">
        <v>1</v>
      </c>
      <c r="J10" s="96" t="str">
        <f>'[1]RAN Network Optimization'!J9</f>
        <v>A</v>
      </c>
      <c r="K10" s="96" t="str">
        <f>'[1]RAN Network Optimization'!K9</f>
        <v>A</v>
      </c>
      <c r="L10" s="96" t="str">
        <f>'[1]RAN Network Optimization'!L9</f>
        <v>A</v>
      </c>
      <c r="M10" s="96" t="str">
        <f>'[1]RAN Network Optimization'!M9</f>
        <v>A</v>
      </c>
      <c r="N10" s="96" t="str">
        <f>'[1]RAN Network Optimization'!N9</f>
        <v>A</v>
      </c>
      <c r="O10" s="96" t="str">
        <f>'[1]RAN Network Optimization'!O9</f>
        <v>A</v>
      </c>
      <c r="P10" s="97">
        <f t="shared" si="0"/>
        <v>4</v>
      </c>
      <c r="Q10" s="97">
        <f t="shared" si="1"/>
        <v>4</v>
      </c>
      <c r="R10" s="201"/>
      <c r="S10" s="97">
        <f t="shared" si="2"/>
        <v>4</v>
      </c>
      <c r="T10" s="97">
        <f t="shared" si="8"/>
        <v>4</v>
      </c>
      <c r="U10" s="202"/>
      <c r="V10" s="97">
        <f t="shared" si="3"/>
        <v>4</v>
      </c>
      <c r="W10" s="97">
        <f>V10</f>
        <v>4</v>
      </c>
      <c r="X10" s="203"/>
      <c r="Y10" s="97">
        <f t="shared" si="4"/>
        <v>4</v>
      </c>
      <c r="Z10" s="97">
        <f t="shared" si="9"/>
        <v>4</v>
      </c>
      <c r="AA10" s="204"/>
      <c r="AB10" s="97">
        <f t="shared" si="5"/>
        <v>4</v>
      </c>
      <c r="AC10" s="97">
        <f t="shared" si="6"/>
        <v>4</v>
      </c>
      <c r="AD10" s="179"/>
      <c r="AE10" s="98">
        <f t="shared" si="7"/>
        <v>4</v>
      </c>
      <c r="AF10" s="98">
        <f>AE10</f>
        <v>4</v>
      </c>
      <c r="AG10" s="181"/>
      <c r="AH10" s="183"/>
    </row>
    <row r="11" spans="1:34" ht="79.5" customHeight="1">
      <c r="A11" s="184"/>
      <c r="B11" s="99" t="s">
        <v>71</v>
      </c>
      <c r="C11" s="93" t="str">
        <f>'[1]RAN Network Optimization'!C10</f>
        <v xml:space="preserve">Solution implementation
</v>
      </c>
      <c r="D11" s="94">
        <f>'[1]RAN Network Optimization'!D10</f>
        <v>0.1</v>
      </c>
      <c r="E11" s="95" t="str">
        <f>'[1]RAN Network Optimization'!E10</f>
        <v>How does the RAN network optimization system have the capability of executing the network adjustment solutions (e.g., adjusting and configuring the network parameters)? 
Note: network parameters including but not limited to L2/L3 configuration parameters, RF parameters, 5QI related service configuration parameters.</v>
      </c>
      <c r="F11" s="96">
        <v>3</v>
      </c>
      <c r="G11" s="96">
        <v>2</v>
      </c>
      <c r="H11" s="96">
        <v>1</v>
      </c>
      <c r="I11" s="100"/>
      <c r="J11" s="96" t="str">
        <f>'[1]RAN Network Optimization'!J10</f>
        <v>A</v>
      </c>
      <c r="K11" s="96" t="str">
        <f>'[1]RAN Network Optimization'!K10</f>
        <v>A</v>
      </c>
      <c r="L11" s="96" t="str">
        <f>'[1]RAN Network Optimization'!L10</f>
        <v>A</v>
      </c>
      <c r="M11" s="96" t="str">
        <f>'[1]RAN Network Optimization'!M10</f>
        <v>A</v>
      </c>
      <c r="N11" s="96" t="str">
        <f>'[1]RAN Network Optimization'!N10</f>
        <v>A</v>
      </c>
      <c r="O11" s="96" t="str">
        <f>'[1]RAN Network Optimization'!O10</f>
        <v>A</v>
      </c>
      <c r="P11" s="97">
        <f t="shared" si="0"/>
        <v>3</v>
      </c>
      <c r="Q11" s="97">
        <f>IF(AND(P11=3,AVERAGE(P5,P7,P8,P9,P10)&gt;3),AVERAGE(P5,P7,P8,P9,P10),P11)</f>
        <v>4</v>
      </c>
      <c r="R11" s="201"/>
      <c r="S11" s="97">
        <f t="shared" si="2"/>
        <v>3</v>
      </c>
      <c r="T11" s="97">
        <f>IF(AND(S11=3,AVERAGE(,S5,S7,S8,S9,S10)&gt;3),AVERAGE(S5,S7,S8,S9,S10),S11)</f>
        <v>4</v>
      </c>
      <c r="U11" s="202"/>
      <c r="V11" s="97">
        <f t="shared" si="3"/>
        <v>3</v>
      </c>
      <c r="W11" s="97">
        <f>IF(AND(V11=3,AVERAGE(V5,V7,V8,V9,V10)&gt;3),AVERAGE(V5,V7,V8,V9,V10),V11)</f>
        <v>4</v>
      </c>
      <c r="X11" s="203"/>
      <c r="Y11" s="97">
        <f t="shared" si="4"/>
        <v>3</v>
      </c>
      <c r="Z11" s="97">
        <f>IF(AND(Y11=3,AVERAGE(Y5,Y7,Y8,Y9,Y10)&gt;3),AVERAGE(AC5,Y7,Y8,Y9,Y10),Y11)</f>
        <v>4</v>
      </c>
      <c r="AA11" s="204"/>
      <c r="AB11" s="97">
        <f t="shared" si="5"/>
        <v>3</v>
      </c>
      <c r="AC11" s="97">
        <f>IF(AND(AB11=3,AVERAGE(AB5,AB7,AB8,AB9,AB10)&gt;3),AVERAGE(AB5,AB7,AB8,AB9,AB10),AB11)</f>
        <v>4</v>
      </c>
      <c r="AD11" s="179"/>
      <c r="AE11" s="98">
        <f t="shared" si="7"/>
        <v>3</v>
      </c>
      <c r="AF11" s="98">
        <f>IF(AND(AE11=3,AVERAGE(AE5,AE7,AE8,AE9,AE10)&gt;3),AVERAGE(AE5,AE7,AE8,AE9,AE10),AE11)</f>
        <v>4</v>
      </c>
      <c r="AG11" s="182"/>
      <c r="AH11" s="183"/>
    </row>
    <row r="12" spans="1:34">
      <c r="A12" s="69"/>
      <c r="B12" s="69"/>
      <c r="C12" s="69"/>
      <c r="D12" s="69">
        <f>SUM(D5:D11)</f>
        <v>1</v>
      </c>
      <c r="E12" s="69"/>
      <c r="F12" s="55"/>
      <c r="G12" s="55"/>
      <c r="H12" s="55"/>
      <c r="I12" s="55"/>
      <c r="J12" s="55"/>
      <c r="K12" s="55"/>
      <c r="L12" s="55"/>
      <c r="M12" s="55"/>
      <c r="N12" s="55"/>
      <c r="O12" s="102"/>
      <c r="P12" s="102"/>
      <c r="Q12" s="102"/>
      <c r="R12" s="102"/>
      <c r="S12" s="102"/>
      <c r="T12" s="102"/>
      <c r="U12" s="102"/>
      <c r="V12" s="102"/>
      <c r="W12" s="102"/>
      <c r="X12" s="102"/>
      <c r="Y12" s="102"/>
      <c r="Z12" s="102"/>
      <c r="AA12" s="102"/>
      <c r="AB12" s="102"/>
      <c r="AC12" s="102"/>
      <c r="AD12" s="102"/>
      <c r="AE12" s="102"/>
      <c r="AF12" s="102"/>
      <c r="AG12" s="102"/>
      <c r="AH12" s="102"/>
    </row>
    <row r="13" spans="1:34">
      <c r="L13" s="38"/>
      <c r="M13" s="38"/>
      <c r="N13" s="38"/>
    </row>
    <row r="14" spans="1:34" ht="27.6">
      <c r="A14" s="185" t="s">
        <v>145</v>
      </c>
      <c r="B14" s="186"/>
      <c r="C14" s="187"/>
      <c r="D14" s="104" t="s">
        <v>74</v>
      </c>
      <c r="E14" s="105" t="s">
        <v>146</v>
      </c>
      <c r="F14" s="86" t="s">
        <v>167</v>
      </c>
      <c r="G14" s="86" t="s">
        <v>168</v>
      </c>
      <c r="H14" s="86" t="s">
        <v>169</v>
      </c>
      <c r="I14" s="86" t="s">
        <v>170</v>
      </c>
      <c r="J14" s="106" t="s">
        <v>148</v>
      </c>
      <c r="K14" s="106" t="s">
        <v>177</v>
      </c>
      <c r="L14" s="188" t="s">
        <v>178</v>
      </c>
      <c r="M14" s="189"/>
      <c r="N14" s="189"/>
      <c r="O14" s="189"/>
      <c r="P14" s="189"/>
      <c r="Q14" s="189"/>
      <c r="R14" s="189"/>
      <c r="S14" s="189"/>
      <c r="T14" s="189"/>
      <c r="U14" s="189"/>
      <c r="V14" s="189"/>
      <c r="W14" s="189"/>
      <c r="X14" s="189"/>
      <c r="Y14" s="189"/>
      <c r="Z14" s="189"/>
      <c r="AA14" s="189"/>
      <c r="AB14" s="189"/>
      <c r="AC14" s="189"/>
      <c r="AD14" s="189"/>
      <c r="AE14" s="189"/>
      <c r="AF14" s="189"/>
      <c r="AG14" s="189"/>
      <c r="AH14" s="189"/>
    </row>
    <row r="15" spans="1:34" ht="57.6" customHeight="1">
      <c r="A15" s="165" t="str">
        <f>'[1]RAN Network Optimization'!A16</f>
        <v xml:space="preserve">Work Order Automatic Optimization Duration
</v>
      </c>
      <c r="B15" s="166"/>
      <c r="C15" s="167"/>
      <c r="D15" s="107">
        <f>'[1]RAN Network Optimization'!D16</f>
        <v>0.4</v>
      </c>
      <c r="E15" s="108" t="s">
        <v>179</v>
      </c>
      <c r="F15" s="109">
        <v>4</v>
      </c>
      <c r="G15" s="109">
        <v>3</v>
      </c>
      <c r="H15" s="109">
        <v>2</v>
      </c>
      <c r="I15" s="100"/>
      <c r="J15" s="109" t="str">
        <f>'[1]RAN Network Optimization'!J16</f>
        <v>A</v>
      </c>
      <c r="K15" s="110">
        <f>IF(J15="A",F15,IF(J15="B",G15,IF(J15="C",H15,IF(J15="D",I15))))</f>
        <v>4</v>
      </c>
      <c r="L15" s="168">
        <f t="array" ref="L15">SUMPRODUCT(K15:K16,D15:D16)</f>
        <v>4</v>
      </c>
      <c r="M15" s="169"/>
      <c r="N15" s="169"/>
      <c r="O15" s="169"/>
      <c r="P15" s="169"/>
      <c r="Q15" s="169"/>
      <c r="R15" s="169"/>
      <c r="S15" s="169"/>
      <c r="T15" s="169"/>
      <c r="U15" s="169"/>
      <c r="V15" s="169"/>
      <c r="W15" s="169"/>
      <c r="X15" s="169"/>
      <c r="Y15" s="169"/>
      <c r="Z15" s="169"/>
      <c r="AA15" s="169"/>
      <c r="AB15" s="169"/>
      <c r="AC15" s="169"/>
      <c r="AD15" s="169"/>
      <c r="AE15" s="169"/>
      <c r="AF15" s="169"/>
      <c r="AG15" s="169"/>
      <c r="AH15" s="169"/>
    </row>
    <row r="16" spans="1:34" ht="51.6" customHeight="1">
      <c r="A16" s="165" t="str">
        <f>'[1]RAN Network Optimization'!A17</f>
        <v xml:space="preserve">Optimize Work Order Automation Rate
</v>
      </c>
      <c r="B16" s="166"/>
      <c r="C16" s="167"/>
      <c r="D16" s="107">
        <f>'[1]RAN Network Optimization'!D17</f>
        <v>0.6</v>
      </c>
      <c r="E16" s="108" t="s">
        <v>180</v>
      </c>
      <c r="F16" s="109">
        <v>4</v>
      </c>
      <c r="G16" s="109">
        <v>3</v>
      </c>
      <c r="H16" s="109">
        <v>2</v>
      </c>
      <c r="I16" s="100"/>
      <c r="J16" s="109" t="str">
        <f>'[1]RAN Network Optimization'!J17</f>
        <v>A</v>
      </c>
      <c r="K16" s="110">
        <f>IF(J16="A",F16,IF(J16="B",G16,IF(J16="C",H16,IF(J16="D",I16))))</f>
        <v>4</v>
      </c>
      <c r="L16" s="170"/>
      <c r="M16" s="171"/>
      <c r="N16" s="171"/>
      <c r="O16" s="171"/>
      <c r="P16" s="171"/>
      <c r="Q16" s="171"/>
      <c r="R16" s="171"/>
      <c r="S16" s="171"/>
      <c r="T16" s="171"/>
      <c r="U16" s="171"/>
      <c r="V16" s="171"/>
      <c r="W16" s="171"/>
      <c r="X16" s="171"/>
      <c r="Y16" s="171"/>
      <c r="Z16" s="171"/>
      <c r="AA16" s="171"/>
      <c r="AB16" s="171"/>
      <c r="AC16" s="171"/>
      <c r="AD16" s="171"/>
      <c r="AE16" s="171"/>
      <c r="AF16" s="171"/>
      <c r="AG16" s="171"/>
      <c r="AH16" s="171"/>
    </row>
    <row r="17" spans="1:34" ht="14.4">
      <c r="A17" s="111"/>
      <c r="B17" s="111"/>
      <c r="C17" s="111"/>
      <c r="D17" s="111"/>
      <c r="E17" s="111"/>
      <c r="L17" s="38"/>
      <c r="M17" s="38"/>
      <c r="N17" s="38"/>
      <c r="O17" s="38"/>
      <c r="P17" s="38"/>
      <c r="Q17" s="38"/>
      <c r="R17" s="38"/>
      <c r="S17" s="38"/>
      <c r="T17" s="38"/>
      <c r="U17" s="38"/>
      <c r="V17" s="38"/>
      <c r="W17" s="38"/>
      <c r="X17" s="38"/>
      <c r="Y17" s="38"/>
      <c r="Z17" s="38"/>
      <c r="AA17" s="38"/>
      <c r="AB17" s="38"/>
      <c r="AC17" s="38"/>
      <c r="AD17" s="38"/>
      <c r="AE17" s="38"/>
      <c r="AF17" s="38"/>
      <c r="AG17" s="38"/>
      <c r="AH17" s="38"/>
    </row>
    <row r="18" spans="1:34" ht="14.4">
      <c r="A18" s="111"/>
      <c r="B18" s="111"/>
      <c r="C18" s="111"/>
      <c r="D18" s="111"/>
      <c r="E18" s="111"/>
      <c r="L18" s="38"/>
      <c r="M18" s="38"/>
      <c r="N18" s="38"/>
      <c r="O18" s="38"/>
      <c r="P18" s="38"/>
      <c r="Q18" s="38"/>
      <c r="R18" s="38"/>
      <c r="S18" s="38"/>
      <c r="T18" s="38"/>
      <c r="U18" s="38"/>
      <c r="V18" s="38"/>
      <c r="W18" s="38"/>
      <c r="X18" s="38"/>
      <c r="Y18" s="38"/>
      <c r="Z18" s="38"/>
      <c r="AA18" s="38"/>
      <c r="AB18" s="38"/>
      <c r="AC18" s="38"/>
      <c r="AD18" s="38"/>
      <c r="AE18" s="38"/>
      <c r="AF18" s="38"/>
      <c r="AG18" s="38"/>
      <c r="AH18" s="38"/>
    </row>
    <row r="19" spans="1:34" ht="14.4">
      <c r="A19" s="111"/>
      <c r="B19" s="111"/>
      <c r="C19" s="111"/>
      <c r="D19" s="111"/>
      <c r="E19" s="111"/>
      <c r="I19" s="172" t="s">
        <v>181</v>
      </c>
      <c r="J19" s="172"/>
      <c r="K19" s="172"/>
      <c r="L19" s="172"/>
      <c r="M19" s="172"/>
      <c r="N19" s="175">
        <f>AH5</f>
        <v>4</v>
      </c>
      <c r="O19" s="176"/>
      <c r="P19" s="176"/>
      <c r="Q19" s="176"/>
      <c r="R19" s="176"/>
      <c r="S19" s="176"/>
      <c r="T19" s="176"/>
      <c r="U19" s="176"/>
      <c r="V19" s="176"/>
      <c r="W19" s="176"/>
      <c r="X19" s="176"/>
      <c r="Y19" s="176"/>
      <c r="Z19" s="176"/>
      <c r="AA19" s="176"/>
      <c r="AB19" s="176"/>
      <c r="AC19" s="176"/>
      <c r="AD19" s="176"/>
      <c r="AE19" s="176"/>
      <c r="AF19" s="176"/>
      <c r="AG19" s="176"/>
      <c r="AH19" s="176"/>
    </row>
    <row r="20" spans="1:34" ht="14.4">
      <c r="A20" s="111"/>
      <c r="B20" s="111"/>
      <c r="C20" s="111"/>
      <c r="D20" s="111"/>
      <c r="E20" s="111"/>
      <c r="I20" s="173"/>
      <c r="J20" s="173"/>
      <c r="K20" s="173"/>
      <c r="L20" s="173"/>
      <c r="M20" s="173"/>
      <c r="N20" s="177"/>
      <c r="O20" s="177"/>
      <c r="P20" s="177"/>
      <c r="Q20" s="177"/>
      <c r="R20" s="177"/>
      <c r="S20" s="177"/>
      <c r="T20" s="177"/>
      <c r="U20" s="177"/>
      <c r="V20" s="177"/>
      <c r="W20" s="177"/>
      <c r="X20" s="177"/>
      <c r="Y20" s="177"/>
      <c r="Z20" s="177"/>
      <c r="AA20" s="177"/>
      <c r="AB20" s="177"/>
      <c r="AC20" s="177"/>
      <c r="AD20" s="177"/>
      <c r="AE20" s="177"/>
      <c r="AF20" s="177"/>
      <c r="AG20" s="177"/>
      <c r="AH20" s="177"/>
    </row>
    <row r="21" spans="1:34" ht="14.4">
      <c r="A21" s="111"/>
      <c r="B21" s="111"/>
      <c r="C21" s="111"/>
      <c r="D21" s="111"/>
      <c r="E21" s="111"/>
      <c r="I21" s="174"/>
      <c r="J21" s="174"/>
      <c r="K21" s="174"/>
      <c r="L21" s="174"/>
      <c r="M21" s="174"/>
      <c r="N21" s="178"/>
      <c r="O21" s="178"/>
      <c r="P21" s="178"/>
      <c r="Q21" s="178"/>
      <c r="R21" s="178"/>
      <c r="S21" s="178"/>
      <c r="T21" s="178"/>
      <c r="U21" s="178"/>
      <c r="V21" s="178"/>
      <c r="W21" s="178"/>
      <c r="X21" s="178"/>
      <c r="Y21" s="178"/>
      <c r="Z21" s="178"/>
      <c r="AA21" s="178"/>
      <c r="AB21" s="178"/>
      <c r="AC21" s="178"/>
      <c r="AD21" s="178"/>
      <c r="AE21" s="178"/>
      <c r="AF21" s="178"/>
      <c r="AG21" s="178"/>
      <c r="AH21" s="178"/>
    </row>
    <row r="24" spans="1:34">
      <c r="I24" s="172" t="s">
        <v>182</v>
      </c>
      <c r="J24" s="172"/>
      <c r="K24" s="172"/>
      <c r="L24" s="172"/>
      <c r="M24" s="172"/>
      <c r="N24" s="175">
        <f>L15</f>
        <v>4</v>
      </c>
      <c r="O24" s="176"/>
      <c r="P24" s="176"/>
      <c r="Q24" s="176"/>
      <c r="R24" s="176"/>
      <c r="S24" s="176"/>
      <c r="T24" s="176"/>
      <c r="U24" s="176"/>
      <c r="V24" s="176"/>
      <c r="W24" s="176"/>
      <c r="X24" s="176"/>
      <c r="Y24" s="176"/>
      <c r="Z24" s="176"/>
      <c r="AA24" s="176"/>
      <c r="AB24" s="176"/>
      <c r="AC24" s="176"/>
      <c r="AD24" s="176"/>
      <c r="AE24" s="176"/>
      <c r="AF24" s="176"/>
      <c r="AG24" s="176"/>
      <c r="AH24" s="176"/>
    </row>
    <row r="25" spans="1:34">
      <c r="I25" s="173"/>
      <c r="J25" s="173"/>
      <c r="K25" s="173"/>
      <c r="L25" s="173"/>
      <c r="M25" s="173"/>
      <c r="N25" s="177"/>
      <c r="O25" s="177"/>
      <c r="P25" s="177"/>
      <c r="Q25" s="177"/>
      <c r="R25" s="177"/>
      <c r="S25" s="177"/>
      <c r="T25" s="177"/>
      <c r="U25" s="177"/>
      <c r="V25" s="177"/>
      <c r="W25" s="177"/>
      <c r="X25" s="177"/>
      <c r="Y25" s="177"/>
      <c r="Z25" s="177"/>
      <c r="AA25" s="177"/>
      <c r="AB25" s="177"/>
      <c r="AC25" s="177"/>
      <c r="AD25" s="177"/>
      <c r="AE25" s="177"/>
      <c r="AF25" s="177"/>
      <c r="AG25" s="177"/>
      <c r="AH25" s="177"/>
    </row>
    <row r="26" spans="1:34">
      <c r="I26" s="174"/>
      <c r="J26" s="174"/>
      <c r="K26" s="174"/>
      <c r="L26" s="174"/>
      <c r="M26" s="174"/>
      <c r="N26" s="178"/>
      <c r="O26" s="178"/>
      <c r="P26" s="178"/>
      <c r="Q26" s="178"/>
      <c r="R26" s="178"/>
      <c r="S26" s="178"/>
      <c r="T26" s="178"/>
      <c r="U26" s="178"/>
      <c r="V26" s="178"/>
      <c r="W26" s="178"/>
      <c r="X26" s="178"/>
      <c r="Y26" s="178"/>
      <c r="Z26" s="178"/>
      <c r="AA26" s="178"/>
      <c r="AB26" s="178"/>
      <c r="AC26" s="178"/>
      <c r="AD26" s="178"/>
      <c r="AE26" s="178"/>
      <c r="AF26" s="178"/>
      <c r="AG26" s="178"/>
      <c r="AH26" s="178"/>
    </row>
    <row r="27" spans="1:34">
      <c r="G27" s="103"/>
    </row>
    <row r="29" spans="1:34" ht="15" customHeight="1">
      <c r="L29" s="38"/>
      <c r="M29" s="38"/>
      <c r="N29" s="38"/>
      <c r="O29" s="38"/>
      <c r="P29" s="38"/>
      <c r="Q29" s="38"/>
      <c r="R29" s="38"/>
      <c r="S29" s="38"/>
      <c r="T29" s="38"/>
      <c r="U29" s="38"/>
      <c r="V29" s="38"/>
      <c r="W29" s="38"/>
      <c r="X29" s="38"/>
      <c r="Y29" s="38"/>
      <c r="Z29" s="38"/>
      <c r="AA29" s="38"/>
      <c r="AB29" s="38"/>
      <c r="AC29" s="38"/>
      <c r="AD29" s="38"/>
      <c r="AE29" s="38"/>
      <c r="AF29" s="38"/>
      <c r="AG29" s="38"/>
      <c r="AH29" s="38"/>
    </row>
    <row r="30" spans="1:34" ht="15" customHeight="1">
      <c r="L30" s="38"/>
      <c r="M30" s="38"/>
      <c r="N30" s="38"/>
      <c r="O30" s="38"/>
      <c r="P30" s="38"/>
      <c r="Q30" s="38"/>
      <c r="R30" s="38"/>
      <c r="S30" s="38"/>
      <c r="T30" s="38"/>
      <c r="U30" s="38"/>
      <c r="V30" s="38"/>
      <c r="W30" s="38"/>
      <c r="X30" s="38"/>
      <c r="Y30" s="38"/>
      <c r="Z30" s="38"/>
      <c r="AA30" s="38"/>
      <c r="AB30" s="38"/>
      <c r="AC30" s="38"/>
      <c r="AD30" s="38"/>
      <c r="AE30" s="38"/>
      <c r="AF30" s="38"/>
      <c r="AG30" s="38"/>
      <c r="AH30" s="38"/>
    </row>
    <row r="31" spans="1:34" ht="15" customHeight="1">
      <c r="L31" s="38"/>
      <c r="M31" s="38"/>
      <c r="N31" s="38"/>
      <c r="O31" s="38"/>
      <c r="P31" s="38"/>
      <c r="Q31" s="38"/>
      <c r="R31" s="38"/>
      <c r="S31" s="38"/>
      <c r="T31" s="38"/>
      <c r="U31" s="38"/>
      <c r="V31" s="38"/>
      <c r="W31" s="38"/>
      <c r="X31" s="38"/>
      <c r="Y31" s="38"/>
      <c r="Z31" s="38"/>
      <c r="AA31" s="38"/>
      <c r="AB31" s="38"/>
      <c r="AC31" s="38"/>
      <c r="AD31" s="38"/>
      <c r="AE31" s="38"/>
      <c r="AF31" s="38"/>
      <c r="AG31" s="38"/>
      <c r="AH31" s="38"/>
    </row>
    <row r="32" spans="1:34">
      <c r="L32" s="38"/>
      <c r="M32" s="38"/>
      <c r="N32" s="38"/>
      <c r="O32" s="38"/>
      <c r="P32" s="38"/>
      <c r="Q32" s="38"/>
      <c r="R32" s="38"/>
      <c r="S32" s="38"/>
      <c r="T32" s="38"/>
      <c r="U32" s="38"/>
      <c r="V32" s="38"/>
      <c r="W32" s="38"/>
      <c r="X32" s="38"/>
      <c r="Y32" s="38"/>
      <c r="Z32" s="38"/>
      <c r="AA32" s="38"/>
      <c r="AB32" s="38"/>
      <c r="AC32" s="38"/>
      <c r="AD32" s="38"/>
      <c r="AE32" s="38"/>
      <c r="AF32" s="38"/>
      <c r="AG32" s="38"/>
      <c r="AH32" s="38"/>
    </row>
    <row r="33" spans="12:34">
      <c r="L33" s="38"/>
      <c r="M33" s="38"/>
      <c r="N33" s="38"/>
      <c r="O33" s="38"/>
      <c r="P33" s="38"/>
      <c r="Q33" s="38"/>
      <c r="R33" s="38"/>
      <c r="S33" s="38"/>
      <c r="T33" s="38"/>
      <c r="U33" s="38"/>
      <c r="V33" s="38"/>
      <c r="W33" s="38"/>
      <c r="X33" s="38"/>
      <c r="Y33" s="38"/>
      <c r="Z33" s="38"/>
      <c r="AA33" s="38"/>
      <c r="AB33" s="38"/>
      <c r="AC33" s="38"/>
      <c r="AD33" s="38"/>
      <c r="AE33" s="38"/>
      <c r="AF33" s="38"/>
      <c r="AG33" s="38"/>
      <c r="AH33" s="38"/>
    </row>
    <row r="34" spans="12:34">
      <c r="L34" s="38"/>
      <c r="M34" s="38"/>
      <c r="N34" s="38"/>
      <c r="O34" s="38"/>
      <c r="P34" s="38"/>
      <c r="Q34" s="38"/>
      <c r="R34" s="38"/>
      <c r="S34" s="38"/>
      <c r="T34" s="38"/>
      <c r="U34" s="38"/>
      <c r="V34" s="38"/>
      <c r="W34" s="38"/>
      <c r="X34" s="38"/>
      <c r="Y34" s="38"/>
      <c r="Z34" s="38"/>
      <c r="AA34" s="38"/>
      <c r="AB34" s="38"/>
      <c r="AC34" s="38"/>
      <c r="AD34" s="38"/>
      <c r="AE34" s="38"/>
      <c r="AF34" s="38"/>
      <c r="AG34" s="38"/>
      <c r="AH34" s="38"/>
    </row>
    <row r="35" spans="12:34">
      <c r="L35" s="38"/>
      <c r="M35" s="38"/>
      <c r="N35" s="38"/>
      <c r="O35" s="38"/>
      <c r="P35" s="38"/>
      <c r="Q35" s="38"/>
      <c r="R35" s="38"/>
      <c r="S35" s="38"/>
      <c r="T35" s="38"/>
      <c r="U35" s="38"/>
      <c r="V35" s="38"/>
      <c r="W35" s="38"/>
      <c r="X35" s="38"/>
      <c r="Y35" s="38"/>
      <c r="Z35" s="38"/>
      <c r="AA35" s="38"/>
      <c r="AB35" s="38"/>
      <c r="AC35" s="38"/>
      <c r="AD35" s="38"/>
      <c r="AE35" s="38"/>
      <c r="AF35" s="38"/>
      <c r="AG35" s="38"/>
      <c r="AH35" s="38"/>
    </row>
    <row r="36" spans="12:34">
      <c r="L36" s="38"/>
      <c r="M36" s="38"/>
      <c r="N36" s="38"/>
      <c r="O36" s="38"/>
      <c r="P36" s="38"/>
      <c r="Q36" s="38"/>
      <c r="R36" s="38"/>
      <c r="S36" s="38"/>
      <c r="T36" s="38"/>
      <c r="U36" s="38"/>
      <c r="V36" s="38"/>
      <c r="W36" s="38"/>
      <c r="X36" s="38"/>
      <c r="Y36" s="38"/>
      <c r="Z36" s="38"/>
      <c r="AA36" s="38"/>
      <c r="AB36" s="38"/>
      <c r="AC36" s="38"/>
      <c r="AD36" s="38"/>
      <c r="AE36" s="38"/>
      <c r="AF36" s="38"/>
      <c r="AG36" s="38"/>
      <c r="AH36" s="38"/>
    </row>
    <row r="37" spans="12:34">
      <c r="L37" s="38"/>
      <c r="M37" s="38"/>
      <c r="N37" s="38"/>
      <c r="O37" s="38"/>
      <c r="P37" s="38"/>
      <c r="Q37" s="38"/>
      <c r="R37" s="38"/>
      <c r="S37" s="38"/>
      <c r="T37" s="38"/>
      <c r="U37" s="38"/>
      <c r="V37" s="38"/>
      <c r="W37" s="38"/>
      <c r="X37" s="38"/>
      <c r="Y37" s="38"/>
      <c r="Z37" s="38"/>
      <c r="AA37" s="38"/>
      <c r="AB37" s="38"/>
      <c r="AC37" s="38"/>
      <c r="AD37" s="38"/>
      <c r="AE37" s="38"/>
      <c r="AF37" s="38"/>
      <c r="AG37" s="38"/>
      <c r="AH37" s="38"/>
    </row>
    <row r="38" spans="12:34">
      <c r="L38" s="38"/>
      <c r="M38" s="38"/>
      <c r="N38" s="38"/>
      <c r="O38" s="38"/>
      <c r="P38" s="38"/>
      <c r="Q38" s="38"/>
      <c r="R38" s="38"/>
      <c r="S38" s="38"/>
      <c r="T38" s="38"/>
      <c r="U38" s="38"/>
      <c r="V38" s="38"/>
      <c r="W38" s="38"/>
      <c r="X38" s="38"/>
      <c r="Y38" s="38"/>
      <c r="Z38" s="38"/>
      <c r="AA38" s="38"/>
      <c r="AB38" s="38"/>
      <c r="AC38" s="38"/>
      <c r="AD38" s="38"/>
      <c r="AE38" s="38"/>
      <c r="AF38" s="38"/>
      <c r="AG38" s="38"/>
      <c r="AH38" s="38"/>
    </row>
    <row r="39" spans="12:34">
      <c r="L39" s="38"/>
      <c r="M39" s="38"/>
      <c r="N39" s="38"/>
      <c r="O39" s="38"/>
      <c r="P39" s="38"/>
      <c r="Q39" s="38"/>
      <c r="R39" s="38"/>
      <c r="S39" s="38"/>
      <c r="T39" s="38"/>
      <c r="U39" s="38"/>
      <c r="V39" s="38"/>
      <c r="W39" s="38"/>
      <c r="X39" s="38"/>
      <c r="Y39" s="38"/>
      <c r="Z39" s="38"/>
      <c r="AA39" s="38"/>
      <c r="AB39" s="38"/>
      <c r="AC39" s="38"/>
      <c r="AD39" s="38"/>
      <c r="AE39" s="38"/>
      <c r="AF39" s="38"/>
      <c r="AG39" s="38"/>
      <c r="AH39" s="38"/>
    </row>
    <row r="40" spans="12:34">
      <c r="L40" s="38"/>
      <c r="M40" s="38"/>
      <c r="N40" s="38"/>
      <c r="O40" s="38"/>
      <c r="P40" s="38"/>
      <c r="Q40" s="38"/>
      <c r="R40" s="38"/>
      <c r="S40" s="38"/>
      <c r="T40" s="38"/>
      <c r="U40" s="38"/>
      <c r="V40" s="38"/>
      <c r="W40" s="38"/>
      <c r="X40" s="38"/>
      <c r="Y40" s="38"/>
      <c r="Z40" s="38"/>
      <c r="AA40" s="38"/>
      <c r="AB40" s="38"/>
      <c r="AC40" s="38"/>
      <c r="AD40" s="38"/>
      <c r="AE40" s="38"/>
      <c r="AF40" s="38"/>
      <c r="AG40" s="38"/>
      <c r="AH40" s="38"/>
    </row>
  </sheetData>
  <sheetProtection formatCells="0" insertHyperlinks="0" autoFilter="0"/>
  <mergeCells count="49">
    <mergeCell ref="F1:AH1"/>
    <mergeCell ref="F2:I2"/>
    <mergeCell ref="J2:O2"/>
    <mergeCell ref="P2:R2"/>
    <mergeCell ref="S2:U2"/>
    <mergeCell ref="A1:A4"/>
    <mergeCell ref="B1:B4"/>
    <mergeCell ref="C1:C4"/>
    <mergeCell ref="D1:D4"/>
    <mergeCell ref="E1:E4"/>
    <mergeCell ref="AB2:AD2"/>
    <mergeCell ref="AE2:AG2"/>
    <mergeCell ref="AH2:AH4"/>
    <mergeCell ref="F3:F4"/>
    <mergeCell ref="G3:G4"/>
    <mergeCell ref="H3:H4"/>
    <mergeCell ref="I3:I4"/>
    <mergeCell ref="J3:J4"/>
    <mergeCell ref="N3:N4"/>
    <mergeCell ref="O3:O4"/>
    <mergeCell ref="P3:R3"/>
    <mergeCell ref="V2:X2"/>
    <mergeCell ref="Y2:AA2"/>
    <mergeCell ref="B7:B9"/>
    <mergeCell ref="A14:C14"/>
    <mergeCell ref="L14:AH14"/>
    <mergeCell ref="S3:U3"/>
    <mergeCell ref="V3:X3"/>
    <mergeCell ref="Y3:AA3"/>
    <mergeCell ref="AB3:AD3"/>
    <mergeCell ref="AE3:AG3"/>
    <mergeCell ref="A5:A11"/>
    <mergeCell ref="R5:R11"/>
    <mergeCell ref="U5:U11"/>
    <mergeCell ref="X5:X11"/>
    <mergeCell ref="AA5:AA11"/>
    <mergeCell ref="K3:K4"/>
    <mergeCell ref="L3:L4"/>
    <mergeCell ref="M3:M4"/>
    <mergeCell ref="I24:M26"/>
    <mergeCell ref="N24:AH26"/>
    <mergeCell ref="AD5:AD11"/>
    <mergeCell ref="AG5:AG11"/>
    <mergeCell ref="AH5:AH11"/>
    <mergeCell ref="A15:C15"/>
    <mergeCell ref="L15:AH16"/>
    <mergeCell ref="A16:C16"/>
    <mergeCell ref="I19:M21"/>
    <mergeCell ref="N19:AH21"/>
  </mergeCells>
  <dataValidations count="2">
    <dataValidation type="list" allowBlank="1" showInputMessage="1" showErrorMessage="1" sqref="L18 F18:F20" xr:uid="{FC77E3EC-A879-49D6-B9EF-187AB6EA6DEE}">
      <formula1>"A,B,C"</formula1>
    </dataValidation>
    <dataValidation type="list" allowBlank="1" showInputMessage="1" showErrorMessage="1" sqref="L16" xr:uid="{6020287E-2240-4866-8401-1A216F79BE83}">
      <formula1>"A,B,C,D"</formula1>
    </dataValidation>
  </dataValidations>
  <pageMargins left="0.7" right="0.7" top="0.75" bottom="0.75" header="0.3" footer="0.3"/>
  <pageSetup paperSize="9" orientation="portrait"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D1043"/>
  <sheetViews>
    <sheetView zoomScaleNormal="100" workbookViewId="0">
      <selection activeCell="I14" sqref="I14"/>
    </sheetView>
  </sheetViews>
  <sheetFormatPr defaultColWidth="10.08984375" defaultRowHeight="15" customHeight="1"/>
  <cols>
    <col min="1" max="1" width="22.1796875" style="5" customWidth="1"/>
    <col min="2" max="2" width="11.7265625" style="5" customWidth="1"/>
    <col min="3" max="3" width="17.6328125" style="5" customWidth="1"/>
    <col min="4" max="4" width="15.6328125" style="5" customWidth="1"/>
    <col min="5" max="26" width="6" style="5" customWidth="1"/>
    <col min="27" max="16384" width="10.08984375" style="5"/>
  </cols>
  <sheetData>
    <row r="1" spans="1:4" s="28" customFormat="1" ht="15" customHeight="1"/>
    <row r="6" spans="1:4" ht="46.5" customHeight="1">
      <c r="A6" s="232" t="s">
        <v>18</v>
      </c>
      <c r="B6" s="233"/>
      <c r="C6" s="233"/>
      <c r="D6" s="233"/>
    </row>
    <row r="7" spans="1:4" ht="24.6" customHeight="1">
      <c r="A7" s="21"/>
      <c r="B7" s="22"/>
      <c r="C7" s="22"/>
      <c r="D7" s="22"/>
    </row>
    <row r="8" spans="1:4" ht="14.1" customHeight="1">
      <c r="A8" s="234" t="s">
        <v>19</v>
      </c>
      <c r="B8" s="235"/>
      <c r="C8" s="235"/>
      <c r="D8" s="235"/>
    </row>
    <row r="9" spans="1:4" s="19" customFormat="1" ht="33" customHeight="1">
      <c r="A9" s="30" t="s">
        <v>20</v>
      </c>
      <c r="B9" s="30" t="s">
        <v>21</v>
      </c>
      <c r="C9" s="30" t="s">
        <v>22</v>
      </c>
      <c r="D9" s="30" t="s">
        <v>23</v>
      </c>
    </row>
    <row r="10" spans="1:4" s="19" customFormat="1" ht="14.1" customHeight="1">
      <c r="A10" s="24" t="s">
        <v>241</v>
      </c>
      <c r="B10" s="25">
        <v>46174</v>
      </c>
      <c r="C10" s="24" t="s">
        <v>238</v>
      </c>
      <c r="D10" s="24" t="s">
        <v>239</v>
      </c>
    </row>
    <row r="11" spans="1:4" s="19" customFormat="1" ht="14.1" customHeight="1">
      <c r="A11" s="23"/>
      <c r="B11" s="26"/>
      <c r="C11" s="23"/>
      <c r="D11" s="23"/>
    </row>
    <row r="12" spans="1:4" s="19" customFormat="1" ht="14.1" customHeight="1">
      <c r="A12" s="23"/>
      <c r="B12" s="26"/>
      <c r="C12" s="23"/>
      <c r="D12" s="23"/>
    </row>
    <row r="13" spans="1:4" s="19" customFormat="1" ht="14.1" customHeight="1">
      <c r="A13" s="234" t="s">
        <v>24</v>
      </c>
      <c r="B13" s="236"/>
      <c r="C13" s="236"/>
      <c r="D13" s="236"/>
    </row>
    <row r="14" spans="1:4" s="19" customFormat="1" ht="33.9" customHeight="1">
      <c r="A14" s="31" t="s">
        <v>25</v>
      </c>
      <c r="B14" s="31" t="s">
        <v>21</v>
      </c>
      <c r="C14" s="31" t="s">
        <v>22</v>
      </c>
      <c r="D14" s="31" t="s">
        <v>23</v>
      </c>
    </row>
    <row r="15" spans="1:4" s="19" customFormat="1" ht="14.1" customHeight="1">
      <c r="A15" s="27" t="s">
        <v>26</v>
      </c>
      <c r="B15" s="25">
        <v>46174</v>
      </c>
      <c r="C15" s="24" t="s">
        <v>238</v>
      </c>
      <c r="D15" s="24" t="s">
        <v>239</v>
      </c>
    </row>
    <row r="16" spans="1:4" ht="24.6" customHeight="1">
      <c r="A16" s="21" t="s">
        <v>27</v>
      </c>
      <c r="B16" s="22"/>
      <c r="C16" s="22"/>
      <c r="D16" s="22"/>
    </row>
    <row r="17" spans="1:4" s="19" customFormat="1" ht="14.1" customHeight="1">
      <c r="A17" s="23"/>
      <c r="B17" s="23"/>
      <c r="C17" s="23"/>
      <c r="D17" s="23"/>
    </row>
    <row r="18" spans="1:4" s="19" customFormat="1" ht="12.75" customHeight="1">
      <c r="A18" s="23"/>
      <c r="B18" s="23"/>
      <c r="C18" s="23"/>
      <c r="D18" s="23"/>
    </row>
    <row r="19" spans="1:4" ht="22.5" customHeight="1">
      <c r="A19" s="21" t="s">
        <v>28</v>
      </c>
      <c r="B19" s="22"/>
      <c r="C19" s="22"/>
      <c r="D19" s="22"/>
    </row>
    <row r="20" spans="1:4" ht="12.75" customHeight="1">
      <c r="A20" s="22"/>
      <c r="B20" s="22"/>
      <c r="C20" s="22"/>
      <c r="D20" s="22"/>
    </row>
    <row r="21" spans="1:4" ht="20.100000000000001" customHeight="1">
      <c r="A21" s="32" t="s">
        <v>237</v>
      </c>
      <c r="B21"/>
      <c r="C21"/>
      <c r="D21" s="22"/>
    </row>
    <row r="22" spans="1:4" ht="12.75" customHeight="1">
      <c r="A22" s="33" t="s">
        <v>29</v>
      </c>
      <c r="B22" s="33" t="s">
        <v>30</v>
      </c>
      <c r="C22" s="33" t="s">
        <v>31</v>
      </c>
      <c r="D22" s="22"/>
    </row>
    <row r="23" spans="1:4" ht="12.75" customHeight="1">
      <c r="A23" s="27" t="s">
        <v>183</v>
      </c>
      <c r="B23" s="27" t="s">
        <v>184</v>
      </c>
      <c r="C23" s="27" t="s">
        <v>185</v>
      </c>
      <c r="D23" s="22"/>
    </row>
    <row r="24" spans="1:4" ht="12.75" customHeight="1">
      <c r="A24" s="27" t="s">
        <v>186</v>
      </c>
      <c r="B24" s="27" t="s">
        <v>187</v>
      </c>
      <c r="C24" s="27" t="s">
        <v>188</v>
      </c>
      <c r="D24" s="22"/>
    </row>
    <row r="25" spans="1:4" ht="12.75" customHeight="1">
      <c r="A25" s="27" t="s">
        <v>189</v>
      </c>
      <c r="B25" s="27" t="s">
        <v>184</v>
      </c>
      <c r="C25" s="27" t="s">
        <v>188</v>
      </c>
      <c r="D25" s="22"/>
    </row>
    <row r="26" spans="1:4" ht="12.75" customHeight="1">
      <c r="A26" s="27" t="s">
        <v>190</v>
      </c>
      <c r="B26" s="27" t="s">
        <v>191</v>
      </c>
      <c r="C26" s="27" t="s">
        <v>192</v>
      </c>
      <c r="D26" s="22"/>
    </row>
    <row r="27" spans="1:4" ht="12.75" customHeight="1">
      <c r="A27" s="27" t="s">
        <v>193</v>
      </c>
      <c r="B27" s="27" t="s">
        <v>194</v>
      </c>
      <c r="C27" s="27" t="s">
        <v>192</v>
      </c>
      <c r="D27" s="22"/>
    </row>
    <row r="28" spans="1:4" ht="12.75" customHeight="1">
      <c r="A28" s="27" t="s">
        <v>195</v>
      </c>
      <c r="B28" s="27" t="s">
        <v>194</v>
      </c>
      <c r="C28" s="27" t="s">
        <v>192</v>
      </c>
      <c r="D28" s="22"/>
    </row>
    <row r="29" spans="1:4" ht="12.75" customHeight="1">
      <c r="A29" s="27" t="s">
        <v>196</v>
      </c>
      <c r="B29" s="27" t="s">
        <v>194</v>
      </c>
      <c r="C29" s="27" t="s">
        <v>192</v>
      </c>
      <c r="D29" s="22"/>
    </row>
    <row r="30" spans="1:4" ht="12.75" customHeight="1">
      <c r="A30" s="27" t="s">
        <v>197</v>
      </c>
      <c r="B30" s="27" t="s">
        <v>184</v>
      </c>
      <c r="C30" s="27" t="s">
        <v>192</v>
      </c>
      <c r="D30" s="22"/>
    </row>
    <row r="31" spans="1:4" ht="12.75" customHeight="1">
      <c r="A31" s="27" t="s">
        <v>198</v>
      </c>
      <c r="B31" s="27" t="s">
        <v>191</v>
      </c>
      <c r="C31" s="27" t="s">
        <v>199</v>
      </c>
      <c r="D31" s="22"/>
    </row>
    <row r="32" spans="1:4" ht="12.75" customHeight="1">
      <c r="A32" s="27" t="s">
        <v>200</v>
      </c>
      <c r="B32" s="27" t="s">
        <v>191</v>
      </c>
      <c r="C32" s="27" t="s">
        <v>199</v>
      </c>
      <c r="D32" s="22"/>
    </row>
    <row r="33" spans="1:4" ht="12.75" customHeight="1">
      <c r="A33" s="27" t="s">
        <v>201</v>
      </c>
      <c r="B33" s="27" t="s">
        <v>191</v>
      </c>
      <c r="C33" s="27" t="s">
        <v>199</v>
      </c>
      <c r="D33" s="22"/>
    </row>
    <row r="34" spans="1:4" ht="12.75" customHeight="1">
      <c r="A34" s="27" t="s">
        <v>202</v>
      </c>
      <c r="B34" s="27" t="s">
        <v>191</v>
      </c>
      <c r="C34" s="27" t="s">
        <v>199</v>
      </c>
      <c r="D34" s="22"/>
    </row>
    <row r="35" spans="1:4" ht="12.75" customHeight="1">
      <c r="A35" s="27" t="s">
        <v>203</v>
      </c>
      <c r="B35" s="27" t="s">
        <v>191</v>
      </c>
      <c r="C35" s="27" t="s">
        <v>199</v>
      </c>
      <c r="D35" s="22"/>
    </row>
    <row r="36" spans="1:4" ht="12.75" customHeight="1">
      <c r="A36" s="27" t="s">
        <v>204</v>
      </c>
      <c r="B36" s="27" t="s">
        <v>194</v>
      </c>
      <c r="C36" s="27" t="s">
        <v>199</v>
      </c>
      <c r="D36" s="22"/>
    </row>
    <row r="37" spans="1:4" ht="12.75" customHeight="1">
      <c r="A37" s="27" t="s">
        <v>205</v>
      </c>
      <c r="B37" s="27" t="s">
        <v>194</v>
      </c>
      <c r="C37" s="27" t="s">
        <v>199</v>
      </c>
      <c r="D37" s="22"/>
    </row>
    <row r="38" spans="1:4" ht="12.75" customHeight="1">
      <c r="A38" s="27" t="s">
        <v>206</v>
      </c>
      <c r="B38" s="27" t="s">
        <v>194</v>
      </c>
      <c r="C38" s="27" t="s">
        <v>199</v>
      </c>
      <c r="D38" s="22"/>
    </row>
    <row r="39" spans="1:4" ht="12.75" customHeight="1">
      <c r="A39" s="27" t="s">
        <v>207</v>
      </c>
      <c r="B39" s="27" t="s">
        <v>194</v>
      </c>
      <c r="C39" s="27" t="s">
        <v>199</v>
      </c>
      <c r="D39" s="22"/>
    </row>
    <row r="40" spans="1:4" ht="12.75" customHeight="1">
      <c r="A40" s="27" t="s">
        <v>208</v>
      </c>
      <c r="B40" s="27" t="s">
        <v>194</v>
      </c>
      <c r="C40" s="27" t="s">
        <v>199</v>
      </c>
      <c r="D40" s="22"/>
    </row>
    <row r="41" spans="1:4" ht="12.75" customHeight="1">
      <c r="A41" s="27" t="s">
        <v>209</v>
      </c>
      <c r="B41" s="27" t="s">
        <v>194</v>
      </c>
      <c r="C41" s="27" t="s">
        <v>199</v>
      </c>
      <c r="D41" s="22"/>
    </row>
    <row r="42" spans="1:4" ht="12.75" customHeight="1">
      <c r="A42" s="27" t="s">
        <v>210</v>
      </c>
      <c r="B42" s="27" t="s">
        <v>194</v>
      </c>
      <c r="C42" s="27" t="s">
        <v>199</v>
      </c>
      <c r="D42" s="22"/>
    </row>
    <row r="43" spans="1:4" ht="12.75" customHeight="1">
      <c r="A43" s="27" t="s">
        <v>211</v>
      </c>
      <c r="B43" s="27" t="s">
        <v>194</v>
      </c>
      <c r="C43" s="27" t="s">
        <v>199</v>
      </c>
      <c r="D43" s="22"/>
    </row>
    <row r="44" spans="1:4" ht="12.75" customHeight="1">
      <c r="A44" s="27" t="s">
        <v>212</v>
      </c>
      <c r="B44" s="27" t="s">
        <v>194</v>
      </c>
      <c r="C44" s="27" t="s">
        <v>199</v>
      </c>
      <c r="D44" s="22"/>
    </row>
    <row r="45" spans="1:4" ht="12.75" customHeight="1">
      <c r="A45" s="27" t="s">
        <v>213</v>
      </c>
      <c r="B45" s="27" t="s">
        <v>194</v>
      </c>
      <c r="C45" s="27" t="s">
        <v>199</v>
      </c>
      <c r="D45" s="22"/>
    </row>
    <row r="46" spans="1:4" ht="12.75" customHeight="1">
      <c r="A46" s="27" t="s">
        <v>214</v>
      </c>
      <c r="B46" s="27" t="s">
        <v>194</v>
      </c>
      <c r="C46" s="27" t="s">
        <v>199</v>
      </c>
      <c r="D46" s="22"/>
    </row>
    <row r="47" spans="1:4" ht="12.75" customHeight="1">
      <c r="A47" s="27" t="s">
        <v>215</v>
      </c>
      <c r="B47" s="27" t="s">
        <v>194</v>
      </c>
      <c r="C47" s="27" t="s">
        <v>199</v>
      </c>
      <c r="D47" s="22"/>
    </row>
    <row r="48" spans="1:4" ht="12.75" customHeight="1">
      <c r="A48" s="27" t="s">
        <v>216</v>
      </c>
      <c r="B48" s="27" t="s">
        <v>194</v>
      </c>
      <c r="C48" s="27" t="s">
        <v>199</v>
      </c>
      <c r="D48" s="22"/>
    </row>
    <row r="49" spans="1:4" ht="12.75" customHeight="1">
      <c r="A49" s="27" t="s">
        <v>217</v>
      </c>
      <c r="B49" s="27" t="s">
        <v>194</v>
      </c>
      <c r="C49" s="27" t="s">
        <v>199</v>
      </c>
      <c r="D49" s="22"/>
    </row>
    <row r="50" spans="1:4" ht="12.75" customHeight="1">
      <c r="A50" s="27" t="s">
        <v>218</v>
      </c>
      <c r="B50" s="27" t="s">
        <v>194</v>
      </c>
      <c r="C50" s="27" t="s">
        <v>199</v>
      </c>
      <c r="D50" s="22"/>
    </row>
    <row r="51" spans="1:4" ht="12.75" customHeight="1">
      <c r="A51" s="27" t="s">
        <v>219</v>
      </c>
      <c r="B51" s="27" t="s">
        <v>194</v>
      </c>
      <c r="C51" s="27" t="s">
        <v>199</v>
      </c>
      <c r="D51" s="22"/>
    </row>
    <row r="52" spans="1:4" ht="12.75" customHeight="1">
      <c r="A52" s="27" t="s">
        <v>220</v>
      </c>
      <c r="B52" s="27" t="s">
        <v>194</v>
      </c>
      <c r="C52" s="27" t="s">
        <v>199</v>
      </c>
      <c r="D52" s="22"/>
    </row>
    <row r="53" spans="1:4" ht="12.75" customHeight="1">
      <c r="A53" s="27" t="s">
        <v>221</v>
      </c>
      <c r="B53" s="27" t="s">
        <v>194</v>
      </c>
      <c r="C53" s="27" t="s">
        <v>199</v>
      </c>
      <c r="D53" s="22"/>
    </row>
    <row r="54" spans="1:4" ht="12.75" customHeight="1">
      <c r="A54" s="27" t="s">
        <v>222</v>
      </c>
      <c r="B54" s="27" t="s">
        <v>184</v>
      </c>
      <c r="C54" s="27" t="s">
        <v>199</v>
      </c>
      <c r="D54" s="22"/>
    </row>
    <row r="55" spans="1:4" ht="12.75" customHeight="1">
      <c r="A55" s="27" t="s">
        <v>223</v>
      </c>
      <c r="B55" s="27" t="s">
        <v>224</v>
      </c>
      <c r="C55" s="27" t="s">
        <v>199</v>
      </c>
      <c r="D55" s="22"/>
    </row>
    <row r="56" spans="1:4" ht="12.75" customHeight="1">
      <c r="A56" s="27" t="s">
        <v>186</v>
      </c>
      <c r="B56" s="27" t="s">
        <v>187</v>
      </c>
      <c r="C56" s="27" t="s">
        <v>199</v>
      </c>
      <c r="D56" s="22"/>
    </row>
    <row r="57" spans="1:4" ht="12.75" customHeight="1">
      <c r="A57" s="27" t="s">
        <v>225</v>
      </c>
      <c r="B57" s="27" t="s">
        <v>226</v>
      </c>
      <c r="C57" s="27" t="s">
        <v>199</v>
      </c>
      <c r="D57" s="22"/>
    </row>
    <row r="58" spans="1:4" ht="12.75" customHeight="1">
      <c r="A58" s="27" t="s">
        <v>227</v>
      </c>
      <c r="B58" s="27" t="s">
        <v>226</v>
      </c>
      <c r="C58" s="27" t="s">
        <v>199</v>
      </c>
      <c r="D58" s="22"/>
    </row>
    <row r="59" spans="1:4" ht="12.75" customHeight="1">
      <c r="A59" s="27" t="s">
        <v>228</v>
      </c>
      <c r="B59" s="27" t="s">
        <v>229</v>
      </c>
      <c r="C59" s="27" t="s">
        <v>199</v>
      </c>
      <c r="D59" s="22"/>
    </row>
    <row r="60" spans="1:4" ht="12.75" customHeight="1">
      <c r="A60" s="27" t="s">
        <v>234</v>
      </c>
      <c r="B60" s="27" t="s">
        <v>230</v>
      </c>
      <c r="C60" s="27" t="s">
        <v>231</v>
      </c>
      <c r="D60" s="22"/>
    </row>
    <row r="61" spans="1:4" ht="12.75" customHeight="1">
      <c r="A61" s="27" t="s">
        <v>232</v>
      </c>
      <c r="B61" s="27" t="s">
        <v>233</v>
      </c>
      <c r="C61" s="27" t="s">
        <v>199</v>
      </c>
      <c r="D61" s="22"/>
    </row>
    <row r="62" spans="1:4" ht="12.75" customHeight="1">
      <c r="A62" s="27" t="s">
        <v>234</v>
      </c>
      <c r="B62" s="27" t="s">
        <v>230</v>
      </c>
      <c r="C62" s="27" t="s">
        <v>231</v>
      </c>
      <c r="D62" s="22"/>
    </row>
    <row r="63" spans="1:4" ht="12.75" customHeight="1">
      <c r="A63" s="27" t="s">
        <v>235</v>
      </c>
      <c r="B63" s="27" t="s">
        <v>230</v>
      </c>
      <c r="C63" s="27" t="s">
        <v>199</v>
      </c>
      <c r="D63" s="22"/>
    </row>
    <row r="64" spans="1:4" ht="12.75" customHeight="1">
      <c r="A64" s="27" t="s">
        <v>236</v>
      </c>
      <c r="B64" s="27" t="s">
        <v>224</v>
      </c>
      <c r="C64" s="27" t="s">
        <v>199</v>
      </c>
      <c r="D64" s="22"/>
    </row>
    <row r="65" spans="1:4" ht="12.75" customHeight="1">
      <c r="A65" s="22"/>
      <c r="B65" s="22"/>
      <c r="C65" s="22"/>
      <c r="D65" s="22"/>
    </row>
    <row r="66" spans="1:4" ht="12.75" customHeight="1">
      <c r="A66" s="29" t="s">
        <v>17</v>
      </c>
      <c r="B66" s="22"/>
      <c r="C66" s="22"/>
      <c r="D66" s="22"/>
    </row>
    <row r="67" spans="1:4" ht="12.75" customHeight="1">
      <c r="A67" s="22"/>
      <c r="B67" s="22"/>
      <c r="C67" s="22"/>
      <c r="D67" s="22"/>
    </row>
    <row r="68" spans="1:4" ht="12.75" customHeight="1">
      <c r="A68" s="22"/>
      <c r="B68" s="22"/>
      <c r="C68" s="22"/>
      <c r="D68" s="22"/>
    </row>
    <row r="69" spans="1:4" ht="12.75" customHeight="1">
      <c r="B69" s="22"/>
      <c r="C69" s="22"/>
      <c r="D69" s="22"/>
    </row>
    <row r="70" spans="1:4" ht="12.75" customHeight="1">
      <c r="A70" s="22"/>
      <c r="B70" s="22"/>
      <c r="C70" s="22"/>
      <c r="D70" s="22"/>
    </row>
    <row r="71" spans="1:4" ht="12.75" customHeight="1">
      <c r="A71" s="22"/>
      <c r="B71" s="22"/>
      <c r="C71" s="22"/>
      <c r="D71" s="22"/>
    </row>
    <row r="72" spans="1:4" ht="12.75" customHeight="1">
      <c r="A72" s="22"/>
      <c r="B72" s="22"/>
      <c r="C72" s="22"/>
      <c r="D72" s="22"/>
    </row>
    <row r="73" spans="1:4" ht="12.75" customHeight="1">
      <c r="A73" s="22"/>
      <c r="B73" s="22"/>
      <c r="C73" s="22"/>
      <c r="D73" s="22"/>
    </row>
    <row r="74" spans="1:4" ht="12.75" customHeight="1">
      <c r="A74" s="22"/>
      <c r="B74" s="22"/>
      <c r="C74" s="22"/>
      <c r="D74" s="22"/>
    </row>
    <row r="75" spans="1:4" ht="12.75" customHeight="1">
      <c r="A75" s="22"/>
      <c r="B75" s="22"/>
      <c r="C75" s="22"/>
      <c r="D75" s="22"/>
    </row>
    <row r="76" spans="1:4" ht="12.75" customHeight="1">
      <c r="A76" s="22"/>
      <c r="B76" s="22"/>
      <c r="C76" s="22"/>
      <c r="D76" s="22"/>
    </row>
    <row r="77" spans="1:4" ht="12.75" customHeight="1">
      <c r="A77" s="22"/>
      <c r="B77" s="22"/>
      <c r="C77" s="22"/>
      <c r="D77" s="22"/>
    </row>
    <row r="78" spans="1:4" ht="12.75" customHeight="1">
      <c r="A78" s="22"/>
      <c r="B78" s="22"/>
      <c r="C78" s="22"/>
      <c r="D78" s="22"/>
    </row>
    <row r="79" spans="1:4" ht="12.75" customHeight="1">
      <c r="A79" s="22"/>
      <c r="B79" s="22"/>
      <c r="C79" s="22"/>
      <c r="D79" s="22"/>
    </row>
    <row r="80" spans="1:4" ht="12.75" customHeight="1">
      <c r="A80" s="22"/>
      <c r="B80" s="22"/>
      <c r="C80" s="22"/>
      <c r="D80" s="22"/>
    </row>
    <row r="81" spans="1:4" ht="12.75" customHeight="1">
      <c r="A81" s="22"/>
      <c r="B81" s="22"/>
      <c r="C81" s="22"/>
      <c r="D81" s="22"/>
    </row>
    <row r="82" spans="1:4" ht="12.75" customHeight="1">
      <c r="A82" s="22"/>
      <c r="B82" s="22"/>
      <c r="C82" s="22"/>
      <c r="D82" s="22"/>
    </row>
    <row r="83" spans="1:4" ht="12.75" customHeight="1">
      <c r="A83" s="22"/>
      <c r="B83" s="22"/>
      <c r="C83" s="22"/>
      <c r="D83" s="22"/>
    </row>
    <row r="84" spans="1:4" ht="12.75" customHeight="1">
      <c r="A84" s="22"/>
      <c r="B84" s="22"/>
      <c r="C84" s="22"/>
      <c r="D84" s="22"/>
    </row>
    <row r="85" spans="1:4" ht="12.75" customHeight="1">
      <c r="A85" s="22"/>
      <c r="B85" s="22"/>
      <c r="C85" s="22"/>
      <c r="D85" s="22"/>
    </row>
    <row r="86" spans="1:4" ht="12.75" customHeight="1">
      <c r="A86" s="22"/>
      <c r="B86" s="22"/>
      <c r="C86" s="22"/>
      <c r="D86" s="22"/>
    </row>
    <row r="87" spans="1:4" ht="12.75" customHeight="1">
      <c r="A87" s="22"/>
      <c r="B87" s="22"/>
      <c r="C87" s="22"/>
      <c r="D87" s="22"/>
    </row>
    <row r="88" spans="1:4" ht="12.75" customHeight="1">
      <c r="A88" s="22"/>
      <c r="B88" s="22"/>
      <c r="C88" s="22"/>
      <c r="D88" s="22"/>
    </row>
    <row r="89" spans="1:4" ht="12.75" customHeight="1">
      <c r="A89" s="22"/>
      <c r="B89" s="22"/>
      <c r="C89" s="22"/>
      <c r="D89" s="22"/>
    </row>
    <row r="90" spans="1:4" ht="12.75" customHeight="1">
      <c r="A90" s="22"/>
      <c r="B90" s="22"/>
      <c r="C90" s="22"/>
      <c r="D90" s="22"/>
    </row>
    <row r="91" spans="1:4" ht="12.75" customHeight="1">
      <c r="A91" s="22"/>
      <c r="B91" s="22"/>
      <c r="C91" s="22"/>
      <c r="D91" s="22"/>
    </row>
    <row r="92" spans="1:4" ht="12.75" customHeight="1">
      <c r="A92" s="22"/>
      <c r="B92" s="22"/>
      <c r="C92" s="22"/>
      <c r="D92" s="22"/>
    </row>
    <row r="93" spans="1:4" ht="12.75" customHeight="1">
      <c r="A93" s="22"/>
      <c r="B93" s="22"/>
      <c r="C93" s="22"/>
      <c r="D93" s="22"/>
    </row>
    <row r="94" spans="1:4" ht="12.75" customHeight="1">
      <c r="A94" s="22"/>
      <c r="B94" s="22"/>
      <c r="C94" s="22"/>
      <c r="D94" s="22"/>
    </row>
    <row r="95" spans="1:4" ht="12.75" customHeight="1">
      <c r="A95" s="22"/>
      <c r="B95" s="22"/>
      <c r="C95" s="22"/>
      <c r="D95" s="22"/>
    </row>
    <row r="96" spans="1:4" ht="12.75" customHeight="1">
      <c r="A96" s="22"/>
      <c r="B96" s="22"/>
      <c r="C96" s="22"/>
      <c r="D96" s="22"/>
    </row>
    <row r="97" spans="1:4" ht="12.75" customHeight="1">
      <c r="A97" s="22"/>
      <c r="B97" s="22"/>
      <c r="C97" s="22"/>
      <c r="D97" s="22"/>
    </row>
    <row r="98" spans="1:4" ht="12.75" customHeight="1">
      <c r="A98" s="22"/>
      <c r="B98" s="22"/>
      <c r="C98" s="22"/>
      <c r="D98" s="22"/>
    </row>
    <row r="99" spans="1:4" ht="12.75" customHeight="1">
      <c r="A99" s="22"/>
      <c r="B99" s="22"/>
      <c r="C99" s="22"/>
      <c r="D99" s="22"/>
    </row>
    <row r="100" spans="1:4" ht="12.75" customHeight="1">
      <c r="A100" s="22"/>
      <c r="B100" s="22"/>
      <c r="C100" s="22"/>
      <c r="D100" s="22"/>
    </row>
    <row r="101" spans="1:4" ht="12.75" customHeight="1">
      <c r="A101" s="22"/>
      <c r="B101" s="22"/>
      <c r="C101" s="22"/>
      <c r="D101" s="22"/>
    </row>
    <row r="102" spans="1:4" ht="12.75" customHeight="1">
      <c r="A102" s="22"/>
      <c r="B102" s="22"/>
      <c r="C102" s="22"/>
      <c r="D102" s="22"/>
    </row>
    <row r="103" spans="1:4" ht="12.75" customHeight="1">
      <c r="A103" s="22"/>
      <c r="B103" s="22"/>
      <c r="C103" s="22"/>
      <c r="D103" s="22"/>
    </row>
    <row r="104" spans="1:4" ht="12.75" customHeight="1">
      <c r="A104" s="22"/>
      <c r="B104" s="22"/>
      <c r="C104" s="22"/>
      <c r="D104" s="22"/>
    </row>
    <row r="105" spans="1:4" ht="12.75" customHeight="1">
      <c r="A105" s="22"/>
      <c r="B105" s="22"/>
      <c r="C105" s="22"/>
      <c r="D105" s="22"/>
    </row>
    <row r="106" spans="1:4" ht="12.75" customHeight="1">
      <c r="A106" s="22"/>
      <c r="B106" s="22"/>
      <c r="C106" s="22"/>
      <c r="D106" s="22"/>
    </row>
    <row r="107" spans="1:4" ht="12.75" customHeight="1">
      <c r="A107" s="22"/>
      <c r="B107" s="22"/>
      <c r="C107" s="22"/>
      <c r="D107" s="22"/>
    </row>
    <row r="108" spans="1:4" ht="12.75" customHeight="1">
      <c r="A108" s="22"/>
      <c r="B108" s="22"/>
      <c r="C108" s="22"/>
      <c r="D108" s="22"/>
    </row>
    <row r="109" spans="1:4" ht="12.75" customHeight="1">
      <c r="A109" s="22"/>
      <c r="B109" s="22"/>
      <c r="C109" s="22"/>
      <c r="D109" s="22"/>
    </row>
    <row r="110" spans="1:4" ht="12.75" customHeight="1">
      <c r="A110" s="22"/>
      <c r="B110" s="22"/>
      <c r="C110" s="22"/>
      <c r="D110" s="22"/>
    </row>
    <row r="111" spans="1:4" ht="12.75" customHeight="1">
      <c r="A111" s="22"/>
      <c r="B111" s="22"/>
      <c r="C111" s="22"/>
      <c r="D111" s="22"/>
    </row>
    <row r="112" spans="1:4" ht="12.75" customHeight="1">
      <c r="A112" s="22"/>
      <c r="B112" s="22"/>
      <c r="C112" s="22"/>
      <c r="D112" s="22"/>
    </row>
    <row r="113" spans="1:4" ht="12.75" customHeight="1">
      <c r="A113" s="22"/>
      <c r="B113" s="22"/>
      <c r="C113" s="22"/>
      <c r="D113" s="22"/>
    </row>
    <row r="114" spans="1:4" ht="12.75" customHeight="1">
      <c r="A114" s="22"/>
      <c r="B114" s="22"/>
      <c r="C114" s="22"/>
      <c r="D114" s="22"/>
    </row>
    <row r="115" spans="1:4" ht="12.75" customHeight="1">
      <c r="A115" s="22"/>
      <c r="B115" s="22"/>
      <c r="C115" s="22"/>
      <c r="D115" s="22"/>
    </row>
    <row r="116" spans="1:4" ht="12.75" customHeight="1">
      <c r="A116" s="22"/>
      <c r="B116" s="22"/>
      <c r="C116" s="22"/>
      <c r="D116" s="22"/>
    </row>
    <row r="117" spans="1:4" ht="12.75" customHeight="1">
      <c r="A117" s="22"/>
      <c r="B117" s="22"/>
      <c r="C117" s="22"/>
      <c r="D117" s="22"/>
    </row>
    <row r="118" spans="1:4" ht="12.75" customHeight="1">
      <c r="A118" s="22"/>
      <c r="B118" s="22"/>
      <c r="C118" s="22"/>
      <c r="D118" s="22"/>
    </row>
    <row r="119" spans="1:4" ht="12.75" customHeight="1">
      <c r="A119" s="22"/>
      <c r="B119" s="22"/>
      <c r="C119" s="22"/>
      <c r="D119" s="22"/>
    </row>
    <row r="120" spans="1:4" ht="12.75" customHeight="1">
      <c r="A120" s="22"/>
      <c r="B120" s="22"/>
      <c r="C120" s="22"/>
      <c r="D120" s="22"/>
    </row>
    <row r="121" spans="1:4" ht="12.75" customHeight="1">
      <c r="A121" s="22"/>
      <c r="B121" s="22"/>
      <c r="C121" s="22"/>
      <c r="D121" s="22"/>
    </row>
    <row r="122" spans="1:4" ht="12.75" customHeight="1">
      <c r="A122" s="22"/>
      <c r="B122" s="22"/>
      <c r="C122" s="22"/>
      <c r="D122" s="22"/>
    </row>
    <row r="123" spans="1:4" ht="12.75" customHeight="1">
      <c r="A123" s="22"/>
      <c r="B123" s="22"/>
      <c r="C123" s="22"/>
      <c r="D123" s="22"/>
    </row>
    <row r="124" spans="1:4" ht="12.75" customHeight="1">
      <c r="A124" s="22"/>
      <c r="B124" s="22"/>
      <c r="C124" s="22"/>
      <c r="D124" s="22"/>
    </row>
    <row r="125" spans="1:4" ht="12.75" customHeight="1">
      <c r="A125" s="22"/>
      <c r="B125" s="22"/>
      <c r="C125" s="22"/>
      <c r="D125" s="22"/>
    </row>
    <row r="126" spans="1:4" ht="12.75" customHeight="1">
      <c r="A126" s="22"/>
      <c r="B126" s="22"/>
      <c r="C126" s="22"/>
      <c r="D126" s="22"/>
    </row>
    <row r="127" spans="1:4" ht="12.75" customHeight="1">
      <c r="A127" s="22"/>
      <c r="B127" s="22"/>
      <c r="C127" s="22"/>
      <c r="D127" s="22"/>
    </row>
    <row r="128" spans="1:4" ht="12.75" customHeight="1">
      <c r="A128" s="22"/>
      <c r="B128" s="22"/>
      <c r="C128" s="22"/>
      <c r="D128" s="22"/>
    </row>
    <row r="129" spans="1:4" ht="12.75" customHeight="1">
      <c r="A129" s="22"/>
      <c r="B129" s="22"/>
      <c r="C129" s="22"/>
      <c r="D129" s="22"/>
    </row>
    <row r="130" spans="1:4" ht="12.75" customHeight="1">
      <c r="A130" s="22"/>
      <c r="B130" s="22"/>
      <c r="C130" s="22"/>
      <c r="D130" s="22"/>
    </row>
    <row r="131" spans="1:4" ht="12.75" customHeight="1">
      <c r="A131" s="22"/>
      <c r="B131" s="22"/>
      <c r="C131" s="22"/>
      <c r="D131" s="22"/>
    </row>
    <row r="132" spans="1:4" ht="12.75" customHeight="1">
      <c r="A132" s="22"/>
      <c r="B132" s="22"/>
      <c r="C132" s="22"/>
      <c r="D132" s="22"/>
    </row>
    <row r="133" spans="1:4" ht="12.75" customHeight="1">
      <c r="A133" s="22"/>
      <c r="B133" s="22"/>
      <c r="C133" s="22"/>
      <c r="D133" s="22"/>
    </row>
    <row r="134" spans="1:4" ht="12.75" customHeight="1">
      <c r="A134" s="22"/>
      <c r="B134" s="22"/>
      <c r="C134" s="22"/>
      <c r="D134" s="22"/>
    </row>
    <row r="135" spans="1:4" ht="12.75" customHeight="1">
      <c r="A135" s="22"/>
      <c r="B135" s="22"/>
      <c r="C135" s="22"/>
      <c r="D135" s="22"/>
    </row>
    <row r="136" spans="1:4" ht="12.75" customHeight="1">
      <c r="A136" s="22"/>
      <c r="B136" s="22"/>
      <c r="C136" s="22"/>
      <c r="D136" s="22"/>
    </row>
    <row r="137" spans="1:4" ht="12.75" customHeight="1">
      <c r="A137" s="22"/>
      <c r="B137" s="22"/>
      <c r="C137" s="22"/>
      <c r="D137" s="22"/>
    </row>
    <row r="138" spans="1:4" ht="12.75" customHeight="1">
      <c r="A138" s="22"/>
      <c r="B138" s="22"/>
      <c r="C138" s="22"/>
      <c r="D138" s="22"/>
    </row>
    <row r="139" spans="1:4" ht="12.75" customHeight="1">
      <c r="A139" s="22"/>
      <c r="B139" s="22"/>
      <c r="C139" s="22"/>
      <c r="D139" s="22"/>
    </row>
    <row r="140" spans="1:4" ht="12.75" customHeight="1">
      <c r="A140" s="22"/>
      <c r="B140" s="22"/>
      <c r="C140" s="22"/>
      <c r="D140" s="22"/>
    </row>
    <row r="141" spans="1:4" ht="12.75" customHeight="1">
      <c r="A141" s="22"/>
      <c r="B141" s="22"/>
      <c r="C141" s="22"/>
      <c r="D141" s="22"/>
    </row>
    <row r="142" spans="1:4" ht="12.75" customHeight="1">
      <c r="A142" s="22"/>
      <c r="B142" s="22"/>
      <c r="C142" s="22"/>
      <c r="D142" s="22"/>
    </row>
    <row r="143" spans="1:4" ht="12.75" customHeight="1">
      <c r="A143" s="22"/>
      <c r="B143" s="22"/>
      <c r="C143" s="22"/>
      <c r="D143" s="22"/>
    </row>
    <row r="144" spans="1:4" ht="12.75" customHeight="1">
      <c r="A144" s="22"/>
      <c r="B144" s="22"/>
      <c r="C144" s="22"/>
      <c r="D144" s="22"/>
    </row>
    <row r="145" spans="1:4" ht="12.75" customHeight="1">
      <c r="A145" s="22"/>
      <c r="B145" s="22"/>
      <c r="C145" s="22"/>
      <c r="D145" s="22"/>
    </row>
    <row r="146" spans="1:4" ht="12.75" customHeight="1">
      <c r="A146" s="22"/>
      <c r="B146" s="22"/>
      <c r="C146" s="22"/>
      <c r="D146" s="22"/>
    </row>
    <row r="147" spans="1:4" ht="12.75" customHeight="1">
      <c r="A147" s="22"/>
      <c r="B147" s="22"/>
      <c r="C147" s="22"/>
      <c r="D147" s="22"/>
    </row>
    <row r="148" spans="1:4" ht="12.75" customHeight="1">
      <c r="A148" s="22"/>
      <c r="B148" s="22"/>
      <c r="C148" s="22"/>
      <c r="D148" s="22"/>
    </row>
    <row r="149" spans="1:4" ht="12.75" customHeight="1">
      <c r="A149" s="22"/>
      <c r="B149" s="22"/>
      <c r="C149" s="22"/>
      <c r="D149" s="22"/>
    </row>
    <row r="150" spans="1:4" ht="12.75" customHeight="1">
      <c r="A150" s="22"/>
      <c r="B150" s="22"/>
      <c r="C150" s="22"/>
      <c r="D150" s="22"/>
    </row>
    <row r="151" spans="1:4" ht="12.75" customHeight="1">
      <c r="A151" s="22"/>
      <c r="B151" s="22"/>
      <c r="C151" s="22"/>
      <c r="D151" s="22"/>
    </row>
    <row r="152" spans="1:4" ht="12.75" customHeight="1">
      <c r="A152" s="22"/>
      <c r="B152" s="22"/>
      <c r="C152" s="22"/>
      <c r="D152" s="22"/>
    </row>
    <row r="153" spans="1:4" ht="12.75" customHeight="1">
      <c r="A153" s="22"/>
      <c r="B153" s="22"/>
      <c r="C153" s="22"/>
      <c r="D153" s="22"/>
    </row>
    <row r="154" spans="1:4" ht="12.75" customHeight="1">
      <c r="A154" s="22"/>
      <c r="B154" s="22"/>
      <c r="C154" s="22"/>
      <c r="D154" s="22"/>
    </row>
    <row r="155" spans="1:4" ht="12.75" customHeight="1">
      <c r="A155" s="22"/>
      <c r="B155" s="22"/>
      <c r="C155" s="22"/>
      <c r="D155" s="22"/>
    </row>
    <row r="156" spans="1:4" ht="12.75" customHeight="1">
      <c r="A156" s="22"/>
      <c r="B156" s="22"/>
      <c r="C156" s="22"/>
      <c r="D156" s="22"/>
    </row>
    <row r="157" spans="1:4" ht="12.75" customHeight="1">
      <c r="A157" s="22"/>
      <c r="B157" s="22"/>
      <c r="C157" s="22"/>
      <c r="D157" s="22"/>
    </row>
    <row r="158" spans="1:4" ht="12.75" customHeight="1">
      <c r="A158" s="22"/>
      <c r="B158" s="22"/>
      <c r="C158" s="22"/>
      <c r="D158" s="22"/>
    </row>
    <row r="159" spans="1:4" ht="12.75" customHeight="1">
      <c r="A159" s="22"/>
      <c r="B159" s="22"/>
      <c r="C159" s="22"/>
      <c r="D159" s="22"/>
    </row>
    <row r="160" spans="1:4" ht="12.75" customHeight="1">
      <c r="A160" s="22"/>
      <c r="B160" s="22"/>
      <c r="C160" s="22"/>
      <c r="D160" s="22"/>
    </row>
    <row r="161" spans="1:4" ht="12.75" customHeight="1">
      <c r="A161" s="22"/>
      <c r="B161" s="22"/>
      <c r="C161" s="22"/>
      <c r="D161" s="22"/>
    </row>
    <row r="162" spans="1:4" ht="12.75" customHeight="1">
      <c r="A162" s="22"/>
      <c r="B162" s="22"/>
      <c r="C162" s="22"/>
      <c r="D162" s="22"/>
    </row>
    <row r="163" spans="1:4" ht="12.75" customHeight="1">
      <c r="A163" s="22"/>
      <c r="B163" s="22"/>
      <c r="C163" s="22"/>
      <c r="D163" s="22"/>
    </row>
    <row r="164" spans="1:4" ht="12.75" customHeight="1">
      <c r="A164" s="22"/>
      <c r="B164" s="22"/>
      <c r="C164" s="22"/>
      <c r="D164" s="22"/>
    </row>
    <row r="165" spans="1:4" ht="12.75" customHeight="1">
      <c r="A165" s="22"/>
      <c r="B165" s="22"/>
      <c r="C165" s="22"/>
      <c r="D165" s="22"/>
    </row>
    <row r="166" spans="1:4" ht="12.75" customHeight="1">
      <c r="A166" s="22"/>
      <c r="B166" s="22"/>
      <c r="C166" s="22"/>
      <c r="D166" s="22"/>
    </row>
    <row r="167" spans="1:4" ht="12.75" customHeight="1">
      <c r="A167" s="22"/>
      <c r="B167" s="22"/>
      <c r="C167" s="22"/>
      <c r="D167" s="22"/>
    </row>
    <row r="168" spans="1:4" ht="12.75" customHeight="1">
      <c r="A168" s="22"/>
      <c r="B168" s="22"/>
      <c r="C168" s="22"/>
      <c r="D168" s="22"/>
    </row>
    <row r="169" spans="1:4" ht="12.75" customHeight="1">
      <c r="A169" s="22"/>
      <c r="B169" s="22"/>
      <c r="C169" s="22"/>
      <c r="D169" s="22"/>
    </row>
    <row r="170" spans="1:4" ht="12.75" customHeight="1">
      <c r="A170" s="22"/>
      <c r="B170" s="22"/>
      <c r="C170" s="22"/>
      <c r="D170" s="22"/>
    </row>
    <row r="171" spans="1:4" ht="12.75" customHeight="1">
      <c r="A171" s="22"/>
      <c r="B171" s="22"/>
      <c r="C171" s="22"/>
      <c r="D171" s="22"/>
    </row>
    <row r="172" spans="1:4" ht="12.75" customHeight="1">
      <c r="A172" s="22"/>
      <c r="B172" s="22"/>
      <c r="C172" s="22"/>
      <c r="D172" s="22"/>
    </row>
    <row r="173" spans="1:4" ht="12.75" customHeight="1">
      <c r="A173" s="22"/>
      <c r="B173" s="22"/>
      <c r="C173" s="22"/>
      <c r="D173" s="22"/>
    </row>
    <row r="174" spans="1:4" ht="12.75" customHeight="1">
      <c r="A174" s="22"/>
      <c r="B174" s="22"/>
      <c r="C174" s="22"/>
      <c r="D174" s="22"/>
    </row>
    <row r="175" spans="1:4" ht="12.75" customHeight="1">
      <c r="A175" s="22"/>
      <c r="B175" s="22"/>
      <c r="C175" s="22"/>
      <c r="D175" s="22"/>
    </row>
    <row r="176" spans="1:4" ht="12.75" customHeight="1">
      <c r="A176" s="22"/>
      <c r="B176" s="22"/>
      <c r="C176" s="22"/>
      <c r="D176" s="22"/>
    </row>
    <row r="177" spans="1:4" ht="12.75" customHeight="1">
      <c r="A177" s="22"/>
      <c r="B177" s="22"/>
      <c r="C177" s="22"/>
      <c r="D177" s="22"/>
    </row>
    <row r="178" spans="1:4" ht="12.75" customHeight="1">
      <c r="A178" s="22"/>
      <c r="B178" s="22"/>
      <c r="C178" s="22"/>
      <c r="D178" s="22"/>
    </row>
    <row r="179" spans="1:4" ht="12.75" customHeight="1">
      <c r="A179" s="22"/>
      <c r="B179" s="22"/>
      <c r="C179" s="22"/>
      <c r="D179" s="22"/>
    </row>
    <row r="180" spans="1:4" ht="12.75" customHeight="1">
      <c r="A180" s="22"/>
      <c r="B180" s="22"/>
      <c r="C180" s="22"/>
      <c r="D180" s="22"/>
    </row>
    <row r="181" spans="1:4" ht="12.75" customHeight="1">
      <c r="A181" s="22"/>
      <c r="B181" s="22"/>
      <c r="C181" s="22"/>
      <c r="D181" s="22"/>
    </row>
    <row r="182" spans="1:4" ht="12.75" customHeight="1">
      <c r="A182" s="22"/>
      <c r="B182" s="22"/>
      <c r="C182" s="22"/>
      <c r="D182" s="22"/>
    </row>
    <row r="183" spans="1:4" ht="12.75" customHeight="1">
      <c r="A183" s="22"/>
      <c r="B183" s="22"/>
      <c r="C183" s="22"/>
      <c r="D183" s="22"/>
    </row>
    <row r="184" spans="1:4" ht="12.75" customHeight="1">
      <c r="A184" s="22"/>
      <c r="B184" s="22"/>
      <c r="C184" s="22"/>
      <c r="D184" s="22"/>
    </row>
    <row r="185" spans="1:4" ht="12.75" customHeight="1">
      <c r="A185" s="22"/>
      <c r="B185" s="22"/>
      <c r="C185" s="22"/>
      <c r="D185" s="22"/>
    </row>
    <row r="186" spans="1:4" ht="12.75" customHeight="1">
      <c r="A186" s="22"/>
      <c r="B186" s="22"/>
      <c r="C186" s="22"/>
      <c r="D186" s="22"/>
    </row>
    <row r="187" spans="1:4" ht="12.75" customHeight="1">
      <c r="A187" s="22"/>
      <c r="B187" s="22"/>
      <c r="C187" s="22"/>
      <c r="D187" s="22"/>
    </row>
    <row r="188" spans="1:4" ht="12.75" customHeight="1">
      <c r="A188" s="22"/>
      <c r="B188" s="22"/>
      <c r="C188" s="22"/>
      <c r="D188" s="22"/>
    </row>
    <row r="189" spans="1:4" ht="12.75" customHeight="1">
      <c r="A189" s="22"/>
      <c r="B189" s="22"/>
      <c r="C189" s="22"/>
      <c r="D189" s="22"/>
    </row>
    <row r="190" spans="1:4" ht="12.75" customHeight="1">
      <c r="A190" s="22"/>
      <c r="B190" s="22"/>
      <c r="C190" s="22"/>
      <c r="D190" s="22"/>
    </row>
    <row r="191" spans="1:4" ht="12.75" customHeight="1">
      <c r="A191" s="22"/>
      <c r="B191" s="22"/>
      <c r="C191" s="22"/>
      <c r="D191" s="22"/>
    </row>
    <row r="192" spans="1:4" ht="12.75" customHeight="1">
      <c r="A192" s="22"/>
      <c r="B192" s="22"/>
      <c r="C192" s="22"/>
      <c r="D192" s="22"/>
    </row>
    <row r="193" spans="1:4" ht="12.75" customHeight="1">
      <c r="A193" s="22"/>
      <c r="B193" s="22"/>
      <c r="C193" s="22"/>
      <c r="D193" s="22"/>
    </row>
    <row r="194" spans="1:4" ht="12.75" customHeight="1">
      <c r="A194" s="22"/>
      <c r="B194" s="22"/>
      <c r="C194" s="22"/>
      <c r="D194" s="22"/>
    </row>
    <row r="195" spans="1:4" ht="12.75" customHeight="1">
      <c r="A195" s="22"/>
      <c r="B195" s="22"/>
      <c r="C195" s="22"/>
      <c r="D195" s="22"/>
    </row>
    <row r="196" spans="1:4" ht="12.75" customHeight="1">
      <c r="A196" s="22"/>
      <c r="B196" s="22"/>
      <c r="C196" s="22"/>
      <c r="D196" s="22"/>
    </row>
    <row r="197" spans="1:4" ht="12.75" customHeight="1">
      <c r="A197" s="22"/>
      <c r="B197" s="22"/>
      <c r="C197" s="22"/>
      <c r="D197" s="22"/>
    </row>
    <row r="198" spans="1:4" ht="12.75" customHeight="1">
      <c r="A198" s="22"/>
      <c r="B198" s="22"/>
      <c r="C198" s="22"/>
      <c r="D198" s="22"/>
    </row>
    <row r="199" spans="1:4" ht="12.75" customHeight="1">
      <c r="A199" s="22"/>
      <c r="B199" s="22"/>
      <c r="C199" s="22"/>
      <c r="D199" s="22"/>
    </row>
    <row r="200" spans="1:4" ht="12.75" customHeight="1">
      <c r="A200" s="22"/>
      <c r="B200" s="22"/>
      <c r="C200" s="22"/>
      <c r="D200" s="22"/>
    </row>
    <row r="201" spans="1:4" ht="12.75" customHeight="1">
      <c r="A201" s="22"/>
      <c r="B201" s="22"/>
      <c r="C201" s="22"/>
      <c r="D201" s="22"/>
    </row>
    <row r="202" spans="1:4" ht="12.75" customHeight="1">
      <c r="A202" s="22"/>
      <c r="B202" s="22"/>
      <c r="C202" s="22"/>
      <c r="D202" s="22"/>
    </row>
    <row r="203" spans="1:4" ht="12.75" customHeight="1">
      <c r="A203" s="22"/>
      <c r="B203" s="22"/>
      <c r="C203" s="22"/>
      <c r="D203" s="22"/>
    </row>
    <row r="204" spans="1:4" ht="12.75" customHeight="1">
      <c r="A204" s="22"/>
      <c r="B204" s="22"/>
      <c r="C204" s="22"/>
      <c r="D204" s="22"/>
    </row>
    <row r="205" spans="1:4" ht="12.75" customHeight="1">
      <c r="A205" s="22"/>
      <c r="B205" s="22"/>
      <c r="C205" s="22"/>
      <c r="D205" s="22"/>
    </row>
    <row r="206" spans="1:4" ht="12.75" customHeight="1">
      <c r="A206" s="22"/>
      <c r="B206" s="22"/>
      <c r="C206" s="22"/>
      <c r="D206" s="22"/>
    </row>
    <row r="207" spans="1:4" ht="12.75" customHeight="1">
      <c r="A207" s="22"/>
      <c r="B207" s="22"/>
      <c r="C207" s="22"/>
      <c r="D207" s="22"/>
    </row>
    <row r="208" spans="1:4" ht="12.75" customHeight="1">
      <c r="A208" s="22"/>
      <c r="B208" s="22"/>
      <c r="C208" s="22"/>
      <c r="D208" s="22"/>
    </row>
    <row r="209" spans="1:4" ht="12.75" customHeight="1">
      <c r="A209" s="22"/>
      <c r="B209" s="22"/>
      <c r="C209" s="22"/>
      <c r="D209" s="22"/>
    </row>
    <row r="210" spans="1:4" ht="12.75" customHeight="1">
      <c r="A210" s="22"/>
      <c r="B210" s="22"/>
      <c r="C210" s="22"/>
      <c r="D210" s="22"/>
    </row>
    <row r="211" spans="1:4" ht="12.75" customHeight="1">
      <c r="A211" s="22"/>
      <c r="B211" s="22"/>
      <c r="C211" s="22"/>
      <c r="D211" s="22"/>
    </row>
    <row r="212" spans="1:4" ht="12.75" customHeight="1">
      <c r="A212" s="22"/>
      <c r="B212" s="22"/>
      <c r="C212" s="22"/>
      <c r="D212" s="22"/>
    </row>
    <row r="213" spans="1:4" ht="12.75" customHeight="1">
      <c r="A213" s="22"/>
      <c r="B213" s="22"/>
      <c r="C213" s="22"/>
      <c r="D213" s="22"/>
    </row>
    <row r="214" spans="1:4" ht="12.75" customHeight="1">
      <c r="A214" s="22"/>
      <c r="B214" s="22"/>
      <c r="C214" s="22"/>
      <c r="D214" s="22"/>
    </row>
    <row r="215" spans="1:4" ht="12.75" customHeight="1">
      <c r="A215" s="22"/>
      <c r="B215" s="22"/>
      <c r="C215" s="22"/>
      <c r="D215" s="22"/>
    </row>
    <row r="216" spans="1:4" ht="12.75" customHeight="1">
      <c r="A216" s="22"/>
      <c r="B216" s="22"/>
      <c r="C216" s="22"/>
      <c r="D216" s="22"/>
    </row>
    <row r="217" spans="1:4" ht="12.75" customHeight="1">
      <c r="A217" s="22"/>
      <c r="B217" s="22"/>
      <c r="C217" s="22"/>
      <c r="D217" s="22"/>
    </row>
    <row r="218" spans="1:4" ht="12.75" customHeight="1">
      <c r="A218" s="22"/>
      <c r="B218" s="22"/>
      <c r="C218" s="22"/>
      <c r="D218" s="22"/>
    </row>
    <row r="219" spans="1:4" ht="12.75" customHeight="1">
      <c r="A219" s="22"/>
      <c r="B219" s="22"/>
      <c r="C219" s="22"/>
      <c r="D219" s="22"/>
    </row>
    <row r="220" spans="1:4" ht="12.75" customHeight="1">
      <c r="A220" s="22"/>
      <c r="B220" s="22"/>
      <c r="C220" s="22"/>
      <c r="D220" s="22"/>
    </row>
    <row r="221" spans="1:4" ht="12.75" customHeight="1">
      <c r="A221" s="22"/>
      <c r="B221" s="22"/>
      <c r="C221" s="22"/>
      <c r="D221" s="22"/>
    </row>
    <row r="222" spans="1:4" ht="12.75" customHeight="1">
      <c r="A222" s="22"/>
      <c r="B222" s="22"/>
      <c r="C222" s="22"/>
      <c r="D222" s="22"/>
    </row>
    <row r="223" spans="1:4" ht="12.75" customHeight="1">
      <c r="A223" s="22"/>
      <c r="B223" s="22"/>
      <c r="C223" s="22"/>
      <c r="D223" s="22"/>
    </row>
    <row r="224" spans="1:4" ht="12.75" customHeight="1">
      <c r="A224" s="22"/>
      <c r="B224" s="22"/>
      <c r="C224" s="22"/>
      <c r="D224" s="22"/>
    </row>
    <row r="225" spans="1:4" ht="12.75" customHeight="1">
      <c r="A225" s="22"/>
      <c r="B225" s="22"/>
      <c r="C225" s="22"/>
      <c r="D225" s="22"/>
    </row>
    <row r="226" spans="1:4" ht="12.75" customHeight="1">
      <c r="A226" s="22"/>
      <c r="B226" s="22"/>
      <c r="C226" s="22"/>
      <c r="D226" s="22"/>
    </row>
    <row r="227" spans="1:4" ht="12.75" customHeight="1">
      <c r="A227" s="22"/>
      <c r="B227" s="22"/>
      <c r="C227" s="22"/>
      <c r="D227" s="22"/>
    </row>
    <row r="228" spans="1:4" ht="12.75" customHeight="1">
      <c r="A228" s="22"/>
      <c r="B228" s="22"/>
      <c r="C228" s="22"/>
      <c r="D228" s="22"/>
    </row>
    <row r="229" spans="1:4" ht="12.75" customHeight="1">
      <c r="A229" s="22"/>
      <c r="B229" s="22"/>
      <c r="C229" s="22"/>
      <c r="D229" s="22"/>
    </row>
    <row r="230" spans="1:4" ht="12.75" customHeight="1">
      <c r="A230" s="22"/>
      <c r="B230" s="22"/>
      <c r="C230" s="22"/>
      <c r="D230" s="22"/>
    </row>
    <row r="231" spans="1:4" ht="12.75" customHeight="1">
      <c r="A231" s="22"/>
      <c r="B231" s="22"/>
      <c r="C231" s="22"/>
      <c r="D231" s="22"/>
    </row>
    <row r="232" spans="1:4" ht="12.75" customHeight="1">
      <c r="A232" s="22"/>
      <c r="B232" s="22"/>
      <c r="C232" s="22"/>
      <c r="D232" s="22"/>
    </row>
    <row r="233" spans="1:4" ht="12.75" customHeight="1">
      <c r="A233" s="22"/>
      <c r="B233" s="22"/>
      <c r="C233" s="22"/>
      <c r="D233" s="22"/>
    </row>
    <row r="234" spans="1:4" ht="12.75" customHeight="1">
      <c r="A234" s="22"/>
      <c r="B234" s="22"/>
      <c r="C234" s="22"/>
      <c r="D234" s="22"/>
    </row>
    <row r="235" spans="1:4" ht="12.75" customHeight="1">
      <c r="A235" s="22"/>
      <c r="B235" s="22"/>
      <c r="C235" s="22"/>
      <c r="D235" s="22"/>
    </row>
    <row r="236" spans="1:4" ht="12.75" customHeight="1">
      <c r="A236" s="22"/>
      <c r="B236" s="22"/>
      <c r="C236" s="22"/>
      <c r="D236" s="22"/>
    </row>
    <row r="237" spans="1:4" ht="12.75" customHeight="1">
      <c r="A237" s="22"/>
      <c r="B237" s="22"/>
      <c r="C237" s="22"/>
      <c r="D237" s="22"/>
    </row>
    <row r="238" spans="1:4" ht="12.75" customHeight="1">
      <c r="A238" s="22"/>
      <c r="B238" s="22"/>
      <c r="C238" s="22"/>
      <c r="D238" s="22"/>
    </row>
    <row r="239" spans="1:4" ht="12.75" customHeight="1">
      <c r="A239" s="22"/>
      <c r="B239" s="22"/>
      <c r="C239" s="22"/>
      <c r="D239" s="22"/>
    </row>
    <row r="240" spans="1:4" ht="12.75" customHeight="1">
      <c r="A240" s="22"/>
      <c r="B240" s="22"/>
      <c r="C240" s="22"/>
      <c r="D240" s="22"/>
    </row>
    <row r="241" spans="1:4" ht="12.75" customHeight="1">
      <c r="A241" s="22"/>
      <c r="B241" s="22"/>
      <c r="C241" s="22"/>
      <c r="D241" s="22"/>
    </row>
    <row r="242" spans="1:4" ht="12.75" customHeight="1">
      <c r="A242" s="22"/>
      <c r="B242" s="22"/>
      <c r="C242" s="22"/>
      <c r="D242" s="22"/>
    </row>
    <row r="243" spans="1:4" ht="12.75" customHeight="1">
      <c r="A243" s="22"/>
      <c r="B243" s="22"/>
      <c r="C243" s="22"/>
      <c r="D243" s="22"/>
    </row>
    <row r="244" spans="1:4" ht="12.75" customHeight="1">
      <c r="A244" s="22"/>
      <c r="B244" s="22"/>
      <c r="C244" s="22"/>
      <c r="D244" s="22"/>
    </row>
    <row r="245" spans="1:4" ht="12.75" customHeight="1">
      <c r="A245" s="22"/>
      <c r="B245" s="22"/>
      <c r="C245" s="22"/>
      <c r="D245" s="22"/>
    </row>
    <row r="246" spans="1:4" ht="12.75" customHeight="1">
      <c r="A246" s="22"/>
      <c r="B246" s="22"/>
      <c r="C246" s="22"/>
      <c r="D246" s="22"/>
    </row>
    <row r="247" spans="1:4" ht="12.75" customHeight="1">
      <c r="A247" s="22"/>
      <c r="B247" s="22"/>
      <c r="C247" s="22"/>
      <c r="D247" s="22"/>
    </row>
    <row r="248" spans="1:4" ht="12.75" customHeight="1">
      <c r="A248" s="22"/>
      <c r="B248" s="22"/>
      <c r="C248" s="22"/>
      <c r="D248" s="22"/>
    </row>
    <row r="249" spans="1:4" ht="12.75" customHeight="1">
      <c r="A249" s="22"/>
      <c r="B249" s="22"/>
      <c r="C249" s="22"/>
      <c r="D249" s="22"/>
    </row>
    <row r="250" spans="1:4" ht="12.75" customHeight="1">
      <c r="A250" s="22"/>
      <c r="B250" s="22"/>
      <c r="C250" s="22"/>
      <c r="D250" s="22"/>
    </row>
    <row r="251" spans="1:4" ht="12.75" customHeight="1">
      <c r="A251" s="22"/>
      <c r="B251" s="22"/>
      <c r="C251" s="22"/>
      <c r="D251" s="22"/>
    </row>
    <row r="252" spans="1:4" ht="12.75" customHeight="1">
      <c r="A252" s="22"/>
      <c r="B252" s="22"/>
      <c r="C252" s="22"/>
      <c r="D252" s="22"/>
    </row>
    <row r="253" spans="1:4" ht="12.75" customHeight="1">
      <c r="A253" s="22"/>
      <c r="B253" s="22"/>
      <c r="C253" s="22"/>
      <c r="D253" s="22"/>
    </row>
    <row r="254" spans="1:4" ht="12.75" customHeight="1">
      <c r="A254" s="22"/>
      <c r="B254" s="22"/>
      <c r="C254" s="22"/>
      <c r="D254" s="22"/>
    </row>
    <row r="255" spans="1:4" ht="12.75" customHeight="1">
      <c r="A255" s="22"/>
      <c r="B255" s="22"/>
      <c r="C255" s="22"/>
      <c r="D255" s="22"/>
    </row>
    <row r="256" spans="1:4" ht="12.75" customHeight="1">
      <c r="A256" s="22"/>
      <c r="B256" s="22"/>
      <c r="C256" s="22"/>
      <c r="D256" s="22"/>
    </row>
    <row r="257" spans="1:4" ht="12.75" customHeight="1">
      <c r="A257" s="22"/>
      <c r="B257" s="22"/>
      <c r="C257" s="22"/>
      <c r="D257" s="22"/>
    </row>
    <row r="258" spans="1:4" ht="12.75" customHeight="1">
      <c r="A258" s="22"/>
      <c r="B258" s="22"/>
      <c r="C258" s="22"/>
      <c r="D258" s="22"/>
    </row>
    <row r="259" spans="1:4" ht="12.75" customHeight="1">
      <c r="A259" s="22"/>
      <c r="B259" s="22"/>
      <c r="C259" s="22"/>
      <c r="D259" s="22"/>
    </row>
    <row r="260" spans="1:4" ht="12.75" customHeight="1">
      <c r="A260" s="22"/>
      <c r="B260" s="22"/>
      <c r="C260" s="22"/>
      <c r="D260" s="22"/>
    </row>
    <row r="261" spans="1:4" ht="12.75" customHeight="1">
      <c r="A261" s="22"/>
      <c r="B261" s="22"/>
      <c r="C261" s="22"/>
      <c r="D261" s="22"/>
    </row>
    <row r="262" spans="1:4" ht="12.75" customHeight="1">
      <c r="A262" s="22"/>
      <c r="B262" s="22"/>
      <c r="C262" s="22"/>
      <c r="D262" s="22"/>
    </row>
    <row r="263" spans="1:4" ht="12.75" customHeight="1">
      <c r="A263" s="22"/>
      <c r="B263" s="22"/>
      <c r="C263" s="22"/>
      <c r="D263" s="22"/>
    </row>
    <row r="264" spans="1:4" ht="12.75" customHeight="1">
      <c r="A264" s="22"/>
      <c r="B264" s="22"/>
      <c r="C264" s="22"/>
      <c r="D264" s="22"/>
    </row>
    <row r="265" spans="1:4" ht="12.75" customHeight="1">
      <c r="A265" s="22"/>
      <c r="B265" s="22"/>
      <c r="C265" s="22"/>
      <c r="D265" s="22"/>
    </row>
    <row r="266" spans="1:4" ht="12.75" customHeight="1">
      <c r="A266" s="22"/>
      <c r="B266" s="22"/>
      <c r="C266" s="22"/>
      <c r="D266" s="22"/>
    </row>
    <row r="267" spans="1:4" ht="12.75" customHeight="1">
      <c r="A267" s="22"/>
      <c r="B267" s="22"/>
      <c r="C267" s="22"/>
      <c r="D267" s="22"/>
    </row>
    <row r="268" spans="1:4" ht="12.75" customHeight="1">
      <c r="A268" s="22"/>
      <c r="B268" s="22"/>
      <c r="C268" s="22"/>
      <c r="D268" s="22"/>
    </row>
    <row r="269" spans="1:4" ht="12.75" customHeight="1">
      <c r="A269" s="22"/>
      <c r="B269" s="22"/>
      <c r="C269" s="22"/>
      <c r="D269" s="22"/>
    </row>
    <row r="270" spans="1:4" ht="12.75" customHeight="1">
      <c r="A270" s="22"/>
      <c r="B270" s="22"/>
      <c r="C270" s="22"/>
      <c r="D270" s="22"/>
    </row>
    <row r="271" spans="1:4" ht="12.75" customHeight="1">
      <c r="A271" s="22"/>
      <c r="B271" s="22"/>
      <c r="C271" s="22"/>
      <c r="D271" s="22"/>
    </row>
    <row r="272" spans="1:4" ht="12.75" customHeight="1">
      <c r="A272" s="22"/>
      <c r="B272" s="22"/>
      <c r="C272" s="22"/>
      <c r="D272" s="22"/>
    </row>
    <row r="273" spans="1:4" ht="12.75" customHeight="1">
      <c r="A273" s="22"/>
      <c r="B273" s="22"/>
      <c r="C273" s="22"/>
      <c r="D273" s="22"/>
    </row>
    <row r="274" spans="1:4" ht="12.75" customHeight="1">
      <c r="A274" s="22"/>
      <c r="B274" s="22"/>
      <c r="C274" s="22"/>
      <c r="D274" s="22"/>
    </row>
    <row r="275" spans="1:4" ht="12.75" customHeight="1">
      <c r="A275" s="22"/>
      <c r="B275" s="22"/>
      <c r="C275" s="22"/>
      <c r="D275" s="22"/>
    </row>
    <row r="276" spans="1:4" ht="12.75" customHeight="1">
      <c r="A276" s="22"/>
      <c r="B276" s="22"/>
      <c r="C276" s="22"/>
      <c r="D276" s="22"/>
    </row>
    <row r="277" spans="1:4" ht="12.75" customHeight="1">
      <c r="A277" s="22"/>
      <c r="B277" s="22"/>
      <c r="C277" s="22"/>
      <c r="D277" s="22"/>
    </row>
    <row r="278" spans="1:4" ht="12.75" customHeight="1">
      <c r="A278" s="22"/>
      <c r="B278" s="22"/>
      <c r="C278" s="22"/>
      <c r="D278" s="22"/>
    </row>
    <row r="279" spans="1:4" ht="12.75" customHeight="1">
      <c r="A279" s="22"/>
      <c r="B279" s="22"/>
      <c r="C279" s="22"/>
      <c r="D279" s="22"/>
    </row>
    <row r="280" spans="1:4" ht="12.75" customHeight="1">
      <c r="A280" s="22"/>
      <c r="B280" s="22"/>
      <c r="C280" s="22"/>
      <c r="D280" s="22"/>
    </row>
    <row r="281" spans="1:4" ht="12.75" customHeight="1">
      <c r="A281" s="22"/>
      <c r="B281" s="22"/>
      <c r="C281" s="22"/>
      <c r="D281" s="22"/>
    </row>
    <row r="282" spans="1:4" ht="12.75" customHeight="1">
      <c r="A282" s="22"/>
      <c r="B282" s="22"/>
      <c r="C282" s="22"/>
      <c r="D282" s="22"/>
    </row>
    <row r="283" spans="1:4" ht="12.75" customHeight="1">
      <c r="A283" s="22"/>
      <c r="B283" s="22"/>
      <c r="C283" s="22"/>
      <c r="D283" s="22"/>
    </row>
    <row r="284" spans="1:4" ht="12.75" customHeight="1">
      <c r="A284" s="22"/>
      <c r="B284" s="22"/>
      <c r="C284" s="22"/>
      <c r="D284" s="22"/>
    </row>
    <row r="285" spans="1:4" ht="12.75" customHeight="1">
      <c r="A285" s="22"/>
      <c r="B285" s="22"/>
      <c r="C285" s="22"/>
      <c r="D285" s="22"/>
    </row>
    <row r="286" spans="1:4" ht="12.75" customHeight="1">
      <c r="A286" s="22"/>
      <c r="B286" s="22"/>
      <c r="C286" s="22"/>
      <c r="D286" s="22"/>
    </row>
    <row r="287" spans="1:4" ht="12.75" customHeight="1">
      <c r="A287" s="22"/>
      <c r="B287" s="22"/>
      <c r="C287" s="22"/>
      <c r="D287" s="22"/>
    </row>
    <row r="288" spans="1:4" ht="12.75" customHeight="1">
      <c r="A288" s="22"/>
      <c r="B288" s="22"/>
      <c r="C288" s="22"/>
      <c r="D288" s="22"/>
    </row>
    <row r="289" spans="1:4" ht="12.75" customHeight="1">
      <c r="A289" s="22"/>
      <c r="B289" s="22"/>
      <c r="C289" s="22"/>
      <c r="D289" s="22"/>
    </row>
    <row r="290" spans="1:4" ht="12.75" customHeight="1">
      <c r="A290" s="22"/>
      <c r="B290" s="22"/>
      <c r="C290" s="22"/>
      <c r="D290" s="22"/>
    </row>
    <row r="291" spans="1:4" ht="12.75" customHeight="1">
      <c r="A291" s="22"/>
      <c r="B291" s="22"/>
      <c r="C291" s="22"/>
      <c r="D291" s="22"/>
    </row>
    <row r="292" spans="1:4" ht="12.75" customHeight="1">
      <c r="A292" s="22"/>
      <c r="B292" s="22"/>
      <c r="C292" s="22"/>
      <c r="D292" s="22"/>
    </row>
    <row r="293" spans="1:4" ht="12.75" customHeight="1">
      <c r="A293" s="22"/>
      <c r="B293" s="22"/>
      <c r="C293" s="22"/>
      <c r="D293" s="22"/>
    </row>
    <row r="294" spans="1:4" ht="12.75" customHeight="1">
      <c r="A294" s="22"/>
      <c r="B294" s="22"/>
      <c r="C294" s="22"/>
      <c r="D294" s="22"/>
    </row>
    <row r="295" spans="1:4" ht="12.75" customHeight="1">
      <c r="A295" s="22"/>
      <c r="B295" s="22"/>
      <c r="C295" s="22"/>
      <c r="D295" s="22"/>
    </row>
    <row r="296" spans="1:4" ht="12.75" customHeight="1">
      <c r="A296" s="22"/>
      <c r="B296" s="22"/>
      <c r="C296" s="22"/>
      <c r="D296" s="22"/>
    </row>
    <row r="297" spans="1:4" ht="12.75" customHeight="1">
      <c r="A297" s="22"/>
      <c r="B297" s="22"/>
      <c r="C297" s="22"/>
      <c r="D297" s="22"/>
    </row>
    <row r="298" spans="1:4" ht="12.75" customHeight="1">
      <c r="A298" s="22"/>
      <c r="B298" s="22"/>
      <c r="C298" s="22"/>
      <c r="D298" s="22"/>
    </row>
    <row r="299" spans="1:4" ht="12.75" customHeight="1">
      <c r="A299" s="22"/>
      <c r="B299" s="22"/>
      <c r="C299" s="22"/>
      <c r="D299" s="22"/>
    </row>
    <row r="300" spans="1:4" ht="12.75" customHeight="1">
      <c r="A300" s="22"/>
      <c r="B300" s="22"/>
      <c r="C300" s="22"/>
      <c r="D300" s="22"/>
    </row>
    <row r="301" spans="1:4" ht="12.75" customHeight="1">
      <c r="A301" s="22"/>
      <c r="B301" s="22"/>
      <c r="C301" s="22"/>
      <c r="D301" s="22"/>
    </row>
    <row r="302" spans="1:4" ht="12.75" customHeight="1">
      <c r="A302" s="22"/>
      <c r="B302" s="22"/>
      <c r="C302" s="22"/>
      <c r="D302" s="22"/>
    </row>
    <row r="303" spans="1:4" ht="12.75" customHeight="1">
      <c r="A303" s="22"/>
      <c r="B303" s="22"/>
      <c r="C303" s="22"/>
      <c r="D303" s="22"/>
    </row>
    <row r="304" spans="1:4" ht="12.75" customHeight="1">
      <c r="A304" s="22"/>
      <c r="B304" s="22"/>
      <c r="C304" s="22"/>
      <c r="D304" s="22"/>
    </row>
    <row r="305" spans="1:4" ht="12.75" customHeight="1">
      <c r="A305" s="22"/>
      <c r="B305" s="22"/>
      <c r="C305" s="22"/>
      <c r="D305" s="22"/>
    </row>
    <row r="306" spans="1:4" ht="12.75" customHeight="1">
      <c r="A306" s="22"/>
      <c r="B306" s="22"/>
      <c r="C306" s="22"/>
      <c r="D306" s="22"/>
    </row>
    <row r="307" spans="1:4" ht="12.75" customHeight="1">
      <c r="A307" s="22"/>
      <c r="B307" s="22"/>
      <c r="C307" s="22"/>
      <c r="D307" s="22"/>
    </row>
    <row r="308" spans="1:4" ht="12.75" customHeight="1">
      <c r="A308" s="22"/>
      <c r="B308" s="22"/>
      <c r="C308" s="22"/>
      <c r="D308" s="22"/>
    </row>
    <row r="309" spans="1:4" ht="12.75" customHeight="1">
      <c r="A309" s="22"/>
      <c r="B309" s="22"/>
      <c r="C309" s="22"/>
      <c r="D309" s="22"/>
    </row>
    <row r="310" spans="1:4" ht="12.75" customHeight="1">
      <c r="A310" s="22"/>
      <c r="B310" s="22"/>
      <c r="C310" s="22"/>
      <c r="D310" s="22"/>
    </row>
    <row r="311" spans="1:4" ht="12.75" customHeight="1">
      <c r="A311" s="22"/>
      <c r="B311" s="22"/>
      <c r="C311" s="22"/>
      <c r="D311" s="22"/>
    </row>
    <row r="312" spans="1:4" ht="12.75" customHeight="1">
      <c r="A312" s="22"/>
      <c r="B312" s="22"/>
      <c r="C312" s="22"/>
      <c r="D312" s="22"/>
    </row>
    <row r="313" spans="1:4" ht="12.75" customHeight="1">
      <c r="A313" s="22"/>
      <c r="B313" s="22"/>
      <c r="C313" s="22"/>
      <c r="D313" s="22"/>
    </row>
    <row r="314" spans="1:4" ht="12.75" customHeight="1">
      <c r="A314" s="22"/>
      <c r="B314" s="22"/>
      <c r="C314" s="22"/>
      <c r="D314" s="22"/>
    </row>
    <row r="315" spans="1:4" ht="12.75" customHeight="1">
      <c r="A315" s="22"/>
      <c r="B315" s="22"/>
      <c r="C315" s="22"/>
      <c r="D315" s="22"/>
    </row>
    <row r="316" spans="1:4" ht="12.75" customHeight="1">
      <c r="A316" s="22"/>
      <c r="B316" s="22"/>
      <c r="C316" s="22"/>
      <c r="D316" s="22"/>
    </row>
    <row r="317" spans="1:4" ht="12.75" customHeight="1">
      <c r="A317" s="22"/>
      <c r="B317" s="22"/>
      <c r="C317" s="22"/>
      <c r="D317" s="22"/>
    </row>
    <row r="318" spans="1:4" ht="12.75" customHeight="1">
      <c r="A318" s="22"/>
      <c r="B318" s="22"/>
      <c r="C318" s="22"/>
      <c r="D318" s="22"/>
    </row>
    <row r="319" spans="1:4" ht="12.75" customHeight="1">
      <c r="A319" s="22"/>
      <c r="B319" s="22"/>
      <c r="C319" s="22"/>
      <c r="D319" s="22"/>
    </row>
    <row r="320" spans="1:4" ht="12.75" customHeight="1">
      <c r="A320" s="22"/>
      <c r="B320" s="22"/>
      <c r="C320" s="22"/>
      <c r="D320" s="22"/>
    </row>
    <row r="321" spans="1:4" ht="12.75" customHeight="1">
      <c r="A321" s="22"/>
      <c r="B321" s="22"/>
      <c r="C321" s="22"/>
      <c r="D321" s="22"/>
    </row>
    <row r="322" spans="1:4" ht="12.75" customHeight="1">
      <c r="A322" s="22"/>
      <c r="B322" s="22"/>
      <c r="C322" s="22"/>
      <c r="D322" s="22"/>
    </row>
    <row r="323" spans="1:4" ht="12.75" customHeight="1">
      <c r="A323" s="22"/>
      <c r="B323" s="22"/>
      <c r="C323" s="22"/>
      <c r="D323" s="22"/>
    </row>
    <row r="324" spans="1:4" ht="12.75" customHeight="1">
      <c r="A324" s="22"/>
      <c r="B324" s="22"/>
      <c r="C324" s="22"/>
      <c r="D324" s="22"/>
    </row>
    <row r="325" spans="1:4" ht="12.75" customHeight="1">
      <c r="A325" s="22"/>
      <c r="B325" s="22"/>
      <c r="C325" s="22"/>
      <c r="D325" s="22"/>
    </row>
    <row r="326" spans="1:4" ht="12.75" customHeight="1">
      <c r="A326" s="22"/>
      <c r="B326" s="22"/>
      <c r="C326" s="22"/>
      <c r="D326" s="22"/>
    </row>
    <row r="327" spans="1:4" ht="12.75" customHeight="1">
      <c r="A327" s="22"/>
      <c r="B327" s="22"/>
      <c r="C327" s="22"/>
      <c r="D327" s="22"/>
    </row>
    <row r="328" spans="1:4" ht="12.75" customHeight="1">
      <c r="A328" s="22"/>
      <c r="B328" s="22"/>
      <c r="C328" s="22"/>
      <c r="D328" s="22"/>
    </row>
    <row r="329" spans="1:4" ht="12.75" customHeight="1">
      <c r="A329" s="22"/>
      <c r="B329" s="22"/>
      <c r="C329" s="22"/>
      <c r="D329" s="22"/>
    </row>
    <row r="330" spans="1:4" ht="12.75" customHeight="1">
      <c r="A330" s="22"/>
      <c r="B330" s="22"/>
      <c r="C330" s="22"/>
      <c r="D330" s="22"/>
    </row>
    <row r="331" spans="1:4" ht="12.75" customHeight="1">
      <c r="A331" s="22"/>
      <c r="B331" s="22"/>
      <c r="C331" s="22"/>
      <c r="D331" s="22"/>
    </row>
    <row r="332" spans="1:4" ht="12.75" customHeight="1">
      <c r="A332" s="22"/>
      <c r="B332" s="22"/>
      <c r="C332" s="22"/>
      <c r="D332" s="22"/>
    </row>
    <row r="333" spans="1:4" ht="12.75" customHeight="1">
      <c r="A333" s="22"/>
      <c r="B333" s="22"/>
      <c r="C333" s="22"/>
      <c r="D333" s="22"/>
    </row>
    <row r="334" spans="1:4" ht="12.75" customHeight="1">
      <c r="A334" s="22"/>
      <c r="B334" s="22"/>
      <c r="C334" s="22"/>
      <c r="D334" s="22"/>
    </row>
    <row r="335" spans="1:4" ht="12.75" customHeight="1">
      <c r="A335" s="22"/>
      <c r="B335" s="22"/>
      <c r="C335" s="22"/>
      <c r="D335" s="22"/>
    </row>
    <row r="336" spans="1:4" ht="12.75" customHeight="1">
      <c r="A336" s="22"/>
      <c r="B336" s="22"/>
      <c r="C336" s="22"/>
      <c r="D336" s="22"/>
    </row>
    <row r="337" spans="1:4" ht="12.75" customHeight="1">
      <c r="A337" s="22"/>
      <c r="B337" s="22"/>
      <c r="C337" s="22"/>
      <c r="D337" s="22"/>
    </row>
    <row r="338" spans="1:4" ht="12.75" customHeight="1">
      <c r="A338" s="22"/>
      <c r="B338" s="22"/>
      <c r="C338" s="22"/>
      <c r="D338" s="22"/>
    </row>
    <row r="339" spans="1:4" ht="12.75" customHeight="1">
      <c r="A339" s="22"/>
      <c r="B339" s="22"/>
      <c r="C339" s="22"/>
      <c r="D339" s="22"/>
    </row>
    <row r="340" spans="1:4" ht="12.75" customHeight="1">
      <c r="A340" s="22"/>
      <c r="B340" s="22"/>
      <c r="C340" s="22"/>
      <c r="D340" s="22"/>
    </row>
    <row r="341" spans="1:4" ht="12.75" customHeight="1">
      <c r="A341" s="22"/>
      <c r="B341" s="22"/>
      <c r="C341" s="22"/>
      <c r="D341" s="22"/>
    </row>
    <row r="342" spans="1:4" ht="12.75" customHeight="1">
      <c r="A342" s="22"/>
      <c r="B342" s="22"/>
      <c r="C342" s="22"/>
      <c r="D342" s="22"/>
    </row>
    <row r="343" spans="1:4" ht="12.75" customHeight="1">
      <c r="A343" s="22"/>
      <c r="B343" s="22"/>
      <c r="C343" s="22"/>
      <c r="D343" s="22"/>
    </row>
    <row r="344" spans="1:4" ht="12.75" customHeight="1">
      <c r="A344" s="22"/>
      <c r="B344" s="22"/>
      <c r="C344" s="22"/>
      <c r="D344" s="22"/>
    </row>
    <row r="345" spans="1:4" ht="12.75" customHeight="1">
      <c r="A345" s="22"/>
      <c r="B345" s="22"/>
      <c r="C345" s="22"/>
      <c r="D345" s="22"/>
    </row>
    <row r="346" spans="1:4" ht="12.75" customHeight="1">
      <c r="A346" s="22"/>
      <c r="B346" s="22"/>
      <c r="C346" s="22"/>
      <c r="D346" s="22"/>
    </row>
    <row r="347" spans="1:4" ht="12.75" customHeight="1">
      <c r="A347" s="22"/>
      <c r="B347" s="22"/>
      <c r="C347" s="22"/>
      <c r="D347" s="22"/>
    </row>
    <row r="348" spans="1:4" ht="12.75" customHeight="1">
      <c r="A348" s="22"/>
      <c r="B348" s="22"/>
      <c r="C348" s="22"/>
      <c r="D348" s="22"/>
    </row>
    <row r="349" spans="1:4" ht="12.75" customHeight="1">
      <c r="A349" s="22"/>
      <c r="B349" s="22"/>
      <c r="C349" s="22"/>
      <c r="D349" s="22"/>
    </row>
    <row r="350" spans="1:4" ht="12.75" customHeight="1">
      <c r="A350" s="22"/>
      <c r="B350" s="22"/>
      <c r="C350" s="22"/>
      <c r="D350" s="22"/>
    </row>
    <row r="351" spans="1:4" ht="12.75" customHeight="1">
      <c r="A351" s="22"/>
      <c r="B351" s="22"/>
      <c r="C351" s="22"/>
      <c r="D351" s="22"/>
    </row>
    <row r="352" spans="1:4" ht="12.75" customHeight="1">
      <c r="A352" s="22"/>
      <c r="B352" s="22"/>
      <c r="C352" s="22"/>
      <c r="D352" s="22"/>
    </row>
    <row r="353" spans="1:4" ht="12.75" customHeight="1">
      <c r="A353" s="22"/>
      <c r="B353" s="22"/>
      <c r="C353" s="22"/>
      <c r="D353" s="22"/>
    </row>
    <row r="354" spans="1:4" ht="12.75" customHeight="1">
      <c r="A354" s="22"/>
      <c r="B354" s="22"/>
      <c r="C354" s="22"/>
      <c r="D354" s="22"/>
    </row>
    <row r="355" spans="1:4" ht="12.75" customHeight="1">
      <c r="A355" s="22"/>
      <c r="B355" s="22"/>
      <c r="C355" s="22"/>
      <c r="D355" s="22"/>
    </row>
    <row r="356" spans="1:4" ht="12.75" customHeight="1">
      <c r="A356" s="22"/>
      <c r="B356" s="22"/>
      <c r="C356" s="22"/>
      <c r="D356" s="22"/>
    </row>
    <row r="357" spans="1:4" ht="12.75" customHeight="1">
      <c r="A357" s="22"/>
      <c r="B357" s="22"/>
      <c r="C357" s="22"/>
      <c r="D357" s="22"/>
    </row>
    <row r="358" spans="1:4" ht="12.75" customHeight="1">
      <c r="A358" s="22"/>
      <c r="B358" s="22"/>
      <c r="C358" s="22"/>
      <c r="D358" s="22"/>
    </row>
    <row r="359" spans="1:4" ht="12.75" customHeight="1">
      <c r="A359" s="22"/>
      <c r="B359" s="22"/>
      <c r="C359" s="22"/>
      <c r="D359" s="22"/>
    </row>
    <row r="360" spans="1:4" ht="12.75" customHeight="1">
      <c r="A360" s="22"/>
      <c r="B360" s="22"/>
      <c r="C360" s="22"/>
      <c r="D360" s="22"/>
    </row>
    <row r="361" spans="1:4" ht="12.75" customHeight="1">
      <c r="A361" s="22"/>
      <c r="B361" s="22"/>
      <c r="C361" s="22"/>
      <c r="D361" s="22"/>
    </row>
    <row r="362" spans="1:4" ht="12.75" customHeight="1">
      <c r="A362" s="22"/>
      <c r="B362" s="22"/>
      <c r="C362" s="22"/>
      <c r="D362" s="22"/>
    </row>
    <row r="363" spans="1:4" ht="12.75" customHeight="1">
      <c r="A363" s="22"/>
      <c r="B363" s="22"/>
      <c r="C363" s="22"/>
      <c r="D363" s="22"/>
    </row>
    <row r="364" spans="1:4" ht="12.75" customHeight="1">
      <c r="A364" s="22"/>
      <c r="B364" s="22"/>
      <c r="C364" s="22"/>
      <c r="D364" s="22"/>
    </row>
    <row r="365" spans="1:4" ht="12.75" customHeight="1">
      <c r="A365" s="22"/>
      <c r="B365" s="22"/>
      <c r="C365" s="22"/>
      <c r="D365" s="22"/>
    </row>
    <row r="366" spans="1:4" ht="12.75" customHeight="1">
      <c r="A366" s="22"/>
      <c r="B366" s="22"/>
      <c r="C366" s="22"/>
      <c r="D366" s="22"/>
    </row>
    <row r="367" spans="1:4" ht="12.75" customHeight="1">
      <c r="A367" s="22"/>
      <c r="B367" s="22"/>
      <c r="C367" s="22"/>
      <c r="D367" s="22"/>
    </row>
    <row r="368" spans="1:4" ht="12.75" customHeight="1">
      <c r="A368" s="22"/>
      <c r="B368" s="22"/>
      <c r="C368" s="22"/>
      <c r="D368" s="22"/>
    </row>
    <row r="369" spans="1:4" ht="12.75" customHeight="1">
      <c r="A369" s="22"/>
      <c r="B369" s="22"/>
      <c r="C369" s="22"/>
      <c r="D369" s="22"/>
    </row>
    <row r="370" spans="1:4" ht="12.75" customHeight="1">
      <c r="A370" s="22"/>
      <c r="B370" s="22"/>
      <c r="C370" s="22"/>
      <c r="D370" s="22"/>
    </row>
    <row r="371" spans="1:4" ht="12.75" customHeight="1">
      <c r="A371" s="22"/>
      <c r="B371" s="22"/>
      <c r="C371" s="22"/>
      <c r="D371" s="22"/>
    </row>
    <row r="372" spans="1:4" ht="12.75" customHeight="1">
      <c r="A372" s="22"/>
      <c r="B372" s="22"/>
      <c r="C372" s="22"/>
      <c r="D372" s="22"/>
    </row>
    <row r="373" spans="1:4" ht="12.75" customHeight="1">
      <c r="A373" s="22"/>
      <c r="B373" s="22"/>
      <c r="C373" s="22"/>
      <c r="D373" s="22"/>
    </row>
    <row r="374" spans="1:4" ht="12.75" customHeight="1">
      <c r="A374" s="22"/>
      <c r="B374" s="22"/>
      <c r="C374" s="22"/>
      <c r="D374" s="22"/>
    </row>
    <row r="375" spans="1:4" ht="12.75" customHeight="1">
      <c r="A375" s="22"/>
      <c r="B375" s="22"/>
      <c r="C375" s="22"/>
      <c r="D375" s="22"/>
    </row>
    <row r="376" spans="1:4" ht="12.75" customHeight="1">
      <c r="A376" s="22"/>
      <c r="B376" s="22"/>
      <c r="C376" s="22"/>
      <c r="D376" s="22"/>
    </row>
    <row r="377" spans="1:4" ht="12.75" customHeight="1">
      <c r="A377" s="22"/>
      <c r="B377" s="22"/>
      <c r="C377" s="22"/>
      <c r="D377" s="22"/>
    </row>
    <row r="378" spans="1:4" ht="12.75" customHeight="1">
      <c r="A378" s="22"/>
      <c r="B378" s="22"/>
      <c r="C378" s="22"/>
      <c r="D378" s="22"/>
    </row>
    <row r="379" spans="1:4" ht="12.75" customHeight="1">
      <c r="A379" s="22"/>
      <c r="B379" s="22"/>
      <c r="C379" s="22"/>
      <c r="D379" s="22"/>
    </row>
    <row r="380" spans="1:4" ht="12.75" customHeight="1">
      <c r="A380" s="22"/>
      <c r="B380" s="22"/>
      <c r="C380" s="22"/>
      <c r="D380" s="22"/>
    </row>
    <row r="381" spans="1:4" ht="12.75" customHeight="1">
      <c r="A381" s="22"/>
      <c r="B381" s="22"/>
      <c r="C381" s="22"/>
      <c r="D381" s="22"/>
    </row>
    <row r="382" spans="1:4" ht="12.75" customHeight="1">
      <c r="A382" s="22"/>
      <c r="B382" s="22"/>
      <c r="C382" s="22"/>
      <c r="D382" s="22"/>
    </row>
    <row r="383" spans="1:4" ht="12.75" customHeight="1">
      <c r="A383" s="22"/>
      <c r="B383" s="22"/>
      <c r="C383" s="22"/>
      <c r="D383" s="22"/>
    </row>
    <row r="384" spans="1:4" ht="12.75" customHeight="1">
      <c r="A384" s="22"/>
      <c r="B384" s="22"/>
      <c r="C384" s="22"/>
      <c r="D384" s="22"/>
    </row>
    <row r="385" spans="1:4" ht="12.75" customHeight="1">
      <c r="A385" s="22"/>
      <c r="B385" s="22"/>
      <c r="C385" s="22"/>
      <c r="D385" s="22"/>
    </row>
    <row r="386" spans="1:4" ht="12.75" customHeight="1">
      <c r="A386" s="22"/>
      <c r="B386" s="22"/>
      <c r="C386" s="22"/>
      <c r="D386" s="22"/>
    </row>
    <row r="387" spans="1:4" ht="12.75" customHeight="1">
      <c r="A387" s="22"/>
      <c r="B387" s="22"/>
      <c r="C387" s="22"/>
      <c r="D387" s="22"/>
    </row>
    <row r="388" spans="1:4" ht="12.75" customHeight="1">
      <c r="A388" s="22"/>
      <c r="B388" s="22"/>
      <c r="C388" s="22"/>
      <c r="D388" s="22"/>
    </row>
    <row r="389" spans="1:4" ht="12.75" customHeight="1">
      <c r="A389" s="22"/>
      <c r="B389" s="22"/>
      <c r="C389" s="22"/>
      <c r="D389" s="22"/>
    </row>
    <row r="390" spans="1:4" ht="12.75" customHeight="1">
      <c r="A390" s="22"/>
      <c r="B390" s="22"/>
      <c r="C390" s="22"/>
      <c r="D390" s="22"/>
    </row>
    <row r="391" spans="1:4" ht="12.75" customHeight="1">
      <c r="A391" s="22"/>
      <c r="B391" s="22"/>
      <c r="C391" s="22"/>
      <c r="D391" s="22"/>
    </row>
    <row r="392" spans="1:4" ht="12.75" customHeight="1">
      <c r="A392" s="22"/>
      <c r="B392" s="22"/>
      <c r="C392" s="22"/>
      <c r="D392" s="22"/>
    </row>
    <row r="393" spans="1:4" ht="12.75" customHeight="1">
      <c r="A393" s="22"/>
      <c r="B393" s="22"/>
      <c r="C393" s="22"/>
      <c r="D393" s="22"/>
    </row>
    <row r="394" spans="1:4" ht="12.75" customHeight="1">
      <c r="A394" s="22"/>
      <c r="B394" s="22"/>
      <c r="C394" s="22"/>
      <c r="D394" s="22"/>
    </row>
    <row r="395" spans="1:4" ht="12.75" customHeight="1">
      <c r="A395" s="22"/>
      <c r="B395" s="22"/>
      <c r="C395" s="22"/>
      <c r="D395" s="22"/>
    </row>
    <row r="396" spans="1:4" ht="12.75" customHeight="1">
      <c r="A396" s="22"/>
      <c r="B396" s="22"/>
      <c r="C396" s="22"/>
      <c r="D396" s="22"/>
    </row>
    <row r="397" spans="1:4" ht="12.75" customHeight="1">
      <c r="A397" s="22"/>
      <c r="B397" s="22"/>
      <c r="C397" s="22"/>
      <c r="D397" s="22"/>
    </row>
    <row r="398" spans="1:4" ht="12.75" customHeight="1">
      <c r="A398" s="22"/>
      <c r="B398" s="22"/>
      <c r="C398" s="22"/>
      <c r="D398" s="22"/>
    </row>
    <row r="399" spans="1:4" ht="12.75" customHeight="1">
      <c r="A399" s="22"/>
      <c r="B399" s="22"/>
      <c r="C399" s="22"/>
      <c r="D399" s="22"/>
    </row>
    <row r="400" spans="1:4" ht="12.75" customHeight="1">
      <c r="A400" s="22"/>
      <c r="B400" s="22"/>
      <c r="C400" s="22"/>
      <c r="D400" s="22"/>
    </row>
    <row r="401" spans="1:4" ht="12.75" customHeight="1">
      <c r="A401" s="22"/>
      <c r="B401" s="22"/>
      <c r="C401" s="22"/>
      <c r="D401" s="22"/>
    </row>
    <row r="402" spans="1:4" ht="12.75" customHeight="1">
      <c r="A402" s="22"/>
      <c r="B402" s="22"/>
      <c r="C402" s="22"/>
      <c r="D402" s="22"/>
    </row>
    <row r="403" spans="1:4" ht="12.75" customHeight="1">
      <c r="A403" s="22"/>
      <c r="B403" s="22"/>
      <c r="C403" s="22"/>
      <c r="D403" s="22"/>
    </row>
    <row r="404" spans="1:4" ht="12.75" customHeight="1">
      <c r="A404" s="22"/>
      <c r="B404" s="22"/>
      <c r="C404" s="22"/>
      <c r="D404" s="22"/>
    </row>
    <row r="405" spans="1:4" ht="12.75" customHeight="1">
      <c r="A405" s="22"/>
      <c r="B405" s="22"/>
      <c r="C405" s="22"/>
      <c r="D405" s="22"/>
    </row>
    <row r="406" spans="1:4" ht="12.75" customHeight="1">
      <c r="A406" s="22"/>
      <c r="B406" s="22"/>
      <c r="C406" s="22"/>
      <c r="D406" s="22"/>
    </row>
    <row r="407" spans="1:4" ht="12.75" customHeight="1">
      <c r="A407" s="22"/>
      <c r="B407" s="22"/>
      <c r="C407" s="22"/>
      <c r="D407" s="22"/>
    </row>
    <row r="408" spans="1:4" ht="12.75" customHeight="1">
      <c r="A408" s="22"/>
      <c r="B408" s="22"/>
      <c r="C408" s="22"/>
      <c r="D408" s="22"/>
    </row>
    <row r="409" spans="1:4" ht="12.75" customHeight="1">
      <c r="A409" s="22"/>
      <c r="B409" s="22"/>
      <c r="C409" s="22"/>
      <c r="D409" s="22"/>
    </row>
    <row r="410" spans="1:4" ht="12.75" customHeight="1">
      <c r="A410" s="22"/>
      <c r="B410" s="22"/>
      <c r="C410" s="22"/>
      <c r="D410" s="22"/>
    </row>
    <row r="411" spans="1:4" ht="12.75" customHeight="1">
      <c r="A411" s="22"/>
      <c r="B411" s="22"/>
      <c r="C411" s="22"/>
      <c r="D411" s="22"/>
    </row>
    <row r="412" spans="1:4" ht="12.75" customHeight="1">
      <c r="A412" s="22"/>
      <c r="B412" s="22"/>
      <c r="C412" s="22"/>
      <c r="D412" s="22"/>
    </row>
    <row r="413" spans="1:4" ht="12.75" customHeight="1">
      <c r="A413" s="22"/>
      <c r="B413" s="22"/>
      <c r="C413" s="22"/>
      <c r="D413" s="22"/>
    </row>
    <row r="414" spans="1:4" ht="12.75" customHeight="1">
      <c r="A414" s="22"/>
      <c r="B414" s="22"/>
      <c r="C414" s="22"/>
      <c r="D414" s="22"/>
    </row>
    <row r="415" spans="1:4" ht="12.75" customHeight="1">
      <c r="A415" s="22"/>
      <c r="B415" s="22"/>
      <c r="C415" s="22"/>
      <c r="D415" s="22"/>
    </row>
    <row r="416" spans="1:4" ht="12.75" customHeight="1">
      <c r="A416" s="22"/>
      <c r="B416" s="22"/>
      <c r="C416" s="22"/>
      <c r="D416" s="22"/>
    </row>
    <row r="417" spans="1:4" ht="12.75" customHeight="1">
      <c r="A417" s="22"/>
      <c r="B417" s="22"/>
      <c r="C417" s="22"/>
      <c r="D417" s="22"/>
    </row>
    <row r="418" spans="1:4" ht="12.75" customHeight="1">
      <c r="A418" s="22"/>
      <c r="B418" s="22"/>
      <c r="C418" s="22"/>
      <c r="D418" s="22"/>
    </row>
    <row r="419" spans="1:4" ht="12.75" customHeight="1">
      <c r="A419" s="22"/>
      <c r="B419" s="22"/>
      <c r="C419" s="22"/>
      <c r="D419" s="22"/>
    </row>
    <row r="420" spans="1:4" ht="12.75" customHeight="1">
      <c r="A420" s="22"/>
      <c r="B420" s="22"/>
      <c r="C420" s="22"/>
      <c r="D420" s="22"/>
    </row>
    <row r="421" spans="1:4" ht="12.75" customHeight="1">
      <c r="A421" s="22"/>
      <c r="B421" s="22"/>
      <c r="C421" s="22"/>
      <c r="D421" s="22"/>
    </row>
    <row r="422" spans="1:4" ht="12.75" customHeight="1">
      <c r="A422" s="22"/>
      <c r="B422" s="22"/>
      <c r="C422" s="22"/>
      <c r="D422" s="22"/>
    </row>
    <row r="423" spans="1:4" ht="12.75" customHeight="1">
      <c r="A423" s="22"/>
      <c r="B423" s="22"/>
      <c r="C423" s="22"/>
      <c r="D423" s="22"/>
    </row>
    <row r="424" spans="1:4" ht="12.75" customHeight="1">
      <c r="A424" s="22"/>
      <c r="B424" s="22"/>
      <c r="C424" s="22"/>
      <c r="D424" s="22"/>
    </row>
    <row r="425" spans="1:4" ht="12.75" customHeight="1">
      <c r="A425" s="22"/>
      <c r="B425" s="22"/>
      <c r="C425" s="22"/>
      <c r="D425" s="22"/>
    </row>
    <row r="426" spans="1:4" ht="12.75" customHeight="1">
      <c r="A426" s="22"/>
      <c r="B426" s="22"/>
      <c r="C426" s="22"/>
      <c r="D426" s="22"/>
    </row>
    <row r="427" spans="1:4" ht="12.75" customHeight="1">
      <c r="A427" s="22"/>
      <c r="B427" s="22"/>
      <c r="C427" s="22"/>
      <c r="D427" s="22"/>
    </row>
    <row r="428" spans="1:4" ht="12.75" customHeight="1">
      <c r="A428" s="22"/>
      <c r="B428" s="22"/>
      <c r="C428" s="22"/>
      <c r="D428" s="22"/>
    </row>
    <row r="429" spans="1:4" ht="12.75" customHeight="1">
      <c r="A429" s="22"/>
      <c r="B429" s="22"/>
      <c r="C429" s="22"/>
      <c r="D429" s="22"/>
    </row>
    <row r="430" spans="1:4" ht="12.75" customHeight="1">
      <c r="A430" s="22"/>
      <c r="B430" s="22"/>
      <c r="C430" s="22"/>
      <c r="D430" s="22"/>
    </row>
    <row r="431" spans="1:4" ht="12.75" customHeight="1">
      <c r="A431" s="22"/>
      <c r="B431" s="22"/>
      <c r="C431" s="22"/>
      <c r="D431" s="22"/>
    </row>
    <row r="432" spans="1:4" ht="12.75" customHeight="1">
      <c r="A432" s="22"/>
      <c r="B432" s="22"/>
      <c r="C432" s="22"/>
      <c r="D432" s="22"/>
    </row>
    <row r="433" spans="1:4" ht="12.75" customHeight="1">
      <c r="A433" s="22"/>
      <c r="B433" s="22"/>
      <c r="C433" s="22"/>
      <c r="D433" s="22"/>
    </row>
    <row r="434" spans="1:4" ht="12.75" customHeight="1">
      <c r="A434" s="22"/>
      <c r="B434" s="22"/>
      <c r="C434" s="22"/>
      <c r="D434" s="22"/>
    </row>
    <row r="435" spans="1:4" ht="12.75" customHeight="1">
      <c r="A435" s="22"/>
      <c r="B435" s="22"/>
      <c r="C435" s="22"/>
      <c r="D435" s="22"/>
    </row>
    <row r="436" spans="1:4" ht="12.75" customHeight="1">
      <c r="A436" s="22"/>
      <c r="B436" s="22"/>
      <c r="C436" s="22"/>
      <c r="D436" s="22"/>
    </row>
    <row r="437" spans="1:4" ht="12.75" customHeight="1">
      <c r="A437" s="22"/>
      <c r="B437" s="22"/>
      <c r="C437" s="22"/>
      <c r="D437" s="22"/>
    </row>
    <row r="438" spans="1:4" ht="12.75" customHeight="1">
      <c r="A438" s="22"/>
      <c r="B438" s="22"/>
      <c r="C438" s="22"/>
      <c r="D438" s="22"/>
    </row>
    <row r="439" spans="1:4" ht="12.75" customHeight="1">
      <c r="A439" s="22"/>
      <c r="B439" s="22"/>
      <c r="C439" s="22"/>
      <c r="D439" s="22"/>
    </row>
    <row r="440" spans="1:4" ht="12.75" customHeight="1">
      <c r="A440" s="22"/>
      <c r="B440" s="22"/>
      <c r="C440" s="22"/>
      <c r="D440" s="22"/>
    </row>
    <row r="441" spans="1:4" ht="12.75" customHeight="1">
      <c r="A441" s="22"/>
      <c r="B441" s="22"/>
      <c r="C441" s="22"/>
      <c r="D441" s="22"/>
    </row>
    <row r="442" spans="1:4" ht="12.75" customHeight="1">
      <c r="A442" s="22"/>
      <c r="B442" s="22"/>
      <c r="C442" s="22"/>
      <c r="D442" s="22"/>
    </row>
    <row r="443" spans="1:4" ht="12.75" customHeight="1">
      <c r="A443" s="22"/>
      <c r="B443" s="22"/>
      <c r="C443" s="22"/>
      <c r="D443" s="22"/>
    </row>
    <row r="444" spans="1:4" ht="12.75" customHeight="1">
      <c r="A444" s="22"/>
      <c r="B444" s="22"/>
      <c r="C444" s="22"/>
      <c r="D444" s="22"/>
    </row>
    <row r="445" spans="1:4" ht="12.75" customHeight="1">
      <c r="A445" s="22"/>
      <c r="B445" s="22"/>
      <c r="C445" s="22"/>
      <c r="D445" s="22"/>
    </row>
    <row r="446" spans="1:4" ht="12.75" customHeight="1">
      <c r="A446" s="22"/>
      <c r="B446" s="22"/>
      <c r="C446" s="22"/>
      <c r="D446" s="22"/>
    </row>
    <row r="447" spans="1:4" ht="12.75" customHeight="1">
      <c r="A447" s="22"/>
      <c r="B447" s="22"/>
      <c r="C447" s="22"/>
      <c r="D447" s="22"/>
    </row>
    <row r="448" spans="1:4" ht="12.75" customHeight="1">
      <c r="A448" s="22"/>
      <c r="B448" s="22"/>
      <c r="C448" s="22"/>
      <c r="D448" s="22"/>
    </row>
    <row r="449" spans="1:4" ht="12.75" customHeight="1">
      <c r="A449" s="22"/>
      <c r="B449" s="22"/>
      <c r="C449" s="22"/>
      <c r="D449" s="22"/>
    </row>
    <row r="450" spans="1:4" ht="12.75" customHeight="1">
      <c r="A450" s="22"/>
      <c r="B450" s="22"/>
      <c r="C450" s="22"/>
      <c r="D450" s="22"/>
    </row>
    <row r="451" spans="1:4" ht="12.75" customHeight="1">
      <c r="A451" s="22"/>
      <c r="B451" s="22"/>
      <c r="C451" s="22"/>
      <c r="D451" s="22"/>
    </row>
    <row r="452" spans="1:4" ht="12.75" customHeight="1">
      <c r="A452" s="22"/>
      <c r="B452" s="22"/>
      <c r="C452" s="22"/>
      <c r="D452" s="22"/>
    </row>
    <row r="453" spans="1:4" ht="12.75" customHeight="1">
      <c r="A453" s="22"/>
      <c r="B453" s="22"/>
      <c r="C453" s="22"/>
      <c r="D453" s="22"/>
    </row>
    <row r="454" spans="1:4" ht="12.75" customHeight="1">
      <c r="A454" s="22"/>
      <c r="B454" s="22"/>
      <c r="C454" s="22"/>
      <c r="D454" s="22"/>
    </row>
    <row r="455" spans="1:4" ht="12.75" customHeight="1">
      <c r="A455" s="22"/>
      <c r="B455" s="22"/>
      <c r="C455" s="22"/>
      <c r="D455" s="22"/>
    </row>
    <row r="456" spans="1:4" ht="12.75" customHeight="1">
      <c r="A456" s="22"/>
      <c r="B456" s="22"/>
      <c r="C456" s="22"/>
      <c r="D456" s="22"/>
    </row>
    <row r="457" spans="1:4" ht="12.75" customHeight="1">
      <c r="A457" s="22"/>
      <c r="B457" s="22"/>
      <c r="C457" s="22"/>
      <c r="D457" s="22"/>
    </row>
    <row r="458" spans="1:4" ht="12.75" customHeight="1">
      <c r="A458" s="22"/>
      <c r="B458" s="22"/>
      <c r="C458" s="22"/>
      <c r="D458" s="22"/>
    </row>
    <row r="459" spans="1:4" ht="12.75" customHeight="1">
      <c r="A459" s="22"/>
      <c r="B459" s="22"/>
      <c r="C459" s="22"/>
      <c r="D459" s="22"/>
    </row>
    <row r="460" spans="1:4" ht="12.75" customHeight="1">
      <c r="A460" s="22"/>
      <c r="B460" s="22"/>
      <c r="C460" s="22"/>
      <c r="D460" s="22"/>
    </row>
    <row r="461" spans="1:4" ht="12.75" customHeight="1">
      <c r="A461" s="22"/>
      <c r="B461" s="22"/>
      <c r="C461" s="22"/>
      <c r="D461" s="22"/>
    </row>
    <row r="462" spans="1:4" ht="12.75" customHeight="1">
      <c r="A462" s="22"/>
      <c r="B462" s="22"/>
      <c r="C462" s="22"/>
      <c r="D462" s="22"/>
    </row>
    <row r="463" spans="1:4" ht="12.75" customHeight="1">
      <c r="A463" s="22"/>
      <c r="B463" s="22"/>
      <c r="C463" s="22"/>
      <c r="D463" s="22"/>
    </row>
    <row r="464" spans="1:4" ht="12.75" customHeight="1">
      <c r="A464" s="22"/>
      <c r="B464" s="22"/>
      <c r="C464" s="22"/>
      <c r="D464" s="22"/>
    </row>
    <row r="465" spans="1:4" ht="12.75" customHeight="1">
      <c r="A465" s="22"/>
      <c r="B465" s="22"/>
      <c r="C465" s="22"/>
      <c r="D465" s="22"/>
    </row>
    <row r="466" spans="1:4" ht="12.75" customHeight="1">
      <c r="A466" s="22"/>
      <c r="B466" s="22"/>
      <c r="C466" s="22"/>
      <c r="D466" s="22"/>
    </row>
    <row r="467" spans="1:4" ht="12.75" customHeight="1">
      <c r="A467" s="22"/>
      <c r="B467" s="22"/>
      <c r="C467" s="22"/>
      <c r="D467" s="22"/>
    </row>
    <row r="468" spans="1:4" ht="12.75" customHeight="1">
      <c r="A468" s="22"/>
      <c r="B468" s="22"/>
      <c r="C468" s="22"/>
      <c r="D468" s="22"/>
    </row>
    <row r="469" spans="1:4" ht="12.75" customHeight="1">
      <c r="A469" s="22"/>
      <c r="B469" s="22"/>
      <c r="C469" s="22"/>
      <c r="D469" s="22"/>
    </row>
    <row r="470" spans="1:4" ht="12.75" customHeight="1">
      <c r="A470" s="22"/>
      <c r="B470" s="22"/>
      <c r="C470" s="22"/>
      <c r="D470" s="22"/>
    </row>
    <row r="471" spans="1:4" ht="12.75" customHeight="1">
      <c r="A471" s="22"/>
      <c r="B471" s="22"/>
      <c r="C471" s="22"/>
      <c r="D471" s="22"/>
    </row>
    <row r="472" spans="1:4" ht="12.75" customHeight="1">
      <c r="A472" s="22"/>
      <c r="B472" s="22"/>
      <c r="C472" s="22"/>
      <c r="D472" s="22"/>
    </row>
    <row r="473" spans="1:4" ht="12.75" customHeight="1">
      <c r="A473" s="22"/>
      <c r="B473" s="22"/>
      <c r="C473" s="22"/>
      <c r="D473" s="22"/>
    </row>
    <row r="474" spans="1:4" ht="12.75" customHeight="1">
      <c r="A474" s="22"/>
      <c r="B474" s="22"/>
      <c r="C474" s="22"/>
      <c r="D474" s="22"/>
    </row>
    <row r="475" spans="1:4" ht="12.75" customHeight="1">
      <c r="A475" s="22"/>
      <c r="B475" s="22"/>
      <c r="C475" s="22"/>
      <c r="D475" s="22"/>
    </row>
    <row r="476" spans="1:4" ht="12.75" customHeight="1">
      <c r="A476" s="22"/>
      <c r="B476" s="22"/>
      <c r="C476" s="22"/>
      <c r="D476" s="22"/>
    </row>
    <row r="477" spans="1:4" ht="12.75" customHeight="1">
      <c r="A477" s="22"/>
      <c r="B477" s="22"/>
      <c r="C477" s="22"/>
      <c r="D477" s="22"/>
    </row>
    <row r="478" spans="1:4" ht="12.75" customHeight="1">
      <c r="A478" s="22"/>
      <c r="B478" s="22"/>
      <c r="C478" s="22"/>
      <c r="D478" s="22"/>
    </row>
    <row r="479" spans="1:4" ht="12.75" customHeight="1">
      <c r="A479" s="22"/>
      <c r="B479" s="22"/>
      <c r="C479" s="22"/>
      <c r="D479" s="22"/>
    </row>
    <row r="480" spans="1:4" ht="12.75" customHeight="1">
      <c r="A480" s="22"/>
      <c r="B480" s="22"/>
      <c r="C480" s="22"/>
      <c r="D480" s="22"/>
    </row>
    <row r="481" spans="1:4" ht="12.75" customHeight="1">
      <c r="A481" s="22"/>
      <c r="B481" s="22"/>
      <c r="C481" s="22"/>
      <c r="D481" s="22"/>
    </row>
    <row r="482" spans="1:4" ht="12.75" customHeight="1">
      <c r="A482" s="22"/>
      <c r="B482" s="22"/>
      <c r="C482" s="22"/>
      <c r="D482" s="22"/>
    </row>
    <row r="483" spans="1:4" ht="12.75" customHeight="1">
      <c r="A483" s="22"/>
      <c r="B483" s="22"/>
      <c r="C483" s="22"/>
      <c r="D483" s="22"/>
    </row>
    <row r="484" spans="1:4" ht="12.75" customHeight="1">
      <c r="A484" s="22"/>
      <c r="B484" s="22"/>
      <c r="C484" s="22"/>
      <c r="D484" s="22"/>
    </row>
    <row r="485" spans="1:4" ht="12.75" customHeight="1">
      <c r="A485" s="22"/>
      <c r="B485" s="22"/>
      <c r="C485" s="22"/>
      <c r="D485" s="22"/>
    </row>
    <row r="486" spans="1:4" ht="12.75" customHeight="1">
      <c r="A486" s="22"/>
      <c r="B486" s="22"/>
      <c r="C486" s="22"/>
      <c r="D486" s="22"/>
    </row>
    <row r="487" spans="1:4" ht="12.75" customHeight="1">
      <c r="A487" s="22"/>
      <c r="B487" s="22"/>
      <c r="C487" s="22"/>
      <c r="D487" s="22"/>
    </row>
    <row r="488" spans="1:4" ht="12.75" customHeight="1">
      <c r="A488" s="22"/>
      <c r="B488" s="22"/>
      <c r="C488" s="22"/>
      <c r="D488" s="22"/>
    </row>
    <row r="489" spans="1:4" ht="12.75" customHeight="1">
      <c r="A489" s="22"/>
      <c r="B489" s="22"/>
      <c r="C489" s="22"/>
      <c r="D489" s="22"/>
    </row>
    <row r="490" spans="1:4" ht="12.75" customHeight="1">
      <c r="A490" s="22"/>
      <c r="B490" s="22"/>
      <c r="C490" s="22"/>
      <c r="D490" s="22"/>
    </row>
    <row r="491" spans="1:4" ht="12.75" customHeight="1">
      <c r="A491" s="22"/>
      <c r="B491" s="22"/>
      <c r="C491" s="22"/>
      <c r="D491" s="22"/>
    </row>
    <row r="492" spans="1:4" ht="12.75" customHeight="1">
      <c r="A492" s="22"/>
      <c r="B492" s="22"/>
      <c r="C492" s="22"/>
      <c r="D492" s="22"/>
    </row>
    <row r="493" spans="1:4" ht="12.75" customHeight="1">
      <c r="A493" s="22"/>
      <c r="B493" s="22"/>
      <c r="C493" s="22"/>
      <c r="D493" s="22"/>
    </row>
    <row r="494" spans="1:4" ht="12.75" customHeight="1">
      <c r="A494" s="22"/>
      <c r="B494" s="22"/>
      <c r="C494" s="22"/>
      <c r="D494" s="22"/>
    </row>
    <row r="495" spans="1:4" ht="12.75" customHeight="1">
      <c r="A495" s="22"/>
      <c r="B495" s="22"/>
      <c r="C495" s="22"/>
      <c r="D495" s="22"/>
    </row>
    <row r="496" spans="1:4" ht="12.75" customHeight="1">
      <c r="A496" s="22"/>
      <c r="B496" s="22"/>
      <c r="C496" s="22"/>
      <c r="D496" s="22"/>
    </row>
    <row r="497" spans="1:4" ht="12.75" customHeight="1">
      <c r="A497" s="22"/>
      <c r="B497" s="22"/>
      <c r="C497" s="22"/>
      <c r="D497" s="22"/>
    </row>
    <row r="498" spans="1:4" ht="12.75" customHeight="1">
      <c r="A498" s="22"/>
      <c r="B498" s="22"/>
      <c r="C498" s="22"/>
      <c r="D498" s="22"/>
    </row>
    <row r="499" spans="1:4" ht="12.75" customHeight="1">
      <c r="A499" s="22"/>
      <c r="B499" s="22"/>
      <c r="C499" s="22"/>
      <c r="D499" s="22"/>
    </row>
    <row r="500" spans="1:4" ht="12.75" customHeight="1">
      <c r="A500" s="22"/>
      <c r="B500" s="22"/>
      <c r="C500" s="22"/>
      <c r="D500" s="22"/>
    </row>
    <row r="501" spans="1:4" ht="12.75" customHeight="1">
      <c r="A501" s="22"/>
      <c r="B501" s="22"/>
      <c r="C501" s="22"/>
      <c r="D501" s="22"/>
    </row>
    <row r="502" spans="1:4" ht="12.75" customHeight="1">
      <c r="A502" s="22"/>
      <c r="B502" s="22"/>
      <c r="C502" s="22"/>
      <c r="D502" s="22"/>
    </row>
    <row r="503" spans="1:4" ht="12.75" customHeight="1">
      <c r="A503" s="22"/>
      <c r="B503" s="22"/>
      <c r="C503" s="22"/>
      <c r="D503" s="22"/>
    </row>
    <row r="504" spans="1:4" ht="12.75" customHeight="1">
      <c r="A504" s="22"/>
      <c r="B504" s="22"/>
      <c r="C504" s="22"/>
      <c r="D504" s="22"/>
    </row>
    <row r="505" spans="1:4" ht="12.75" customHeight="1">
      <c r="A505" s="22"/>
      <c r="B505" s="22"/>
      <c r="C505" s="22"/>
      <c r="D505" s="22"/>
    </row>
    <row r="506" spans="1:4" ht="12.75" customHeight="1">
      <c r="A506" s="22"/>
      <c r="B506" s="22"/>
      <c r="C506" s="22"/>
      <c r="D506" s="22"/>
    </row>
    <row r="507" spans="1:4" ht="12.75" customHeight="1">
      <c r="A507" s="22"/>
      <c r="B507" s="22"/>
      <c r="C507" s="22"/>
      <c r="D507" s="22"/>
    </row>
    <row r="508" spans="1:4" ht="12.75" customHeight="1">
      <c r="A508" s="22"/>
      <c r="B508" s="22"/>
      <c r="C508" s="22"/>
      <c r="D508" s="22"/>
    </row>
    <row r="509" spans="1:4" ht="12.75" customHeight="1">
      <c r="A509" s="22"/>
      <c r="B509" s="22"/>
      <c r="C509" s="22"/>
      <c r="D509" s="22"/>
    </row>
    <row r="510" spans="1:4" ht="12.75" customHeight="1">
      <c r="A510" s="22"/>
      <c r="B510" s="22"/>
      <c r="C510" s="22"/>
      <c r="D510" s="22"/>
    </row>
    <row r="511" spans="1:4" ht="12.75" customHeight="1">
      <c r="A511" s="22"/>
      <c r="B511" s="22"/>
      <c r="C511" s="22"/>
      <c r="D511" s="22"/>
    </row>
    <row r="512" spans="1:4" ht="12.75" customHeight="1">
      <c r="A512" s="22"/>
      <c r="B512" s="22"/>
      <c r="C512" s="22"/>
      <c r="D512" s="22"/>
    </row>
    <row r="513" spans="1:4" ht="12.75" customHeight="1">
      <c r="A513" s="22"/>
      <c r="B513" s="22"/>
      <c r="C513" s="22"/>
      <c r="D513" s="22"/>
    </row>
    <row r="514" spans="1:4" ht="12.75" customHeight="1">
      <c r="A514" s="22"/>
      <c r="B514" s="22"/>
      <c r="C514" s="22"/>
      <c r="D514" s="22"/>
    </row>
    <row r="515" spans="1:4" ht="12.75" customHeight="1">
      <c r="A515" s="22"/>
      <c r="B515" s="22"/>
      <c r="C515" s="22"/>
      <c r="D515" s="22"/>
    </row>
    <row r="516" spans="1:4" ht="12.75" customHeight="1">
      <c r="A516" s="22"/>
      <c r="B516" s="22"/>
      <c r="C516" s="22"/>
      <c r="D516" s="22"/>
    </row>
    <row r="517" spans="1:4" ht="12.75" customHeight="1">
      <c r="A517" s="22"/>
      <c r="B517" s="22"/>
      <c r="C517" s="22"/>
      <c r="D517" s="22"/>
    </row>
    <row r="518" spans="1:4" ht="12.75" customHeight="1">
      <c r="A518" s="22"/>
      <c r="B518" s="22"/>
      <c r="C518" s="22"/>
      <c r="D518" s="22"/>
    </row>
    <row r="519" spans="1:4" ht="12.75" customHeight="1">
      <c r="A519" s="22"/>
      <c r="B519" s="22"/>
      <c r="C519" s="22"/>
      <c r="D519" s="22"/>
    </row>
    <row r="520" spans="1:4" ht="12.75" customHeight="1">
      <c r="A520" s="22"/>
      <c r="B520" s="22"/>
      <c r="C520" s="22"/>
      <c r="D520" s="22"/>
    </row>
    <row r="521" spans="1:4" ht="12.75" customHeight="1">
      <c r="A521" s="22"/>
      <c r="B521" s="22"/>
      <c r="C521" s="22"/>
      <c r="D521" s="22"/>
    </row>
    <row r="522" spans="1:4" ht="12.75" customHeight="1">
      <c r="A522" s="22"/>
      <c r="B522" s="22"/>
      <c r="C522" s="22"/>
      <c r="D522" s="22"/>
    </row>
    <row r="523" spans="1:4" ht="12.75" customHeight="1">
      <c r="A523" s="22"/>
      <c r="B523" s="22"/>
      <c r="C523" s="22"/>
      <c r="D523" s="22"/>
    </row>
    <row r="524" spans="1:4" ht="12.75" customHeight="1">
      <c r="A524" s="22"/>
      <c r="B524" s="22"/>
      <c r="C524" s="22"/>
      <c r="D524" s="22"/>
    </row>
    <row r="525" spans="1:4" ht="12.75" customHeight="1">
      <c r="A525" s="22"/>
      <c r="B525" s="22"/>
      <c r="C525" s="22"/>
      <c r="D525" s="22"/>
    </row>
    <row r="526" spans="1:4" ht="12.75" customHeight="1">
      <c r="A526" s="22"/>
      <c r="B526" s="22"/>
      <c r="C526" s="22"/>
      <c r="D526" s="22"/>
    </row>
    <row r="527" spans="1:4" ht="12.75" customHeight="1">
      <c r="A527" s="22"/>
      <c r="B527" s="22"/>
      <c r="C527" s="22"/>
      <c r="D527" s="22"/>
    </row>
    <row r="528" spans="1:4" ht="12.75" customHeight="1">
      <c r="A528" s="22"/>
      <c r="B528" s="22"/>
      <c r="C528" s="22"/>
      <c r="D528" s="22"/>
    </row>
    <row r="529" spans="1:4" ht="12.75" customHeight="1">
      <c r="A529" s="22"/>
      <c r="B529" s="22"/>
      <c r="C529" s="22"/>
      <c r="D529" s="22"/>
    </row>
    <row r="530" spans="1:4" ht="12.75" customHeight="1">
      <c r="A530" s="22"/>
      <c r="B530" s="22"/>
      <c r="C530" s="22"/>
      <c r="D530" s="22"/>
    </row>
    <row r="531" spans="1:4" ht="12.75" customHeight="1">
      <c r="A531" s="22"/>
      <c r="B531" s="22"/>
      <c r="C531" s="22"/>
      <c r="D531" s="22"/>
    </row>
    <row r="532" spans="1:4" ht="12.75" customHeight="1">
      <c r="A532" s="22"/>
      <c r="B532" s="22"/>
      <c r="C532" s="22"/>
      <c r="D532" s="22"/>
    </row>
    <row r="533" spans="1:4" ht="12.75" customHeight="1">
      <c r="A533" s="22"/>
      <c r="B533" s="22"/>
      <c r="C533" s="22"/>
      <c r="D533" s="22"/>
    </row>
    <row r="534" spans="1:4" ht="12.75" customHeight="1">
      <c r="A534" s="22"/>
      <c r="B534" s="22"/>
      <c r="C534" s="22"/>
      <c r="D534" s="22"/>
    </row>
    <row r="535" spans="1:4" ht="12.75" customHeight="1">
      <c r="A535" s="22"/>
      <c r="B535" s="22"/>
      <c r="C535" s="22"/>
      <c r="D535" s="22"/>
    </row>
    <row r="536" spans="1:4" ht="12.75" customHeight="1">
      <c r="A536" s="22"/>
      <c r="B536" s="22"/>
      <c r="C536" s="22"/>
      <c r="D536" s="22"/>
    </row>
    <row r="537" spans="1:4" ht="12.75" customHeight="1">
      <c r="A537" s="22"/>
      <c r="B537" s="22"/>
      <c r="C537" s="22"/>
      <c r="D537" s="22"/>
    </row>
    <row r="538" spans="1:4" ht="12.75" customHeight="1">
      <c r="A538" s="22"/>
      <c r="B538" s="22"/>
      <c r="C538" s="22"/>
      <c r="D538" s="22"/>
    </row>
    <row r="539" spans="1:4" ht="12.75" customHeight="1">
      <c r="A539" s="22"/>
      <c r="B539" s="22"/>
      <c r="C539" s="22"/>
      <c r="D539" s="22"/>
    </row>
    <row r="540" spans="1:4" ht="12.75" customHeight="1">
      <c r="A540" s="22"/>
      <c r="B540" s="22"/>
      <c r="C540" s="22"/>
      <c r="D540" s="22"/>
    </row>
    <row r="541" spans="1:4" ht="12.75" customHeight="1">
      <c r="A541" s="22"/>
      <c r="B541" s="22"/>
      <c r="C541" s="22"/>
      <c r="D541" s="22"/>
    </row>
    <row r="542" spans="1:4" ht="12.75" customHeight="1">
      <c r="A542" s="22"/>
      <c r="B542" s="22"/>
      <c r="C542" s="22"/>
      <c r="D542" s="22"/>
    </row>
    <row r="543" spans="1:4" ht="12.75" customHeight="1">
      <c r="A543" s="22"/>
      <c r="B543" s="22"/>
      <c r="C543" s="22"/>
      <c r="D543" s="22"/>
    </row>
    <row r="544" spans="1:4" ht="12.75" customHeight="1">
      <c r="A544" s="22"/>
      <c r="B544" s="22"/>
      <c r="C544" s="22"/>
      <c r="D544" s="22"/>
    </row>
    <row r="545" spans="1:4" ht="12.75" customHeight="1">
      <c r="A545" s="22"/>
      <c r="B545" s="22"/>
      <c r="C545" s="22"/>
      <c r="D545" s="22"/>
    </row>
    <row r="546" spans="1:4" ht="12.75" customHeight="1">
      <c r="A546" s="22"/>
      <c r="B546" s="22"/>
      <c r="C546" s="22"/>
      <c r="D546" s="22"/>
    </row>
    <row r="547" spans="1:4" ht="12.75" customHeight="1">
      <c r="A547" s="22"/>
      <c r="B547" s="22"/>
      <c r="C547" s="22"/>
      <c r="D547" s="22"/>
    </row>
    <row r="548" spans="1:4" ht="12.75" customHeight="1">
      <c r="A548" s="22"/>
      <c r="B548" s="22"/>
      <c r="C548" s="22"/>
      <c r="D548" s="22"/>
    </row>
    <row r="549" spans="1:4" ht="12.75" customHeight="1">
      <c r="A549" s="22"/>
      <c r="B549" s="22"/>
      <c r="C549" s="22"/>
      <c r="D549" s="22"/>
    </row>
    <row r="550" spans="1:4" ht="12.75" customHeight="1">
      <c r="A550" s="22"/>
      <c r="B550" s="22"/>
      <c r="C550" s="22"/>
      <c r="D550" s="22"/>
    </row>
    <row r="551" spans="1:4" ht="12.75" customHeight="1">
      <c r="A551" s="22"/>
      <c r="B551" s="22"/>
      <c r="C551" s="22"/>
      <c r="D551" s="22"/>
    </row>
    <row r="552" spans="1:4" ht="12.75" customHeight="1">
      <c r="A552" s="22"/>
      <c r="B552" s="22"/>
      <c r="C552" s="22"/>
      <c r="D552" s="22"/>
    </row>
    <row r="553" spans="1:4" ht="12.75" customHeight="1">
      <c r="A553" s="22"/>
      <c r="B553" s="22"/>
      <c r="C553" s="22"/>
      <c r="D553" s="22"/>
    </row>
    <row r="554" spans="1:4" ht="12.75" customHeight="1">
      <c r="A554" s="22"/>
      <c r="B554" s="22"/>
      <c r="C554" s="22"/>
      <c r="D554" s="22"/>
    </row>
    <row r="555" spans="1:4" ht="12.75" customHeight="1">
      <c r="A555" s="22"/>
      <c r="B555" s="22"/>
      <c r="C555" s="22"/>
      <c r="D555" s="22"/>
    </row>
    <row r="556" spans="1:4" ht="12.75" customHeight="1">
      <c r="A556" s="22"/>
      <c r="B556" s="22"/>
      <c r="C556" s="22"/>
      <c r="D556" s="22"/>
    </row>
    <row r="557" spans="1:4" ht="12.75" customHeight="1">
      <c r="A557" s="22"/>
      <c r="B557" s="22"/>
      <c r="C557" s="22"/>
      <c r="D557" s="22"/>
    </row>
    <row r="558" spans="1:4" ht="12.75" customHeight="1">
      <c r="A558" s="22"/>
      <c r="B558" s="22"/>
      <c r="C558" s="22"/>
      <c r="D558" s="22"/>
    </row>
    <row r="559" spans="1:4" ht="12.75" customHeight="1">
      <c r="A559" s="22"/>
      <c r="B559" s="22"/>
      <c r="C559" s="22"/>
      <c r="D559" s="22"/>
    </row>
    <row r="560" spans="1:4" ht="12.75" customHeight="1">
      <c r="A560" s="22"/>
      <c r="B560" s="22"/>
      <c r="C560" s="22"/>
      <c r="D560" s="22"/>
    </row>
    <row r="561" spans="1:4" ht="12.75" customHeight="1">
      <c r="A561" s="22"/>
      <c r="B561" s="22"/>
      <c r="C561" s="22"/>
      <c r="D561" s="22"/>
    </row>
    <row r="562" spans="1:4" ht="12.75" customHeight="1">
      <c r="A562" s="22"/>
      <c r="B562" s="22"/>
      <c r="C562" s="22"/>
      <c r="D562" s="22"/>
    </row>
    <row r="563" spans="1:4" ht="12.75" customHeight="1">
      <c r="A563" s="22"/>
      <c r="B563" s="22"/>
      <c r="C563" s="22"/>
      <c r="D563" s="22"/>
    </row>
    <row r="564" spans="1:4" ht="12.75" customHeight="1">
      <c r="A564" s="22"/>
      <c r="B564" s="22"/>
      <c r="C564" s="22"/>
      <c r="D564" s="22"/>
    </row>
    <row r="565" spans="1:4" ht="12.75" customHeight="1">
      <c r="A565" s="22"/>
      <c r="B565" s="22"/>
      <c r="C565" s="22"/>
      <c r="D565" s="22"/>
    </row>
    <row r="566" spans="1:4" ht="12.75" customHeight="1">
      <c r="A566" s="22"/>
      <c r="B566" s="22"/>
      <c r="C566" s="22"/>
      <c r="D566" s="22"/>
    </row>
    <row r="567" spans="1:4" ht="12.75" customHeight="1">
      <c r="A567" s="22"/>
      <c r="B567" s="22"/>
      <c r="C567" s="22"/>
      <c r="D567" s="22"/>
    </row>
    <row r="568" spans="1:4" ht="12.75" customHeight="1">
      <c r="A568" s="22"/>
      <c r="B568" s="22"/>
      <c r="C568" s="22"/>
      <c r="D568" s="22"/>
    </row>
    <row r="569" spans="1:4" ht="12.75" customHeight="1">
      <c r="A569" s="22"/>
      <c r="B569" s="22"/>
      <c r="C569" s="22"/>
      <c r="D569" s="22"/>
    </row>
    <row r="570" spans="1:4" ht="12.75" customHeight="1">
      <c r="A570" s="22"/>
      <c r="B570" s="22"/>
      <c r="C570" s="22"/>
      <c r="D570" s="22"/>
    </row>
    <row r="571" spans="1:4" ht="12.75" customHeight="1">
      <c r="A571" s="22"/>
      <c r="B571" s="22"/>
      <c r="C571" s="22"/>
      <c r="D571" s="22"/>
    </row>
    <row r="572" spans="1:4" ht="12.75" customHeight="1">
      <c r="A572" s="22"/>
      <c r="B572" s="22"/>
      <c r="C572" s="22"/>
      <c r="D572" s="22"/>
    </row>
    <row r="573" spans="1:4" ht="12.75" customHeight="1">
      <c r="A573" s="22"/>
      <c r="B573" s="22"/>
      <c r="C573" s="22"/>
      <c r="D573" s="22"/>
    </row>
    <row r="574" spans="1:4" ht="12.75" customHeight="1">
      <c r="A574" s="22"/>
      <c r="B574" s="22"/>
      <c r="C574" s="22"/>
      <c r="D574" s="22"/>
    </row>
    <row r="575" spans="1:4" ht="12.75" customHeight="1">
      <c r="A575" s="22"/>
      <c r="B575" s="22"/>
      <c r="C575" s="22"/>
      <c r="D575" s="22"/>
    </row>
    <row r="576" spans="1:4" ht="12.75" customHeight="1">
      <c r="A576" s="22"/>
      <c r="B576" s="22"/>
      <c r="C576" s="22"/>
      <c r="D576" s="22"/>
    </row>
    <row r="577" spans="1:4" ht="12.75" customHeight="1">
      <c r="A577" s="22"/>
      <c r="B577" s="22"/>
      <c r="C577" s="22"/>
      <c r="D577" s="22"/>
    </row>
    <row r="578" spans="1:4" ht="12.75" customHeight="1">
      <c r="A578" s="22"/>
      <c r="B578" s="22"/>
      <c r="C578" s="22"/>
      <c r="D578" s="22"/>
    </row>
    <row r="579" spans="1:4" ht="12.75" customHeight="1">
      <c r="A579" s="22"/>
      <c r="B579" s="22"/>
      <c r="C579" s="22"/>
      <c r="D579" s="22"/>
    </row>
    <row r="580" spans="1:4" ht="12.75" customHeight="1">
      <c r="A580" s="22"/>
      <c r="B580" s="22"/>
      <c r="C580" s="22"/>
      <c r="D580" s="22"/>
    </row>
    <row r="581" spans="1:4" ht="12.75" customHeight="1">
      <c r="A581" s="22"/>
      <c r="B581" s="22"/>
      <c r="C581" s="22"/>
      <c r="D581" s="22"/>
    </row>
    <row r="582" spans="1:4" ht="12.75" customHeight="1">
      <c r="A582" s="22"/>
      <c r="B582" s="22"/>
      <c r="C582" s="22"/>
      <c r="D582" s="22"/>
    </row>
    <row r="583" spans="1:4" ht="12.75" customHeight="1">
      <c r="A583" s="22"/>
      <c r="B583" s="22"/>
      <c r="C583" s="22"/>
      <c r="D583" s="22"/>
    </row>
    <row r="584" spans="1:4" ht="12.75" customHeight="1">
      <c r="A584" s="22"/>
      <c r="B584" s="22"/>
      <c r="C584" s="22"/>
      <c r="D584" s="22"/>
    </row>
    <row r="585" spans="1:4" ht="12.75" customHeight="1">
      <c r="A585" s="22"/>
      <c r="B585" s="22"/>
      <c r="C585" s="22"/>
      <c r="D585" s="22"/>
    </row>
    <row r="586" spans="1:4" ht="12.75" customHeight="1">
      <c r="A586" s="22"/>
      <c r="B586" s="22"/>
      <c r="C586" s="22"/>
      <c r="D586" s="22"/>
    </row>
    <row r="587" spans="1:4" ht="12.75" customHeight="1">
      <c r="A587" s="22"/>
      <c r="B587" s="22"/>
      <c r="C587" s="22"/>
      <c r="D587" s="22"/>
    </row>
    <row r="588" spans="1:4" ht="12.75" customHeight="1">
      <c r="A588" s="22"/>
      <c r="B588" s="22"/>
      <c r="C588" s="22"/>
      <c r="D588" s="22"/>
    </row>
    <row r="589" spans="1:4" ht="12.75" customHeight="1">
      <c r="A589" s="22"/>
      <c r="B589" s="22"/>
      <c r="C589" s="22"/>
      <c r="D589" s="22"/>
    </row>
    <row r="590" spans="1:4" ht="12.75" customHeight="1">
      <c r="A590" s="22"/>
      <c r="B590" s="22"/>
      <c r="C590" s="22"/>
      <c r="D590" s="22"/>
    </row>
    <row r="591" spans="1:4" ht="12.75" customHeight="1">
      <c r="A591" s="22"/>
      <c r="B591" s="22"/>
      <c r="C591" s="22"/>
      <c r="D591" s="22"/>
    </row>
    <row r="592" spans="1:4" ht="12.75" customHeight="1">
      <c r="A592" s="22"/>
      <c r="B592" s="22"/>
      <c r="C592" s="22"/>
      <c r="D592" s="22"/>
    </row>
    <row r="593" spans="1:4" ht="12.75" customHeight="1">
      <c r="A593" s="22"/>
      <c r="B593" s="22"/>
      <c r="C593" s="22"/>
      <c r="D593" s="22"/>
    </row>
    <row r="594" spans="1:4" ht="12.75" customHeight="1">
      <c r="A594" s="22"/>
      <c r="B594" s="22"/>
      <c r="C594" s="22"/>
      <c r="D594" s="22"/>
    </row>
    <row r="595" spans="1:4" ht="12.75" customHeight="1">
      <c r="A595" s="22"/>
      <c r="B595" s="22"/>
      <c r="C595" s="22"/>
      <c r="D595" s="22"/>
    </row>
    <row r="596" spans="1:4" ht="12.75" customHeight="1">
      <c r="A596" s="22"/>
      <c r="B596" s="22"/>
      <c r="C596" s="22"/>
      <c r="D596" s="22"/>
    </row>
    <row r="597" spans="1:4" ht="12.75" customHeight="1">
      <c r="A597" s="22"/>
      <c r="B597" s="22"/>
      <c r="C597" s="22"/>
      <c r="D597" s="22"/>
    </row>
    <row r="598" spans="1:4" ht="12.75" customHeight="1">
      <c r="A598" s="22"/>
      <c r="B598" s="22"/>
      <c r="C598" s="22"/>
      <c r="D598" s="22"/>
    </row>
    <row r="599" spans="1:4" ht="12.75" customHeight="1">
      <c r="A599" s="22"/>
      <c r="B599" s="22"/>
      <c r="C599" s="22"/>
      <c r="D599" s="22"/>
    </row>
    <row r="600" spans="1:4" ht="12.75" customHeight="1">
      <c r="A600" s="22"/>
      <c r="B600" s="22"/>
      <c r="C600" s="22"/>
      <c r="D600" s="22"/>
    </row>
    <row r="601" spans="1:4" ht="12.75" customHeight="1">
      <c r="A601" s="22"/>
      <c r="B601" s="22"/>
      <c r="C601" s="22"/>
      <c r="D601" s="22"/>
    </row>
    <row r="602" spans="1:4" ht="12.75" customHeight="1">
      <c r="A602" s="22"/>
      <c r="B602" s="22"/>
      <c r="C602" s="22"/>
      <c r="D602" s="22"/>
    </row>
    <row r="603" spans="1:4" ht="12.75" customHeight="1">
      <c r="A603" s="22"/>
      <c r="B603" s="22"/>
      <c r="C603" s="22"/>
      <c r="D603" s="22"/>
    </row>
    <row r="604" spans="1:4" ht="12.75" customHeight="1">
      <c r="A604" s="22"/>
      <c r="B604" s="22"/>
      <c r="C604" s="22"/>
      <c r="D604" s="22"/>
    </row>
    <row r="605" spans="1:4" ht="12.75" customHeight="1">
      <c r="A605" s="22"/>
      <c r="B605" s="22"/>
      <c r="C605" s="22"/>
      <c r="D605" s="22"/>
    </row>
    <row r="606" spans="1:4" ht="12.75" customHeight="1">
      <c r="A606" s="22"/>
      <c r="B606" s="22"/>
      <c r="C606" s="22"/>
      <c r="D606" s="22"/>
    </row>
    <row r="607" spans="1:4" ht="12.75" customHeight="1">
      <c r="A607" s="22"/>
      <c r="B607" s="22"/>
      <c r="C607" s="22"/>
      <c r="D607" s="22"/>
    </row>
    <row r="608" spans="1:4" ht="12.75" customHeight="1">
      <c r="A608" s="22"/>
      <c r="B608" s="22"/>
      <c r="C608" s="22"/>
      <c r="D608" s="22"/>
    </row>
    <row r="609" spans="1:4" ht="12.75" customHeight="1">
      <c r="A609" s="22"/>
      <c r="B609" s="22"/>
      <c r="C609" s="22"/>
      <c r="D609" s="22"/>
    </row>
    <row r="610" spans="1:4" ht="12.75" customHeight="1">
      <c r="A610" s="22"/>
      <c r="B610" s="22"/>
      <c r="C610" s="22"/>
      <c r="D610" s="22"/>
    </row>
    <row r="611" spans="1:4" ht="12.75" customHeight="1">
      <c r="A611" s="22"/>
      <c r="B611" s="22"/>
      <c r="C611" s="22"/>
      <c r="D611" s="22"/>
    </row>
    <row r="612" spans="1:4" ht="12.75" customHeight="1">
      <c r="A612" s="22"/>
      <c r="B612" s="22"/>
      <c r="C612" s="22"/>
      <c r="D612" s="22"/>
    </row>
    <row r="613" spans="1:4" ht="12.75" customHeight="1">
      <c r="A613" s="22"/>
      <c r="B613" s="22"/>
      <c r="C613" s="22"/>
      <c r="D613" s="22"/>
    </row>
    <row r="614" spans="1:4" ht="12.75" customHeight="1">
      <c r="A614" s="22"/>
      <c r="B614" s="22"/>
      <c r="C614" s="22"/>
      <c r="D614" s="22"/>
    </row>
    <row r="615" spans="1:4" ht="12.75" customHeight="1">
      <c r="A615" s="22"/>
      <c r="B615" s="22"/>
      <c r="C615" s="22"/>
      <c r="D615" s="22"/>
    </row>
    <row r="616" spans="1:4" ht="12.75" customHeight="1">
      <c r="A616" s="22"/>
      <c r="B616" s="22"/>
      <c r="C616" s="22"/>
      <c r="D616" s="22"/>
    </row>
    <row r="617" spans="1:4" ht="12.75" customHeight="1">
      <c r="A617" s="22"/>
      <c r="B617" s="22"/>
      <c r="C617" s="22"/>
      <c r="D617" s="22"/>
    </row>
    <row r="618" spans="1:4" ht="12.75" customHeight="1">
      <c r="A618" s="22"/>
      <c r="B618" s="22"/>
      <c r="C618" s="22"/>
      <c r="D618" s="22"/>
    </row>
    <row r="619" spans="1:4" ht="12.75" customHeight="1">
      <c r="A619" s="22"/>
      <c r="B619" s="22"/>
      <c r="C619" s="22"/>
      <c r="D619" s="22"/>
    </row>
    <row r="620" spans="1:4" ht="12.75" customHeight="1">
      <c r="A620" s="22"/>
      <c r="B620" s="22"/>
      <c r="C620" s="22"/>
      <c r="D620" s="22"/>
    </row>
    <row r="621" spans="1:4" ht="12.75" customHeight="1">
      <c r="A621" s="22"/>
      <c r="B621" s="22"/>
      <c r="C621" s="22"/>
      <c r="D621" s="22"/>
    </row>
    <row r="622" spans="1:4" ht="12.75" customHeight="1">
      <c r="A622" s="22"/>
      <c r="B622" s="22"/>
      <c r="C622" s="22"/>
      <c r="D622" s="22"/>
    </row>
    <row r="623" spans="1:4" ht="12.75" customHeight="1">
      <c r="A623" s="22"/>
      <c r="B623" s="22"/>
      <c r="C623" s="22"/>
      <c r="D623" s="22"/>
    </row>
    <row r="624" spans="1:4" ht="12.75" customHeight="1">
      <c r="A624" s="22"/>
      <c r="B624" s="22"/>
      <c r="C624" s="22"/>
      <c r="D624" s="22"/>
    </row>
    <row r="625" spans="1:4" ht="12.75" customHeight="1">
      <c r="A625" s="22"/>
      <c r="B625" s="22"/>
      <c r="C625" s="22"/>
      <c r="D625" s="22"/>
    </row>
    <row r="626" spans="1:4" ht="12.75" customHeight="1">
      <c r="A626" s="22"/>
      <c r="B626" s="22"/>
      <c r="C626" s="22"/>
      <c r="D626" s="22"/>
    </row>
    <row r="627" spans="1:4" ht="12.75" customHeight="1">
      <c r="A627" s="22"/>
      <c r="B627" s="22"/>
      <c r="C627" s="22"/>
      <c r="D627" s="22"/>
    </row>
    <row r="628" spans="1:4" ht="12.75" customHeight="1">
      <c r="A628" s="22"/>
      <c r="B628" s="22"/>
      <c r="C628" s="22"/>
      <c r="D628" s="22"/>
    </row>
    <row r="629" spans="1:4" ht="12.75" customHeight="1">
      <c r="A629" s="22"/>
      <c r="B629" s="22"/>
      <c r="C629" s="22"/>
      <c r="D629" s="22"/>
    </row>
    <row r="630" spans="1:4" ht="12.75" customHeight="1">
      <c r="A630" s="22"/>
      <c r="B630" s="22"/>
      <c r="C630" s="22"/>
      <c r="D630" s="22"/>
    </row>
    <row r="631" spans="1:4" ht="12.75" customHeight="1">
      <c r="A631" s="22"/>
      <c r="B631" s="22"/>
      <c r="C631" s="22"/>
      <c r="D631" s="22"/>
    </row>
    <row r="632" spans="1:4" ht="12.75" customHeight="1">
      <c r="A632" s="22"/>
      <c r="B632" s="22"/>
      <c r="C632" s="22"/>
      <c r="D632" s="22"/>
    </row>
    <row r="633" spans="1:4" ht="12.75" customHeight="1">
      <c r="A633" s="22"/>
      <c r="B633" s="22"/>
      <c r="C633" s="22"/>
      <c r="D633" s="22"/>
    </row>
    <row r="634" spans="1:4" ht="12.75" customHeight="1">
      <c r="A634" s="22"/>
      <c r="B634" s="22"/>
      <c r="C634" s="22"/>
      <c r="D634" s="22"/>
    </row>
    <row r="635" spans="1:4" ht="12.75" customHeight="1">
      <c r="A635" s="22"/>
      <c r="B635" s="22"/>
      <c r="C635" s="22"/>
      <c r="D635" s="22"/>
    </row>
    <row r="636" spans="1:4" ht="12.75" customHeight="1">
      <c r="A636" s="22"/>
      <c r="B636" s="22"/>
      <c r="C636" s="22"/>
      <c r="D636" s="22"/>
    </row>
    <row r="637" spans="1:4" ht="12.75" customHeight="1">
      <c r="A637" s="22"/>
      <c r="B637" s="22"/>
      <c r="C637" s="22"/>
      <c r="D637" s="22"/>
    </row>
    <row r="638" spans="1:4" ht="12.75" customHeight="1">
      <c r="A638" s="22"/>
      <c r="B638" s="22"/>
      <c r="C638" s="22"/>
      <c r="D638" s="22"/>
    </row>
    <row r="639" spans="1:4" ht="12.75" customHeight="1">
      <c r="A639" s="22"/>
      <c r="B639" s="22"/>
      <c r="C639" s="22"/>
      <c r="D639" s="22"/>
    </row>
    <row r="640" spans="1:4" ht="12.75" customHeight="1">
      <c r="A640" s="22"/>
      <c r="B640" s="22"/>
      <c r="C640" s="22"/>
      <c r="D640" s="22"/>
    </row>
    <row r="641" spans="1:4" ht="12.75" customHeight="1">
      <c r="A641" s="22"/>
      <c r="B641" s="22"/>
      <c r="C641" s="22"/>
      <c r="D641" s="22"/>
    </row>
    <row r="642" spans="1:4" ht="12.75" customHeight="1">
      <c r="A642" s="22"/>
      <c r="B642" s="22"/>
      <c r="C642" s="22"/>
      <c r="D642" s="22"/>
    </row>
    <row r="643" spans="1:4" ht="12.75" customHeight="1">
      <c r="A643" s="22"/>
      <c r="B643" s="22"/>
      <c r="C643" s="22"/>
      <c r="D643" s="22"/>
    </row>
    <row r="644" spans="1:4" ht="12.75" customHeight="1">
      <c r="A644" s="22"/>
      <c r="B644" s="22"/>
      <c r="C644" s="22"/>
      <c r="D644" s="22"/>
    </row>
    <row r="645" spans="1:4" ht="12.75" customHeight="1">
      <c r="A645" s="22"/>
      <c r="B645" s="22"/>
      <c r="C645" s="22"/>
      <c r="D645" s="22"/>
    </row>
    <row r="646" spans="1:4" ht="12.75" customHeight="1">
      <c r="A646" s="22"/>
      <c r="B646" s="22"/>
      <c r="C646" s="22"/>
      <c r="D646" s="22"/>
    </row>
    <row r="647" spans="1:4" ht="12.75" customHeight="1">
      <c r="A647" s="22"/>
      <c r="B647" s="22"/>
      <c r="C647" s="22"/>
      <c r="D647" s="22"/>
    </row>
    <row r="648" spans="1:4" ht="12.75" customHeight="1">
      <c r="A648" s="22"/>
      <c r="B648" s="22"/>
      <c r="C648" s="22"/>
      <c r="D648" s="22"/>
    </row>
    <row r="649" spans="1:4" ht="12.75" customHeight="1">
      <c r="A649" s="22"/>
      <c r="B649" s="22"/>
      <c r="C649" s="22"/>
      <c r="D649" s="22"/>
    </row>
    <row r="650" spans="1:4" ht="12.75" customHeight="1">
      <c r="A650" s="22"/>
      <c r="B650" s="22"/>
      <c r="C650" s="22"/>
      <c r="D650" s="22"/>
    </row>
    <row r="651" spans="1:4" ht="12.75" customHeight="1">
      <c r="A651" s="22"/>
      <c r="B651" s="22"/>
      <c r="C651" s="22"/>
      <c r="D651" s="22"/>
    </row>
    <row r="652" spans="1:4" ht="12.75" customHeight="1">
      <c r="A652" s="22"/>
      <c r="B652" s="22"/>
      <c r="C652" s="22"/>
      <c r="D652" s="22"/>
    </row>
    <row r="653" spans="1:4" ht="12.75" customHeight="1">
      <c r="A653" s="22"/>
      <c r="B653" s="22"/>
      <c r="C653" s="22"/>
      <c r="D653" s="22"/>
    </row>
    <row r="654" spans="1:4" ht="12.75" customHeight="1">
      <c r="A654" s="22"/>
      <c r="B654" s="22"/>
      <c r="C654" s="22"/>
      <c r="D654" s="22"/>
    </row>
    <row r="655" spans="1:4" ht="12.75" customHeight="1">
      <c r="A655" s="22"/>
      <c r="B655" s="22"/>
      <c r="C655" s="22"/>
      <c r="D655" s="22"/>
    </row>
    <row r="656" spans="1:4" ht="12.75" customHeight="1">
      <c r="A656" s="22"/>
      <c r="B656" s="22"/>
      <c r="C656" s="22"/>
      <c r="D656" s="22"/>
    </row>
    <row r="657" spans="1:4" ht="12.75" customHeight="1">
      <c r="A657" s="22"/>
      <c r="B657" s="22"/>
      <c r="C657" s="22"/>
      <c r="D657" s="22"/>
    </row>
    <row r="658" spans="1:4" ht="12.75" customHeight="1">
      <c r="A658" s="22"/>
      <c r="B658" s="22"/>
      <c r="C658" s="22"/>
      <c r="D658" s="22"/>
    </row>
    <row r="659" spans="1:4" ht="12.75" customHeight="1">
      <c r="A659" s="22"/>
      <c r="B659" s="22"/>
      <c r="C659" s="22"/>
      <c r="D659" s="22"/>
    </row>
    <row r="660" spans="1:4" ht="12.75" customHeight="1">
      <c r="A660" s="22"/>
      <c r="B660" s="22"/>
      <c r="C660" s="22"/>
      <c r="D660" s="22"/>
    </row>
    <row r="661" spans="1:4" ht="12.75" customHeight="1">
      <c r="A661" s="22"/>
      <c r="B661" s="22"/>
      <c r="C661" s="22"/>
      <c r="D661" s="22"/>
    </row>
    <row r="662" spans="1:4" ht="12.75" customHeight="1">
      <c r="A662" s="22"/>
      <c r="B662" s="22"/>
      <c r="C662" s="22"/>
      <c r="D662" s="22"/>
    </row>
    <row r="663" spans="1:4" ht="12.75" customHeight="1">
      <c r="A663" s="22"/>
      <c r="B663" s="22"/>
      <c r="C663" s="22"/>
      <c r="D663" s="22"/>
    </row>
    <row r="664" spans="1:4" ht="12.75" customHeight="1">
      <c r="A664" s="22"/>
      <c r="B664" s="22"/>
      <c r="C664" s="22"/>
      <c r="D664" s="22"/>
    </row>
    <row r="665" spans="1:4" ht="12.75" customHeight="1">
      <c r="A665" s="22"/>
      <c r="B665" s="22"/>
      <c r="C665" s="22"/>
      <c r="D665" s="22"/>
    </row>
    <row r="666" spans="1:4" ht="12.75" customHeight="1">
      <c r="A666" s="22"/>
      <c r="B666" s="22"/>
      <c r="C666" s="22"/>
      <c r="D666" s="22"/>
    </row>
    <row r="667" spans="1:4" ht="12.75" customHeight="1">
      <c r="A667" s="22"/>
      <c r="B667" s="22"/>
      <c r="C667" s="22"/>
      <c r="D667" s="22"/>
    </row>
    <row r="668" spans="1:4" ht="12.75" customHeight="1">
      <c r="A668" s="22"/>
      <c r="B668" s="22"/>
      <c r="C668" s="22"/>
      <c r="D668" s="22"/>
    </row>
    <row r="669" spans="1:4" ht="12.75" customHeight="1">
      <c r="A669" s="22"/>
      <c r="B669" s="22"/>
      <c r="C669" s="22"/>
      <c r="D669" s="22"/>
    </row>
    <row r="670" spans="1:4" ht="12.75" customHeight="1">
      <c r="A670" s="22"/>
      <c r="B670" s="22"/>
      <c r="C670" s="22"/>
      <c r="D670" s="22"/>
    </row>
    <row r="671" spans="1:4" ht="12.75" customHeight="1">
      <c r="A671" s="22"/>
      <c r="B671" s="22"/>
      <c r="C671" s="22"/>
      <c r="D671" s="22"/>
    </row>
    <row r="672" spans="1:4" ht="12.75" customHeight="1">
      <c r="A672" s="22"/>
      <c r="B672" s="22"/>
      <c r="C672" s="22"/>
      <c r="D672" s="22"/>
    </row>
    <row r="673" spans="1:4" ht="12.75" customHeight="1">
      <c r="A673" s="22"/>
      <c r="B673" s="22"/>
      <c r="C673" s="22"/>
      <c r="D673" s="22"/>
    </row>
    <row r="674" spans="1:4" ht="12.75" customHeight="1">
      <c r="A674" s="22"/>
      <c r="B674" s="22"/>
      <c r="C674" s="22"/>
      <c r="D674" s="22"/>
    </row>
    <row r="675" spans="1:4" ht="12.75" customHeight="1">
      <c r="A675" s="22"/>
      <c r="B675" s="22"/>
      <c r="C675" s="22"/>
      <c r="D675" s="22"/>
    </row>
    <row r="676" spans="1:4" ht="12.75" customHeight="1">
      <c r="A676" s="22"/>
      <c r="B676" s="22"/>
      <c r="C676" s="22"/>
      <c r="D676" s="22"/>
    </row>
    <row r="677" spans="1:4" ht="12.75" customHeight="1">
      <c r="A677" s="22"/>
      <c r="B677" s="22"/>
      <c r="C677" s="22"/>
      <c r="D677" s="22"/>
    </row>
    <row r="678" spans="1:4" ht="12.75" customHeight="1">
      <c r="A678" s="22"/>
      <c r="B678" s="22"/>
      <c r="C678" s="22"/>
      <c r="D678" s="22"/>
    </row>
    <row r="679" spans="1:4" ht="12.75" customHeight="1">
      <c r="A679" s="22"/>
      <c r="B679" s="22"/>
      <c r="C679" s="22"/>
      <c r="D679" s="22"/>
    </row>
    <row r="680" spans="1:4" ht="12.75" customHeight="1">
      <c r="A680" s="22"/>
      <c r="B680" s="22"/>
      <c r="C680" s="22"/>
      <c r="D680" s="22"/>
    </row>
    <row r="681" spans="1:4" ht="12.75" customHeight="1">
      <c r="A681" s="22"/>
      <c r="B681" s="22"/>
      <c r="C681" s="22"/>
      <c r="D681" s="22"/>
    </row>
    <row r="682" spans="1:4" ht="12.75" customHeight="1">
      <c r="A682" s="22"/>
      <c r="B682" s="22"/>
      <c r="C682" s="22"/>
      <c r="D682" s="22"/>
    </row>
    <row r="683" spans="1:4" ht="12.75" customHeight="1">
      <c r="A683" s="22"/>
      <c r="B683" s="22"/>
      <c r="C683" s="22"/>
      <c r="D683" s="22"/>
    </row>
    <row r="684" spans="1:4" ht="12.75" customHeight="1">
      <c r="A684" s="22"/>
      <c r="B684" s="22"/>
      <c r="C684" s="22"/>
      <c r="D684" s="22"/>
    </row>
    <row r="685" spans="1:4" ht="12.75" customHeight="1">
      <c r="A685" s="22"/>
      <c r="B685" s="22"/>
      <c r="C685" s="22"/>
      <c r="D685" s="22"/>
    </row>
    <row r="686" spans="1:4" ht="12.75" customHeight="1">
      <c r="A686" s="22"/>
      <c r="B686" s="22"/>
      <c r="C686" s="22"/>
      <c r="D686" s="22"/>
    </row>
    <row r="687" spans="1:4" ht="12.75" customHeight="1">
      <c r="A687" s="22"/>
      <c r="B687" s="22"/>
      <c r="C687" s="22"/>
      <c r="D687" s="22"/>
    </row>
    <row r="688" spans="1:4" ht="12.75" customHeight="1">
      <c r="A688" s="22"/>
      <c r="B688" s="22"/>
      <c r="C688" s="22"/>
      <c r="D688" s="22"/>
    </row>
    <row r="689" spans="1:4" ht="12.75" customHeight="1">
      <c r="A689" s="22"/>
      <c r="B689" s="22"/>
      <c r="C689" s="22"/>
      <c r="D689" s="22"/>
    </row>
    <row r="690" spans="1:4" ht="12.75" customHeight="1">
      <c r="A690" s="22"/>
      <c r="B690" s="22"/>
      <c r="C690" s="22"/>
      <c r="D690" s="22"/>
    </row>
    <row r="691" spans="1:4" ht="12.75" customHeight="1">
      <c r="A691" s="22"/>
      <c r="B691" s="22"/>
      <c r="C691" s="22"/>
      <c r="D691" s="22"/>
    </row>
    <row r="692" spans="1:4" ht="12.75" customHeight="1">
      <c r="A692" s="22"/>
      <c r="B692" s="22"/>
      <c r="C692" s="22"/>
      <c r="D692" s="22"/>
    </row>
    <row r="693" spans="1:4" ht="12.75" customHeight="1">
      <c r="A693" s="22"/>
      <c r="B693" s="22"/>
      <c r="C693" s="22"/>
      <c r="D693" s="22"/>
    </row>
    <row r="694" spans="1:4" ht="12.75" customHeight="1">
      <c r="A694" s="22"/>
      <c r="B694" s="22"/>
      <c r="C694" s="22"/>
      <c r="D694" s="22"/>
    </row>
    <row r="695" spans="1:4" ht="12.75" customHeight="1">
      <c r="A695" s="22"/>
      <c r="B695" s="22"/>
      <c r="C695" s="22"/>
      <c r="D695" s="22"/>
    </row>
    <row r="696" spans="1:4" ht="12.75" customHeight="1">
      <c r="A696" s="22"/>
      <c r="B696" s="22"/>
      <c r="C696" s="22"/>
      <c r="D696" s="22"/>
    </row>
    <row r="697" spans="1:4" ht="12.75" customHeight="1">
      <c r="A697" s="22"/>
      <c r="B697" s="22"/>
      <c r="C697" s="22"/>
      <c r="D697" s="22"/>
    </row>
    <row r="698" spans="1:4" ht="12.75" customHeight="1">
      <c r="A698" s="22"/>
      <c r="B698" s="22"/>
      <c r="C698" s="22"/>
      <c r="D698" s="22"/>
    </row>
    <row r="699" spans="1:4" ht="12.75" customHeight="1">
      <c r="A699" s="22"/>
      <c r="B699" s="22"/>
      <c r="C699" s="22"/>
      <c r="D699" s="22"/>
    </row>
    <row r="700" spans="1:4" ht="12.75" customHeight="1">
      <c r="A700" s="22"/>
      <c r="B700" s="22"/>
      <c r="C700" s="22"/>
      <c r="D700" s="22"/>
    </row>
    <row r="701" spans="1:4" ht="12.75" customHeight="1">
      <c r="A701" s="22"/>
      <c r="B701" s="22"/>
      <c r="C701" s="22"/>
      <c r="D701" s="22"/>
    </row>
    <row r="702" spans="1:4" ht="12.75" customHeight="1">
      <c r="A702" s="22"/>
      <c r="B702" s="22"/>
      <c r="C702" s="22"/>
      <c r="D702" s="22"/>
    </row>
    <row r="703" spans="1:4" ht="12.75" customHeight="1">
      <c r="A703" s="22"/>
      <c r="B703" s="22"/>
      <c r="C703" s="22"/>
      <c r="D703" s="22"/>
    </row>
    <row r="704" spans="1:4" ht="12.75" customHeight="1">
      <c r="A704" s="22"/>
      <c r="B704" s="22"/>
      <c r="C704" s="22"/>
      <c r="D704" s="22"/>
    </row>
    <row r="705" spans="1:4" ht="12.75" customHeight="1">
      <c r="A705" s="22"/>
      <c r="B705" s="22"/>
      <c r="C705" s="22"/>
      <c r="D705" s="22"/>
    </row>
    <row r="706" spans="1:4" ht="12.75" customHeight="1">
      <c r="A706" s="22"/>
      <c r="B706" s="22"/>
      <c r="C706" s="22"/>
      <c r="D706" s="22"/>
    </row>
    <row r="707" spans="1:4" ht="12.75" customHeight="1">
      <c r="A707" s="22"/>
      <c r="B707" s="22"/>
      <c r="C707" s="22"/>
      <c r="D707" s="22"/>
    </row>
    <row r="708" spans="1:4" ht="12.75" customHeight="1">
      <c r="A708" s="22"/>
      <c r="B708" s="22"/>
      <c r="C708" s="22"/>
      <c r="D708" s="22"/>
    </row>
    <row r="709" spans="1:4" ht="12.75" customHeight="1">
      <c r="A709" s="22"/>
      <c r="B709" s="22"/>
      <c r="C709" s="22"/>
      <c r="D709" s="22"/>
    </row>
    <row r="710" spans="1:4" ht="12.75" customHeight="1">
      <c r="A710" s="22"/>
      <c r="B710" s="22"/>
      <c r="C710" s="22"/>
      <c r="D710" s="22"/>
    </row>
    <row r="711" spans="1:4" ht="12.75" customHeight="1">
      <c r="A711" s="22"/>
      <c r="B711" s="22"/>
      <c r="C711" s="22"/>
      <c r="D711" s="22"/>
    </row>
    <row r="712" spans="1:4" ht="12.75" customHeight="1">
      <c r="A712" s="22"/>
      <c r="B712" s="22"/>
      <c r="C712" s="22"/>
      <c r="D712" s="22"/>
    </row>
    <row r="713" spans="1:4" ht="12.75" customHeight="1">
      <c r="A713" s="22"/>
      <c r="B713" s="22"/>
      <c r="C713" s="22"/>
      <c r="D713" s="22"/>
    </row>
    <row r="714" spans="1:4" ht="12.75" customHeight="1">
      <c r="A714" s="22"/>
      <c r="B714" s="22"/>
      <c r="C714" s="22"/>
      <c r="D714" s="22"/>
    </row>
    <row r="715" spans="1:4" ht="12.75" customHeight="1">
      <c r="A715" s="22"/>
      <c r="B715" s="22"/>
      <c r="C715" s="22"/>
      <c r="D715" s="22"/>
    </row>
    <row r="716" spans="1:4" ht="12.75" customHeight="1">
      <c r="A716" s="22"/>
      <c r="B716" s="22"/>
      <c r="C716" s="22"/>
      <c r="D716" s="22"/>
    </row>
    <row r="717" spans="1:4" ht="12.75" customHeight="1">
      <c r="A717" s="22"/>
      <c r="B717" s="22"/>
      <c r="C717" s="22"/>
      <c r="D717" s="22"/>
    </row>
    <row r="718" spans="1:4" ht="12.75" customHeight="1">
      <c r="A718" s="22"/>
      <c r="B718" s="22"/>
      <c r="C718" s="22"/>
      <c r="D718" s="22"/>
    </row>
    <row r="719" spans="1:4" ht="12.75" customHeight="1">
      <c r="A719" s="22"/>
      <c r="B719" s="22"/>
      <c r="C719" s="22"/>
      <c r="D719" s="22"/>
    </row>
    <row r="720" spans="1:4" ht="12.75" customHeight="1">
      <c r="A720" s="22"/>
      <c r="B720" s="22"/>
      <c r="C720" s="22"/>
      <c r="D720" s="22"/>
    </row>
    <row r="721" spans="1:4" ht="12.75" customHeight="1">
      <c r="A721" s="22"/>
      <c r="B721" s="22"/>
      <c r="C721" s="22"/>
      <c r="D721" s="22"/>
    </row>
    <row r="722" spans="1:4" ht="12.75" customHeight="1">
      <c r="A722" s="22"/>
      <c r="B722" s="22"/>
      <c r="C722" s="22"/>
      <c r="D722" s="22"/>
    </row>
    <row r="723" spans="1:4" ht="12.75" customHeight="1">
      <c r="A723" s="22"/>
      <c r="B723" s="22"/>
      <c r="C723" s="22"/>
      <c r="D723" s="22"/>
    </row>
    <row r="724" spans="1:4" ht="12.75" customHeight="1">
      <c r="A724" s="22"/>
      <c r="B724" s="22"/>
      <c r="C724" s="22"/>
      <c r="D724" s="22"/>
    </row>
    <row r="725" spans="1:4" ht="12.75" customHeight="1">
      <c r="A725" s="22"/>
      <c r="B725" s="22"/>
      <c r="C725" s="22"/>
      <c r="D725" s="22"/>
    </row>
    <row r="726" spans="1:4" ht="12.75" customHeight="1">
      <c r="A726" s="22"/>
      <c r="B726" s="22"/>
      <c r="C726" s="22"/>
      <c r="D726" s="22"/>
    </row>
    <row r="727" spans="1:4" ht="12.75" customHeight="1">
      <c r="A727" s="22"/>
      <c r="B727" s="22"/>
      <c r="C727" s="22"/>
      <c r="D727" s="22"/>
    </row>
    <row r="728" spans="1:4" ht="12.75" customHeight="1">
      <c r="A728" s="22"/>
      <c r="B728" s="22"/>
      <c r="C728" s="22"/>
      <c r="D728" s="22"/>
    </row>
    <row r="729" spans="1:4" ht="12.75" customHeight="1">
      <c r="A729" s="22"/>
      <c r="B729" s="22"/>
      <c r="C729" s="22"/>
      <c r="D729" s="22"/>
    </row>
    <row r="730" spans="1:4" ht="12.75" customHeight="1">
      <c r="A730" s="22"/>
      <c r="B730" s="22"/>
      <c r="C730" s="22"/>
      <c r="D730" s="22"/>
    </row>
    <row r="731" spans="1:4" ht="12.75" customHeight="1">
      <c r="A731" s="22"/>
      <c r="B731" s="22"/>
      <c r="C731" s="22"/>
      <c r="D731" s="22"/>
    </row>
    <row r="732" spans="1:4" ht="12.75" customHeight="1">
      <c r="A732" s="22"/>
      <c r="B732" s="22"/>
      <c r="C732" s="22"/>
      <c r="D732" s="22"/>
    </row>
    <row r="733" spans="1:4" ht="12.75" customHeight="1">
      <c r="A733" s="22"/>
      <c r="B733" s="22"/>
      <c r="C733" s="22"/>
      <c r="D733" s="22"/>
    </row>
    <row r="734" spans="1:4" ht="12.75" customHeight="1">
      <c r="A734" s="22"/>
      <c r="B734" s="22"/>
      <c r="C734" s="22"/>
      <c r="D734" s="22"/>
    </row>
    <row r="735" spans="1:4" ht="12.75" customHeight="1">
      <c r="A735" s="22"/>
      <c r="B735" s="22"/>
      <c r="C735" s="22"/>
      <c r="D735" s="22"/>
    </row>
    <row r="736" spans="1:4" ht="12.75" customHeight="1">
      <c r="A736" s="22"/>
      <c r="B736" s="22"/>
      <c r="C736" s="22"/>
      <c r="D736" s="22"/>
    </row>
    <row r="737" spans="1:4" ht="12.75" customHeight="1">
      <c r="A737" s="22"/>
      <c r="B737" s="22"/>
      <c r="C737" s="22"/>
      <c r="D737" s="22"/>
    </row>
    <row r="738" spans="1:4" ht="12.75" customHeight="1">
      <c r="A738" s="22"/>
      <c r="B738" s="22"/>
      <c r="C738" s="22"/>
      <c r="D738" s="22"/>
    </row>
    <row r="739" spans="1:4" ht="12.75" customHeight="1">
      <c r="A739" s="22"/>
      <c r="B739" s="22"/>
      <c r="C739" s="22"/>
      <c r="D739" s="22"/>
    </row>
    <row r="740" spans="1:4" ht="12.75" customHeight="1">
      <c r="A740" s="22"/>
      <c r="B740" s="22"/>
      <c r="C740" s="22"/>
      <c r="D740" s="22"/>
    </row>
    <row r="741" spans="1:4" ht="12.75" customHeight="1">
      <c r="A741" s="22"/>
      <c r="B741" s="22"/>
      <c r="C741" s="22"/>
      <c r="D741" s="22"/>
    </row>
    <row r="742" spans="1:4" ht="12.75" customHeight="1">
      <c r="A742" s="22"/>
      <c r="B742" s="22"/>
      <c r="C742" s="22"/>
      <c r="D742" s="22"/>
    </row>
    <row r="743" spans="1:4" ht="12.75" customHeight="1">
      <c r="A743" s="22"/>
      <c r="B743" s="22"/>
      <c r="C743" s="22"/>
      <c r="D743" s="22"/>
    </row>
    <row r="744" spans="1:4" ht="12.75" customHeight="1">
      <c r="A744" s="22"/>
      <c r="B744" s="22"/>
      <c r="C744" s="22"/>
      <c r="D744" s="22"/>
    </row>
    <row r="745" spans="1:4" ht="12.75" customHeight="1">
      <c r="A745" s="22"/>
      <c r="B745" s="22"/>
      <c r="C745" s="22"/>
      <c r="D745" s="22"/>
    </row>
    <row r="746" spans="1:4" ht="12.75" customHeight="1">
      <c r="A746" s="22"/>
      <c r="B746" s="22"/>
      <c r="C746" s="22"/>
      <c r="D746" s="22"/>
    </row>
    <row r="747" spans="1:4" ht="12.75" customHeight="1">
      <c r="A747" s="22"/>
      <c r="B747" s="22"/>
      <c r="C747" s="22"/>
      <c r="D747" s="22"/>
    </row>
    <row r="748" spans="1:4" ht="12.75" customHeight="1">
      <c r="A748" s="22"/>
      <c r="B748" s="22"/>
      <c r="C748" s="22"/>
      <c r="D748" s="22"/>
    </row>
    <row r="749" spans="1:4" ht="12.75" customHeight="1">
      <c r="A749" s="22"/>
      <c r="B749" s="22"/>
      <c r="C749" s="22"/>
      <c r="D749" s="22"/>
    </row>
    <row r="750" spans="1:4" ht="12.75" customHeight="1">
      <c r="A750" s="22"/>
      <c r="B750" s="22"/>
      <c r="C750" s="22"/>
      <c r="D750" s="22"/>
    </row>
    <row r="751" spans="1:4" ht="12.75" customHeight="1">
      <c r="A751" s="22"/>
      <c r="B751" s="22"/>
      <c r="C751" s="22"/>
      <c r="D751" s="22"/>
    </row>
    <row r="752" spans="1:4" ht="12.75" customHeight="1">
      <c r="A752" s="22"/>
      <c r="B752" s="22"/>
      <c r="C752" s="22"/>
      <c r="D752" s="22"/>
    </row>
    <row r="753" spans="1:4" ht="12.75" customHeight="1">
      <c r="A753" s="22"/>
      <c r="B753" s="22"/>
      <c r="C753" s="22"/>
      <c r="D753" s="22"/>
    </row>
    <row r="754" spans="1:4" ht="12.75" customHeight="1">
      <c r="A754" s="22"/>
      <c r="B754" s="22"/>
      <c r="C754" s="22"/>
      <c r="D754" s="22"/>
    </row>
    <row r="755" spans="1:4" ht="12.75" customHeight="1">
      <c r="A755" s="22"/>
      <c r="B755" s="22"/>
      <c r="C755" s="22"/>
      <c r="D755" s="22"/>
    </row>
    <row r="756" spans="1:4" ht="12.75" customHeight="1">
      <c r="A756" s="22"/>
      <c r="B756" s="22"/>
      <c r="C756" s="22"/>
      <c r="D756" s="22"/>
    </row>
    <row r="757" spans="1:4" ht="12.75" customHeight="1">
      <c r="A757" s="22"/>
      <c r="B757" s="22"/>
      <c r="C757" s="22"/>
      <c r="D757" s="22"/>
    </row>
    <row r="758" spans="1:4" ht="12.75" customHeight="1">
      <c r="A758" s="22"/>
      <c r="B758" s="22"/>
      <c r="C758" s="22"/>
      <c r="D758" s="22"/>
    </row>
    <row r="759" spans="1:4" ht="12.75" customHeight="1">
      <c r="A759" s="22"/>
      <c r="B759" s="22"/>
      <c r="C759" s="22"/>
      <c r="D759" s="22"/>
    </row>
    <row r="760" spans="1:4" ht="12.75" customHeight="1">
      <c r="A760" s="22"/>
      <c r="B760" s="22"/>
      <c r="C760" s="22"/>
      <c r="D760" s="22"/>
    </row>
    <row r="761" spans="1:4" ht="12.75" customHeight="1">
      <c r="A761" s="22"/>
      <c r="B761" s="22"/>
      <c r="C761" s="22"/>
      <c r="D761" s="22"/>
    </row>
    <row r="762" spans="1:4" ht="12.75" customHeight="1">
      <c r="A762" s="22"/>
      <c r="B762" s="22"/>
      <c r="C762" s="22"/>
      <c r="D762" s="22"/>
    </row>
    <row r="763" spans="1:4" ht="12.75" customHeight="1">
      <c r="A763" s="22"/>
      <c r="B763" s="22"/>
      <c r="C763" s="22"/>
      <c r="D763" s="22"/>
    </row>
    <row r="764" spans="1:4" ht="12.75" customHeight="1">
      <c r="A764" s="22"/>
      <c r="B764" s="22"/>
      <c r="C764" s="22"/>
      <c r="D764" s="22"/>
    </row>
    <row r="765" spans="1:4" ht="12.75" customHeight="1">
      <c r="A765" s="22"/>
      <c r="B765" s="22"/>
      <c r="C765" s="22"/>
      <c r="D765" s="22"/>
    </row>
    <row r="766" spans="1:4" ht="12.75" customHeight="1">
      <c r="A766" s="22"/>
      <c r="B766" s="22"/>
      <c r="C766" s="22"/>
      <c r="D766" s="22"/>
    </row>
    <row r="767" spans="1:4" ht="12.75" customHeight="1">
      <c r="A767" s="22"/>
      <c r="B767" s="22"/>
      <c r="C767" s="22"/>
      <c r="D767" s="22"/>
    </row>
    <row r="768" spans="1:4" ht="12.75" customHeight="1">
      <c r="A768" s="22"/>
      <c r="B768" s="22"/>
      <c r="C768" s="22"/>
      <c r="D768" s="22"/>
    </row>
    <row r="769" spans="1:4" ht="12.75" customHeight="1">
      <c r="A769" s="22"/>
      <c r="B769" s="22"/>
      <c r="C769" s="22"/>
      <c r="D769" s="22"/>
    </row>
    <row r="770" spans="1:4" ht="12.75" customHeight="1">
      <c r="A770" s="22"/>
      <c r="B770" s="22"/>
      <c r="C770" s="22"/>
      <c r="D770" s="22"/>
    </row>
    <row r="771" spans="1:4" ht="12.75" customHeight="1">
      <c r="A771" s="22"/>
      <c r="B771" s="22"/>
      <c r="C771" s="22"/>
      <c r="D771" s="22"/>
    </row>
    <row r="772" spans="1:4" ht="12.75" customHeight="1">
      <c r="A772" s="22"/>
      <c r="B772" s="22"/>
      <c r="C772" s="22"/>
      <c r="D772" s="22"/>
    </row>
    <row r="773" spans="1:4" ht="12.75" customHeight="1">
      <c r="A773" s="22"/>
      <c r="B773" s="22"/>
      <c r="C773" s="22"/>
      <c r="D773" s="22"/>
    </row>
    <row r="774" spans="1:4" ht="12.75" customHeight="1">
      <c r="A774" s="22"/>
      <c r="B774" s="22"/>
      <c r="C774" s="22"/>
      <c r="D774" s="22"/>
    </row>
    <row r="775" spans="1:4" ht="12.75" customHeight="1">
      <c r="A775" s="22"/>
      <c r="B775" s="22"/>
      <c r="C775" s="22"/>
      <c r="D775" s="22"/>
    </row>
    <row r="776" spans="1:4" ht="12.75" customHeight="1">
      <c r="A776" s="22"/>
      <c r="B776" s="22"/>
      <c r="C776" s="22"/>
      <c r="D776" s="22"/>
    </row>
    <row r="777" spans="1:4" ht="12.75" customHeight="1">
      <c r="A777" s="22"/>
      <c r="B777" s="22"/>
      <c r="C777" s="22"/>
      <c r="D777" s="22"/>
    </row>
    <row r="778" spans="1:4" ht="12.75" customHeight="1">
      <c r="A778" s="22"/>
      <c r="B778" s="22"/>
      <c r="C778" s="22"/>
      <c r="D778" s="22"/>
    </row>
    <row r="779" spans="1:4" ht="12.75" customHeight="1">
      <c r="A779" s="22"/>
      <c r="B779" s="22"/>
      <c r="C779" s="22"/>
      <c r="D779" s="22"/>
    </row>
    <row r="780" spans="1:4" ht="12.75" customHeight="1">
      <c r="A780" s="22"/>
      <c r="B780" s="22"/>
      <c r="C780" s="22"/>
      <c r="D780" s="22"/>
    </row>
    <row r="781" spans="1:4" ht="12.75" customHeight="1">
      <c r="A781" s="22"/>
      <c r="B781" s="22"/>
      <c r="C781" s="22"/>
      <c r="D781" s="22"/>
    </row>
    <row r="782" spans="1:4" ht="12.75" customHeight="1">
      <c r="A782" s="22"/>
      <c r="B782" s="22"/>
      <c r="C782" s="22"/>
      <c r="D782" s="22"/>
    </row>
    <row r="783" spans="1:4" ht="12.75" customHeight="1">
      <c r="A783" s="22"/>
      <c r="B783" s="22"/>
      <c r="C783" s="22"/>
      <c r="D783" s="22"/>
    </row>
    <row r="784" spans="1:4" ht="12.75" customHeight="1">
      <c r="A784" s="22"/>
      <c r="B784" s="22"/>
      <c r="C784" s="22"/>
      <c r="D784" s="22"/>
    </row>
    <row r="785" spans="1:4" ht="12.75" customHeight="1">
      <c r="A785" s="22"/>
      <c r="B785" s="22"/>
      <c r="C785" s="22"/>
      <c r="D785" s="22"/>
    </row>
    <row r="786" spans="1:4" ht="12.75" customHeight="1">
      <c r="A786" s="22"/>
      <c r="B786" s="22"/>
      <c r="C786" s="22"/>
      <c r="D786" s="22"/>
    </row>
    <row r="787" spans="1:4" ht="12.75" customHeight="1">
      <c r="A787" s="22"/>
      <c r="B787" s="22"/>
      <c r="C787" s="22"/>
      <c r="D787" s="22"/>
    </row>
    <row r="788" spans="1:4" ht="12.75" customHeight="1">
      <c r="A788" s="22"/>
      <c r="B788" s="22"/>
      <c r="C788" s="22"/>
      <c r="D788" s="22"/>
    </row>
    <row r="789" spans="1:4" ht="12.75" customHeight="1">
      <c r="A789" s="22"/>
      <c r="B789" s="22"/>
      <c r="C789" s="22"/>
      <c r="D789" s="22"/>
    </row>
    <row r="790" spans="1:4" ht="12.75" customHeight="1">
      <c r="A790" s="22"/>
      <c r="B790" s="22"/>
      <c r="C790" s="22"/>
      <c r="D790" s="22"/>
    </row>
    <row r="791" spans="1:4" ht="12.75" customHeight="1">
      <c r="A791" s="22"/>
      <c r="B791" s="22"/>
      <c r="C791" s="22"/>
      <c r="D791" s="22"/>
    </row>
    <row r="792" spans="1:4" ht="12.75" customHeight="1">
      <c r="A792" s="22"/>
      <c r="B792" s="22"/>
      <c r="C792" s="22"/>
      <c r="D792" s="22"/>
    </row>
    <row r="793" spans="1:4" ht="12.75" customHeight="1">
      <c r="A793" s="22"/>
      <c r="B793" s="22"/>
      <c r="C793" s="22"/>
      <c r="D793" s="22"/>
    </row>
    <row r="794" spans="1:4" ht="12.75" customHeight="1">
      <c r="A794" s="22"/>
      <c r="B794" s="22"/>
      <c r="C794" s="22"/>
      <c r="D794" s="22"/>
    </row>
    <row r="795" spans="1:4" ht="12.75" customHeight="1">
      <c r="A795" s="22"/>
      <c r="B795" s="22"/>
      <c r="C795" s="22"/>
      <c r="D795" s="22"/>
    </row>
    <row r="796" spans="1:4" ht="12.75" customHeight="1">
      <c r="A796" s="22"/>
      <c r="B796" s="22"/>
      <c r="C796" s="22"/>
      <c r="D796" s="22"/>
    </row>
    <row r="797" spans="1:4" ht="12.75" customHeight="1">
      <c r="A797" s="22"/>
      <c r="B797" s="22"/>
      <c r="C797" s="22"/>
      <c r="D797" s="22"/>
    </row>
    <row r="798" spans="1:4" ht="12.75" customHeight="1">
      <c r="A798" s="22"/>
      <c r="B798" s="22"/>
      <c r="C798" s="22"/>
      <c r="D798" s="22"/>
    </row>
    <row r="799" spans="1:4" ht="12.75" customHeight="1">
      <c r="A799" s="22"/>
      <c r="B799" s="22"/>
      <c r="C799" s="22"/>
      <c r="D799" s="22"/>
    </row>
    <row r="800" spans="1:4" ht="12.75" customHeight="1">
      <c r="A800" s="22"/>
      <c r="B800" s="22"/>
      <c r="C800" s="22"/>
      <c r="D800" s="22"/>
    </row>
    <row r="801" spans="1:4" ht="12.75" customHeight="1">
      <c r="A801" s="22"/>
      <c r="B801" s="22"/>
      <c r="C801" s="22"/>
      <c r="D801" s="22"/>
    </row>
    <row r="802" spans="1:4" ht="12.75" customHeight="1">
      <c r="A802" s="22"/>
      <c r="B802" s="22"/>
      <c r="C802" s="22"/>
      <c r="D802" s="22"/>
    </row>
    <row r="803" spans="1:4" ht="12.75" customHeight="1">
      <c r="A803" s="22"/>
      <c r="B803" s="22"/>
      <c r="C803" s="22"/>
      <c r="D803" s="22"/>
    </row>
    <row r="804" spans="1:4" ht="12.75" customHeight="1">
      <c r="A804" s="22"/>
      <c r="B804" s="22"/>
      <c r="C804" s="22"/>
      <c r="D804" s="22"/>
    </row>
    <row r="805" spans="1:4" ht="12.75" customHeight="1">
      <c r="A805" s="22"/>
      <c r="B805" s="22"/>
      <c r="C805" s="22"/>
      <c r="D805" s="22"/>
    </row>
    <row r="806" spans="1:4" ht="12.75" customHeight="1">
      <c r="A806" s="22"/>
      <c r="B806" s="22"/>
      <c r="C806" s="22"/>
      <c r="D806" s="22"/>
    </row>
    <row r="807" spans="1:4" ht="12.75" customHeight="1">
      <c r="A807" s="22"/>
      <c r="B807" s="22"/>
      <c r="C807" s="22"/>
      <c r="D807" s="22"/>
    </row>
    <row r="808" spans="1:4" ht="12.75" customHeight="1">
      <c r="A808" s="22"/>
      <c r="B808" s="22"/>
      <c r="C808" s="22"/>
      <c r="D808" s="22"/>
    </row>
    <row r="809" spans="1:4" ht="12.75" customHeight="1">
      <c r="A809" s="22"/>
      <c r="B809" s="22"/>
      <c r="C809" s="22"/>
      <c r="D809" s="22"/>
    </row>
    <row r="810" spans="1:4" ht="12.75" customHeight="1">
      <c r="A810" s="22"/>
      <c r="B810" s="22"/>
      <c r="C810" s="22"/>
      <c r="D810" s="22"/>
    </row>
    <row r="811" spans="1:4" ht="12.75" customHeight="1">
      <c r="A811" s="22"/>
      <c r="B811" s="22"/>
      <c r="C811" s="22"/>
      <c r="D811" s="22"/>
    </row>
    <row r="812" spans="1:4" ht="12.75" customHeight="1">
      <c r="A812" s="22"/>
      <c r="B812" s="22"/>
      <c r="C812" s="22"/>
      <c r="D812" s="22"/>
    </row>
    <row r="813" spans="1:4" ht="12.75" customHeight="1">
      <c r="A813" s="22"/>
      <c r="B813" s="22"/>
      <c r="C813" s="22"/>
      <c r="D813" s="22"/>
    </row>
    <row r="814" spans="1:4" ht="12.75" customHeight="1">
      <c r="A814" s="22"/>
      <c r="B814" s="22"/>
      <c r="C814" s="22"/>
      <c r="D814" s="22"/>
    </row>
    <row r="815" spans="1:4" ht="12.75" customHeight="1">
      <c r="A815" s="22"/>
      <c r="B815" s="22"/>
      <c r="C815" s="22"/>
      <c r="D815" s="22"/>
    </row>
    <row r="816" spans="1:4" ht="12.75" customHeight="1">
      <c r="A816" s="22"/>
      <c r="B816" s="22"/>
      <c r="C816" s="22"/>
      <c r="D816" s="22"/>
    </row>
    <row r="817" spans="1:4" ht="12.75" customHeight="1">
      <c r="A817" s="22"/>
      <c r="B817" s="22"/>
      <c r="C817" s="22"/>
      <c r="D817" s="22"/>
    </row>
    <row r="818" spans="1:4" ht="12.75" customHeight="1">
      <c r="A818" s="22"/>
      <c r="B818" s="22"/>
      <c r="C818" s="22"/>
      <c r="D818" s="22"/>
    </row>
    <row r="819" spans="1:4" ht="12.75" customHeight="1">
      <c r="A819" s="22"/>
      <c r="B819" s="22"/>
      <c r="C819" s="22"/>
      <c r="D819" s="22"/>
    </row>
    <row r="820" spans="1:4" ht="12.75" customHeight="1">
      <c r="A820" s="22"/>
      <c r="B820" s="22"/>
      <c r="C820" s="22"/>
      <c r="D820" s="22"/>
    </row>
    <row r="821" spans="1:4" ht="12.75" customHeight="1">
      <c r="A821" s="22"/>
      <c r="B821" s="22"/>
      <c r="C821" s="22"/>
      <c r="D821" s="22"/>
    </row>
    <row r="822" spans="1:4" ht="12.75" customHeight="1">
      <c r="A822" s="22"/>
      <c r="B822" s="22"/>
      <c r="C822" s="22"/>
      <c r="D822" s="22"/>
    </row>
    <row r="823" spans="1:4" ht="12.75" customHeight="1">
      <c r="A823" s="22"/>
      <c r="B823" s="22"/>
      <c r="C823" s="22"/>
      <c r="D823" s="22"/>
    </row>
    <row r="824" spans="1:4" ht="12.75" customHeight="1">
      <c r="A824" s="22"/>
      <c r="B824" s="22"/>
      <c r="C824" s="22"/>
      <c r="D824" s="22"/>
    </row>
    <row r="825" spans="1:4" ht="12.75" customHeight="1">
      <c r="A825" s="22"/>
      <c r="B825" s="22"/>
      <c r="C825" s="22"/>
      <c r="D825" s="22"/>
    </row>
    <row r="826" spans="1:4" ht="12.75" customHeight="1">
      <c r="A826" s="22"/>
      <c r="B826" s="22"/>
      <c r="C826" s="22"/>
      <c r="D826" s="22"/>
    </row>
    <row r="827" spans="1:4" ht="12.75" customHeight="1">
      <c r="A827" s="22"/>
      <c r="B827" s="22"/>
      <c r="C827" s="22"/>
      <c r="D827" s="22"/>
    </row>
    <row r="828" spans="1:4" ht="12.75" customHeight="1">
      <c r="A828" s="22"/>
      <c r="B828" s="22"/>
      <c r="C828" s="22"/>
      <c r="D828" s="22"/>
    </row>
    <row r="829" spans="1:4" ht="12.75" customHeight="1">
      <c r="A829" s="22"/>
      <c r="B829" s="22"/>
      <c r="C829" s="22"/>
      <c r="D829" s="22"/>
    </row>
    <row r="830" spans="1:4" ht="12.75" customHeight="1">
      <c r="A830" s="22"/>
      <c r="B830" s="22"/>
      <c r="C830" s="22"/>
      <c r="D830" s="22"/>
    </row>
    <row r="831" spans="1:4" ht="12.75" customHeight="1">
      <c r="A831" s="22"/>
      <c r="B831" s="22"/>
      <c r="C831" s="22"/>
      <c r="D831" s="22"/>
    </row>
    <row r="832" spans="1:4" ht="12.75" customHeight="1">
      <c r="A832" s="22"/>
      <c r="B832" s="22"/>
      <c r="C832" s="22"/>
      <c r="D832" s="22"/>
    </row>
    <row r="833" spans="1:4" ht="12.75" customHeight="1">
      <c r="A833" s="22"/>
      <c r="B833" s="22"/>
      <c r="C833" s="22"/>
      <c r="D833" s="22"/>
    </row>
    <row r="834" spans="1:4" ht="12.75" customHeight="1">
      <c r="A834" s="22"/>
      <c r="B834" s="22"/>
      <c r="C834" s="22"/>
      <c r="D834" s="22"/>
    </row>
    <row r="835" spans="1:4" ht="12.75" customHeight="1">
      <c r="A835" s="22"/>
      <c r="B835" s="22"/>
      <c r="C835" s="22"/>
      <c r="D835" s="22"/>
    </row>
    <row r="836" spans="1:4" ht="12.75" customHeight="1">
      <c r="A836" s="22"/>
      <c r="B836" s="22"/>
      <c r="C836" s="22"/>
      <c r="D836" s="22"/>
    </row>
    <row r="837" spans="1:4" ht="12.75" customHeight="1">
      <c r="A837" s="22"/>
      <c r="B837" s="22"/>
      <c r="C837" s="22"/>
      <c r="D837" s="22"/>
    </row>
    <row r="838" spans="1:4" ht="12.75" customHeight="1">
      <c r="A838" s="22"/>
      <c r="B838" s="22"/>
      <c r="C838" s="22"/>
      <c r="D838" s="22"/>
    </row>
    <row r="839" spans="1:4" ht="12.75" customHeight="1">
      <c r="A839" s="22"/>
      <c r="B839" s="22"/>
      <c r="C839" s="22"/>
      <c r="D839" s="22"/>
    </row>
    <row r="840" spans="1:4" ht="12.75" customHeight="1">
      <c r="A840" s="22"/>
      <c r="B840" s="22"/>
      <c r="C840" s="22"/>
      <c r="D840" s="22"/>
    </row>
    <row r="841" spans="1:4" ht="12.75" customHeight="1">
      <c r="A841" s="22"/>
      <c r="B841" s="22"/>
      <c r="C841" s="22"/>
      <c r="D841" s="22"/>
    </row>
    <row r="842" spans="1:4" ht="12.75" customHeight="1">
      <c r="A842" s="22"/>
      <c r="B842" s="22"/>
      <c r="C842" s="22"/>
      <c r="D842" s="22"/>
    </row>
    <row r="843" spans="1:4" ht="12.75" customHeight="1">
      <c r="A843" s="22"/>
      <c r="B843" s="22"/>
      <c r="C843" s="22"/>
      <c r="D843" s="22"/>
    </row>
    <row r="844" spans="1:4" ht="12.75" customHeight="1">
      <c r="A844" s="22"/>
      <c r="B844" s="22"/>
      <c r="C844" s="22"/>
      <c r="D844" s="22"/>
    </row>
    <row r="845" spans="1:4" ht="12.75" customHeight="1">
      <c r="A845" s="22"/>
      <c r="B845" s="22"/>
      <c r="C845" s="22"/>
      <c r="D845" s="22"/>
    </row>
    <row r="846" spans="1:4" ht="12.75" customHeight="1">
      <c r="A846" s="22"/>
      <c r="B846" s="22"/>
      <c r="C846" s="22"/>
      <c r="D846" s="22"/>
    </row>
    <row r="847" spans="1:4" ht="12.75" customHeight="1">
      <c r="A847" s="22"/>
      <c r="B847" s="22"/>
      <c r="C847" s="22"/>
      <c r="D847" s="22"/>
    </row>
    <row r="848" spans="1:4" ht="12.75" customHeight="1">
      <c r="A848" s="22"/>
      <c r="B848" s="22"/>
      <c r="C848" s="22"/>
      <c r="D848" s="22"/>
    </row>
    <row r="849" spans="1:4" ht="12.75" customHeight="1">
      <c r="A849" s="22"/>
      <c r="B849" s="22"/>
      <c r="C849" s="22"/>
      <c r="D849" s="22"/>
    </row>
    <row r="850" spans="1:4" ht="12.75" customHeight="1">
      <c r="A850" s="22"/>
      <c r="B850" s="22"/>
      <c r="C850" s="22"/>
      <c r="D850" s="22"/>
    </row>
    <row r="851" spans="1:4" ht="12.75" customHeight="1">
      <c r="A851" s="22"/>
      <c r="B851" s="22"/>
      <c r="C851" s="22"/>
      <c r="D851" s="22"/>
    </row>
    <row r="852" spans="1:4" ht="12.75" customHeight="1">
      <c r="A852" s="22"/>
      <c r="B852" s="22"/>
      <c r="C852" s="22"/>
      <c r="D852" s="22"/>
    </row>
    <row r="853" spans="1:4" ht="12.75" customHeight="1">
      <c r="A853" s="22"/>
      <c r="B853" s="22"/>
      <c r="C853" s="22"/>
      <c r="D853" s="22"/>
    </row>
    <row r="854" spans="1:4" ht="12.75" customHeight="1">
      <c r="A854" s="22"/>
      <c r="B854" s="22"/>
      <c r="C854" s="22"/>
      <c r="D854" s="22"/>
    </row>
    <row r="855" spans="1:4" ht="12.75" customHeight="1">
      <c r="A855" s="22"/>
      <c r="B855" s="22"/>
      <c r="C855" s="22"/>
      <c r="D855" s="22"/>
    </row>
    <row r="856" spans="1:4" ht="12.75" customHeight="1">
      <c r="A856" s="22"/>
      <c r="B856" s="22"/>
      <c r="C856" s="22"/>
      <c r="D856" s="22"/>
    </row>
    <row r="857" spans="1:4" ht="12.75" customHeight="1">
      <c r="A857" s="22"/>
      <c r="B857" s="22"/>
      <c r="C857" s="22"/>
      <c r="D857" s="22"/>
    </row>
    <row r="858" spans="1:4" ht="12.75" customHeight="1">
      <c r="A858" s="22"/>
      <c r="B858" s="22"/>
      <c r="C858" s="22"/>
      <c r="D858" s="22"/>
    </row>
    <row r="859" spans="1:4" ht="12.75" customHeight="1">
      <c r="A859" s="22"/>
      <c r="B859" s="22"/>
      <c r="C859" s="22"/>
      <c r="D859" s="22"/>
    </row>
    <row r="860" spans="1:4" ht="12.75" customHeight="1">
      <c r="A860" s="22"/>
      <c r="B860" s="22"/>
      <c r="C860" s="22"/>
      <c r="D860" s="22"/>
    </row>
    <row r="861" spans="1:4" ht="12.75" customHeight="1">
      <c r="A861" s="22"/>
      <c r="B861" s="22"/>
      <c r="C861" s="22"/>
      <c r="D861" s="22"/>
    </row>
    <row r="862" spans="1:4" ht="12.75" customHeight="1">
      <c r="A862" s="22"/>
      <c r="B862" s="22"/>
      <c r="C862" s="22"/>
      <c r="D862" s="22"/>
    </row>
    <row r="863" spans="1:4" ht="12.75" customHeight="1">
      <c r="A863" s="22"/>
      <c r="B863" s="22"/>
      <c r="C863" s="22"/>
      <c r="D863" s="22"/>
    </row>
    <row r="864" spans="1:4" ht="12.75" customHeight="1">
      <c r="A864" s="22"/>
      <c r="B864" s="22"/>
      <c r="C864" s="22"/>
      <c r="D864" s="22"/>
    </row>
    <row r="865" spans="1:4" ht="12.75" customHeight="1">
      <c r="A865" s="22"/>
      <c r="B865" s="22"/>
      <c r="C865" s="22"/>
      <c r="D865" s="22"/>
    </row>
    <row r="866" spans="1:4" ht="12.75" customHeight="1">
      <c r="A866" s="22"/>
      <c r="B866" s="22"/>
      <c r="C866" s="22"/>
      <c r="D866" s="22"/>
    </row>
    <row r="867" spans="1:4" ht="12.75" customHeight="1">
      <c r="A867" s="22"/>
      <c r="B867" s="22"/>
      <c r="C867" s="22"/>
      <c r="D867" s="22"/>
    </row>
    <row r="868" spans="1:4" ht="12.75" customHeight="1">
      <c r="A868" s="22"/>
      <c r="B868" s="22"/>
      <c r="C868" s="22"/>
      <c r="D868" s="22"/>
    </row>
    <row r="869" spans="1:4" ht="12.75" customHeight="1">
      <c r="A869" s="22"/>
      <c r="B869" s="22"/>
      <c r="C869" s="22"/>
      <c r="D869" s="22"/>
    </row>
    <row r="870" spans="1:4" ht="12.75" customHeight="1">
      <c r="A870" s="22"/>
      <c r="B870" s="22"/>
      <c r="C870" s="22"/>
      <c r="D870" s="22"/>
    </row>
    <row r="871" spans="1:4" ht="12.75" customHeight="1">
      <c r="A871" s="22"/>
      <c r="B871" s="22"/>
      <c r="C871" s="22"/>
      <c r="D871" s="22"/>
    </row>
    <row r="872" spans="1:4" ht="12.75" customHeight="1">
      <c r="A872" s="22"/>
      <c r="B872" s="22"/>
      <c r="C872" s="22"/>
      <c r="D872" s="22"/>
    </row>
    <row r="873" spans="1:4" ht="12.75" customHeight="1">
      <c r="A873" s="22"/>
      <c r="B873" s="22"/>
      <c r="C873" s="22"/>
      <c r="D873" s="22"/>
    </row>
    <row r="874" spans="1:4" ht="12.75" customHeight="1">
      <c r="A874" s="22"/>
      <c r="B874" s="22"/>
      <c r="C874" s="22"/>
      <c r="D874" s="22"/>
    </row>
    <row r="875" spans="1:4" ht="12.75" customHeight="1">
      <c r="A875" s="22"/>
      <c r="B875" s="22"/>
      <c r="C875" s="22"/>
      <c r="D875" s="22"/>
    </row>
    <row r="876" spans="1:4" ht="12.75" customHeight="1">
      <c r="A876" s="22"/>
      <c r="B876" s="22"/>
      <c r="C876" s="22"/>
      <c r="D876" s="22"/>
    </row>
    <row r="877" spans="1:4" ht="12.75" customHeight="1">
      <c r="A877" s="22"/>
      <c r="B877" s="22"/>
      <c r="C877" s="22"/>
      <c r="D877" s="22"/>
    </row>
    <row r="878" spans="1:4" ht="12.75" customHeight="1">
      <c r="A878" s="22"/>
      <c r="B878" s="22"/>
      <c r="C878" s="22"/>
      <c r="D878" s="22"/>
    </row>
    <row r="879" spans="1:4" ht="12.75" customHeight="1">
      <c r="A879" s="22"/>
      <c r="B879" s="22"/>
      <c r="C879" s="22"/>
      <c r="D879" s="22"/>
    </row>
    <row r="880" spans="1:4" ht="12.75" customHeight="1">
      <c r="A880" s="22"/>
      <c r="B880" s="22"/>
      <c r="C880" s="22"/>
      <c r="D880" s="22"/>
    </row>
    <row r="881" spans="1:4" ht="12.75" customHeight="1">
      <c r="A881" s="22"/>
      <c r="B881" s="22"/>
      <c r="C881" s="22"/>
      <c r="D881" s="22"/>
    </row>
    <row r="882" spans="1:4" ht="12.75" customHeight="1">
      <c r="A882" s="22"/>
      <c r="B882" s="22"/>
      <c r="C882" s="22"/>
      <c r="D882" s="22"/>
    </row>
    <row r="883" spans="1:4" ht="12.75" customHeight="1">
      <c r="A883" s="22"/>
      <c r="B883" s="22"/>
      <c r="C883" s="22"/>
      <c r="D883" s="22"/>
    </row>
    <row r="884" spans="1:4" ht="12.75" customHeight="1">
      <c r="A884" s="22"/>
      <c r="B884" s="22"/>
      <c r="C884" s="22"/>
      <c r="D884" s="22"/>
    </row>
    <row r="885" spans="1:4" ht="12.75" customHeight="1">
      <c r="A885" s="22"/>
      <c r="B885" s="22"/>
      <c r="C885" s="22"/>
      <c r="D885" s="22"/>
    </row>
    <row r="886" spans="1:4" ht="12.75" customHeight="1">
      <c r="A886" s="22"/>
      <c r="B886" s="22"/>
      <c r="C886" s="22"/>
      <c r="D886" s="22"/>
    </row>
    <row r="887" spans="1:4" ht="12.75" customHeight="1">
      <c r="A887" s="22"/>
      <c r="B887" s="22"/>
      <c r="C887" s="22"/>
      <c r="D887" s="22"/>
    </row>
    <row r="888" spans="1:4" ht="12.75" customHeight="1">
      <c r="A888" s="22"/>
      <c r="B888" s="22"/>
      <c r="C888" s="22"/>
      <c r="D888" s="22"/>
    </row>
    <row r="889" spans="1:4" ht="12.75" customHeight="1">
      <c r="A889" s="22"/>
      <c r="B889" s="22"/>
      <c r="C889" s="22"/>
      <c r="D889" s="22"/>
    </row>
    <row r="890" spans="1:4" ht="12.75" customHeight="1">
      <c r="A890" s="22"/>
      <c r="B890" s="22"/>
      <c r="C890" s="22"/>
      <c r="D890" s="22"/>
    </row>
    <row r="891" spans="1:4" ht="12.75" customHeight="1">
      <c r="A891" s="22"/>
      <c r="B891" s="22"/>
      <c r="C891" s="22"/>
      <c r="D891" s="22"/>
    </row>
    <row r="892" spans="1:4" ht="12.75" customHeight="1">
      <c r="A892" s="22"/>
      <c r="B892" s="22"/>
      <c r="C892" s="22"/>
      <c r="D892" s="22"/>
    </row>
    <row r="893" spans="1:4" ht="12.75" customHeight="1">
      <c r="A893" s="22"/>
      <c r="B893" s="22"/>
      <c r="C893" s="22"/>
      <c r="D893" s="22"/>
    </row>
    <row r="894" spans="1:4" ht="12.75" customHeight="1">
      <c r="A894" s="22"/>
      <c r="B894" s="22"/>
      <c r="C894" s="22"/>
      <c r="D894" s="22"/>
    </row>
    <row r="895" spans="1:4" ht="12.75" customHeight="1">
      <c r="A895" s="22"/>
      <c r="B895" s="22"/>
      <c r="C895" s="22"/>
      <c r="D895" s="22"/>
    </row>
    <row r="896" spans="1:4" ht="12.75" customHeight="1">
      <c r="A896" s="22"/>
      <c r="B896" s="22"/>
      <c r="C896" s="22"/>
      <c r="D896" s="22"/>
    </row>
    <row r="897" spans="1:4" ht="12.75" customHeight="1">
      <c r="A897" s="22"/>
      <c r="B897" s="22"/>
      <c r="C897" s="22"/>
      <c r="D897" s="22"/>
    </row>
    <row r="898" spans="1:4" ht="12.75" customHeight="1">
      <c r="A898" s="22"/>
      <c r="B898" s="22"/>
      <c r="C898" s="22"/>
      <c r="D898" s="22"/>
    </row>
    <row r="899" spans="1:4" ht="12.75" customHeight="1">
      <c r="A899" s="22"/>
      <c r="B899" s="22"/>
      <c r="C899" s="22"/>
      <c r="D899" s="22"/>
    </row>
    <row r="900" spans="1:4" ht="12.75" customHeight="1">
      <c r="A900" s="22"/>
      <c r="B900" s="22"/>
      <c r="C900" s="22"/>
      <c r="D900" s="22"/>
    </row>
    <row r="901" spans="1:4" ht="12.75" customHeight="1">
      <c r="A901" s="22"/>
      <c r="B901" s="22"/>
      <c r="C901" s="22"/>
      <c r="D901" s="22"/>
    </row>
    <row r="902" spans="1:4" ht="12.75" customHeight="1">
      <c r="A902" s="22"/>
      <c r="B902" s="22"/>
      <c r="C902" s="22"/>
      <c r="D902" s="22"/>
    </row>
    <row r="903" spans="1:4" ht="12.75" customHeight="1">
      <c r="A903" s="22"/>
      <c r="B903" s="22"/>
      <c r="C903" s="22"/>
      <c r="D903" s="22"/>
    </row>
    <row r="904" spans="1:4" ht="12.75" customHeight="1">
      <c r="A904" s="22"/>
      <c r="B904" s="22"/>
      <c r="C904" s="22"/>
      <c r="D904" s="22"/>
    </row>
    <row r="905" spans="1:4" ht="12.75" customHeight="1">
      <c r="A905" s="22"/>
      <c r="B905" s="22"/>
      <c r="C905" s="22"/>
      <c r="D905" s="22"/>
    </row>
    <row r="906" spans="1:4" ht="12.75" customHeight="1">
      <c r="A906" s="22"/>
      <c r="B906" s="22"/>
      <c r="C906" s="22"/>
      <c r="D906" s="22"/>
    </row>
    <row r="907" spans="1:4" ht="12.75" customHeight="1">
      <c r="A907" s="22"/>
      <c r="B907" s="22"/>
      <c r="C907" s="22"/>
      <c r="D907" s="22"/>
    </row>
    <row r="908" spans="1:4" ht="12.75" customHeight="1">
      <c r="A908" s="22"/>
      <c r="B908" s="22"/>
      <c r="C908" s="22"/>
      <c r="D908" s="22"/>
    </row>
    <row r="909" spans="1:4" ht="12.75" customHeight="1">
      <c r="A909" s="22"/>
      <c r="B909" s="22"/>
      <c r="C909" s="22"/>
      <c r="D909" s="22"/>
    </row>
    <row r="910" spans="1:4" ht="12.75" customHeight="1">
      <c r="A910" s="22"/>
      <c r="B910" s="22"/>
      <c r="C910" s="22"/>
      <c r="D910" s="22"/>
    </row>
    <row r="911" spans="1:4" ht="12.75" customHeight="1">
      <c r="A911" s="22"/>
      <c r="B911" s="22"/>
      <c r="C911" s="22"/>
      <c r="D911" s="22"/>
    </row>
    <row r="912" spans="1:4" ht="12.75" customHeight="1">
      <c r="A912" s="22"/>
      <c r="B912" s="22"/>
      <c r="C912" s="22"/>
      <c r="D912" s="22"/>
    </row>
    <row r="913" spans="1:4" ht="12.75" customHeight="1">
      <c r="A913" s="22"/>
      <c r="B913" s="22"/>
      <c r="C913" s="22"/>
      <c r="D913" s="22"/>
    </row>
    <row r="914" spans="1:4" ht="12.75" customHeight="1">
      <c r="A914" s="22"/>
      <c r="B914" s="22"/>
      <c r="C914" s="22"/>
      <c r="D914" s="22"/>
    </row>
    <row r="915" spans="1:4" ht="12.75" customHeight="1">
      <c r="A915" s="22"/>
      <c r="B915" s="22"/>
      <c r="C915" s="22"/>
      <c r="D915" s="22"/>
    </row>
    <row r="916" spans="1:4" ht="12.75" customHeight="1">
      <c r="A916" s="22"/>
      <c r="B916" s="22"/>
      <c r="C916" s="22"/>
      <c r="D916" s="22"/>
    </row>
    <row r="917" spans="1:4" ht="12.75" customHeight="1">
      <c r="A917" s="22"/>
      <c r="B917" s="22"/>
      <c r="C917" s="22"/>
      <c r="D917" s="22"/>
    </row>
    <row r="918" spans="1:4" ht="12.75" customHeight="1">
      <c r="A918" s="22"/>
      <c r="B918" s="22"/>
      <c r="C918" s="22"/>
      <c r="D918" s="22"/>
    </row>
    <row r="919" spans="1:4" ht="12.75" customHeight="1">
      <c r="A919" s="22"/>
      <c r="B919" s="22"/>
      <c r="C919" s="22"/>
      <c r="D919" s="22"/>
    </row>
    <row r="920" spans="1:4" ht="12.75" customHeight="1">
      <c r="A920" s="22"/>
      <c r="B920" s="22"/>
      <c r="C920" s="22"/>
      <c r="D920" s="22"/>
    </row>
    <row r="921" spans="1:4" ht="12.75" customHeight="1">
      <c r="A921" s="22"/>
      <c r="B921" s="22"/>
      <c r="C921" s="22"/>
      <c r="D921" s="22"/>
    </row>
    <row r="922" spans="1:4" ht="12.75" customHeight="1">
      <c r="A922" s="22"/>
      <c r="B922" s="22"/>
      <c r="C922" s="22"/>
      <c r="D922" s="22"/>
    </row>
    <row r="923" spans="1:4" ht="12.75" customHeight="1">
      <c r="A923" s="22"/>
      <c r="B923" s="22"/>
      <c r="C923" s="22"/>
      <c r="D923" s="22"/>
    </row>
    <row r="924" spans="1:4" ht="12.75" customHeight="1">
      <c r="A924" s="22"/>
      <c r="B924" s="22"/>
      <c r="C924" s="22"/>
      <c r="D924" s="22"/>
    </row>
    <row r="925" spans="1:4" ht="12.75" customHeight="1">
      <c r="A925" s="22"/>
      <c r="B925" s="22"/>
      <c r="C925" s="22"/>
      <c r="D925" s="22"/>
    </row>
    <row r="926" spans="1:4" ht="12.75" customHeight="1">
      <c r="A926" s="22"/>
      <c r="B926" s="22"/>
      <c r="C926" s="22"/>
      <c r="D926" s="22"/>
    </row>
    <row r="927" spans="1:4" ht="12.75" customHeight="1">
      <c r="A927" s="22"/>
      <c r="B927" s="22"/>
      <c r="C927" s="22"/>
      <c r="D927" s="22"/>
    </row>
    <row r="928" spans="1:4" ht="12.75" customHeight="1">
      <c r="A928" s="22"/>
      <c r="B928" s="22"/>
      <c r="C928" s="22"/>
      <c r="D928" s="22"/>
    </row>
    <row r="929" spans="1:4" ht="12.75" customHeight="1">
      <c r="A929" s="22"/>
      <c r="B929" s="22"/>
      <c r="C929" s="22"/>
      <c r="D929" s="22"/>
    </row>
    <row r="930" spans="1:4" ht="12.75" customHeight="1">
      <c r="A930" s="22"/>
      <c r="B930" s="22"/>
      <c r="C930" s="22"/>
      <c r="D930" s="22"/>
    </row>
    <row r="931" spans="1:4" ht="12.75" customHeight="1">
      <c r="A931" s="22"/>
      <c r="B931" s="22"/>
      <c r="C931" s="22"/>
      <c r="D931" s="22"/>
    </row>
    <row r="932" spans="1:4" ht="12.75" customHeight="1">
      <c r="A932" s="22"/>
      <c r="B932" s="22"/>
      <c r="C932" s="22"/>
      <c r="D932" s="22"/>
    </row>
    <row r="933" spans="1:4" ht="12.75" customHeight="1">
      <c r="A933" s="22"/>
      <c r="B933" s="22"/>
      <c r="C933" s="22"/>
      <c r="D933" s="22"/>
    </row>
    <row r="934" spans="1:4" ht="12.75" customHeight="1">
      <c r="A934" s="22"/>
      <c r="B934" s="22"/>
      <c r="C934" s="22"/>
      <c r="D934" s="22"/>
    </row>
    <row r="935" spans="1:4" ht="12.75" customHeight="1">
      <c r="A935" s="22"/>
      <c r="B935" s="22"/>
      <c r="C935" s="22"/>
      <c r="D935" s="22"/>
    </row>
    <row r="936" spans="1:4" ht="12.75" customHeight="1">
      <c r="A936" s="22"/>
      <c r="B936" s="22"/>
      <c r="C936" s="22"/>
      <c r="D936" s="22"/>
    </row>
    <row r="937" spans="1:4" ht="12.75" customHeight="1">
      <c r="A937" s="22"/>
      <c r="B937" s="22"/>
      <c r="C937" s="22"/>
      <c r="D937" s="22"/>
    </row>
    <row r="938" spans="1:4" ht="12.75" customHeight="1">
      <c r="A938" s="22"/>
      <c r="B938" s="22"/>
      <c r="C938" s="22"/>
      <c r="D938" s="22"/>
    </row>
    <row r="939" spans="1:4" ht="12.75" customHeight="1">
      <c r="A939" s="22"/>
      <c r="B939" s="22"/>
      <c r="C939" s="22"/>
      <c r="D939" s="22"/>
    </row>
    <row r="940" spans="1:4" ht="12.75" customHeight="1">
      <c r="A940" s="22"/>
      <c r="B940" s="22"/>
      <c r="C940" s="22"/>
      <c r="D940" s="22"/>
    </row>
    <row r="941" spans="1:4" ht="12.75" customHeight="1">
      <c r="A941" s="22"/>
      <c r="B941" s="22"/>
      <c r="C941" s="22"/>
      <c r="D941" s="22"/>
    </row>
    <row r="942" spans="1:4" ht="12.75" customHeight="1">
      <c r="A942" s="22"/>
      <c r="B942" s="22"/>
      <c r="C942" s="22"/>
      <c r="D942" s="22"/>
    </row>
    <row r="943" spans="1:4" ht="12.75" customHeight="1">
      <c r="A943" s="22"/>
      <c r="B943" s="22"/>
      <c r="C943" s="22"/>
      <c r="D943" s="22"/>
    </row>
    <row r="944" spans="1:4" ht="12.75" customHeight="1">
      <c r="A944" s="22"/>
      <c r="B944" s="22"/>
      <c r="C944" s="22"/>
      <c r="D944" s="22"/>
    </row>
    <row r="945" spans="1:4" ht="12.75" customHeight="1">
      <c r="A945" s="22"/>
      <c r="B945" s="22"/>
      <c r="C945" s="22"/>
      <c r="D945" s="22"/>
    </row>
    <row r="946" spans="1:4" ht="12.75" customHeight="1">
      <c r="A946" s="22"/>
      <c r="B946" s="22"/>
      <c r="C946" s="22"/>
      <c r="D946" s="22"/>
    </row>
    <row r="947" spans="1:4" ht="12.75" customHeight="1">
      <c r="A947" s="22"/>
      <c r="B947" s="22"/>
      <c r="C947" s="22"/>
      <c r="D947" s="22"/>
    </row>
    <row r="948" spans="1:4" ht="12.75" customHeight="1">
      <c r="A948" s="22"/>
      <c r="B948" s="22"/>
      <c r="C948" s="22"/>
      <c r="D948" s="22"/>
    </row>
    <row r="949" spans="1:4" ht="12.75" customHeight="1">
      <c r="A949" s="22"/>
      <c r="B949" s="22"/>
      <c r="C949" s="22"/>
      <c r="D949" s="22"/>
    </row>
    <row r="950" spans="1:4" ht="12.75" customHeight="1">
      <c r="A950" s="22"/>
      <c r="B950" s="22"/>
      <c r="C950" s="22"/>
      <c r="D950" s="22"/>
    </row>
    <row r="951" spans="1:4" ht="12.75" customHeight="1">
      <c r="A951" s="22"/>
      <c r="B951" s="22"/>
      <c r="C951" s="22"/>
      <c r="D951" s="22"/>
    </row>
    <row r="952" spans="1:4" ht="12.75" customHeight="1">
      <c r="A952" s="22"/>
      <c r="B952" s="22"/>
      <c r="C952" s="22"/>
      <c r="D952" s="22"/>
    </row>
    <row r="953" spans="1:4" ht="12.75" customHeight="1">
      <c r="A953" s="22"/>
      <c r="B953" s="22"/>
      <c r="C953" s="22"/>
      <c r="D953" s="22"/>
    </row>
    <row r="954" spans="1:4" ht="12.75" customHeight="1">
      <c r="A954" s="22"/>
      <c r="B954" s="22"/>
      <c r="C954" s="22"/>
      <c r="D954" s="22"/>
    </row>
    <row r="955" spans="1:4" ht="12.75" customHeight="1">
      <c r="A955" s="22"/>
      <c r="B955" s="22"/>
      <c r="C955" s="22"/>
      <c r="D955" s="22"/>
    </row>
    <row r="956" spans="1:4" ht="12.75" customHeight="1">
      <c r="A956" s="22"/>
      <c r="B956" s="22"/>
      <c r="C956" s="22"/>
      <c r="D956" s="22"/>
    </row>
    <row r="957" spans="1:4" ht="12.75" customHeight="1">
      <c r="A957" s="22"/>
      <c r="B957" s="22"/>
      <c r="C957" s="22"/>
      <c r="D957" s="22"/>
    </row>
    <row r="958" spans="1:4" ht="12.75" customHeight="1">
      <c r="A958" s="22"/>
      <c r="B958" s="22"/>
      <c r="C958" s="22"/>
      <c r="D958" s="22"/>
    </row>
    <row r="959" spans="1:4" ht="12.75" customHeight="1">
      <c r="A959" s="22"/>
      <c r="B959" s="22"/>
      <c r="C959" s="22"/>
      <c r="D959" s="22"/>
    </row>
    <row r="960" spans="1:4" ht="12.75" customHeight="1">
      <c r="A960" s="22"/>
      <c r="B960" s="22"/>
      <c r="C960" s="22"/>
      <c r="D960" s="22"/>
    </row>
    <row r="961" spans="1:4" ht="12.75" customHeight="1">
      <c r="A961" s="22"/>
      <c r="B961" s="22"/>
      <c r="C961" s="22"/>
      <c r="D961" s="22"/>
    </row>
    <row r="962" spans="1:4" ht="12.75" customHeight="1">
      <c r="A962" s="22"/>
      <c r="B962" s="22"/>
      <c r="C962" s="22"/>
      <c r="D962" s="22"/>
    </row>
    <row r="963" spans="1:4" ht="12.75" customHeight="1">
      <c r="A963" s="22"/>
      <c r="B963" s="22"/>
      <c r="C963" s="22"/>
      <c r="D963" s="22"/>
    </row>
    <row r="964" spans="1:4" ht="12.75" customHeight="1">
      <c r="A964" s="22"/>
      <c r="B964" s="22"/>
      <c r="C964" s="22"/>
      <c r="D964" s="22"/>
    </row>
    <row r="965" spans="1:4" ht="12.75" customHeight="1">
      <c r="A965" s="22"/>
      <c r="B965" s="22"/>
      <c r="C965" s="22"/>
      <c r="D965" s="22"/>
    </row>
    <row r="966" spans="1:4" ht="12.75" customHeight="1">
      <c r="A966" s="22"/>
      <c r="B966" s="22"/>
      <c r="C966" s="22"/>
      <c r="D966" s="22"/>
    </row>
    <row r="967" spans="1:4" ht="12.75" customHeight="1">
      <c r="A967" s="22"/>
      <c r="B967" s="22"/>
      <c r="C967" s="22"/>
      <c r="D967" s="22"/>
    </row>
    <row r="968" spans="1:4" ht="12.75" customHeight="1">
      <c r="A968" s="22"/>
      <c r="B968" s="22"/>
      <c r="C968" s="22"/>
      <c r="D968" s="22"/>
    </row>
    <row r="969" spans="1:4" ht="12.75" customHeight="1">
      <c r="A969" s="22"/>
      <c r="B969" s="22"/>
      <c r="C969" s="22"/>
      <c r="D969" s="22"/>
    </row>
    <row r="970" spans="1:4" ht="12.75" customHeight="1">
      <c r="A970" s="22"/>
      <c r="B970" s="22"/>
      <c r="C970" s="22"/>
      <c r="D970" s="22"/>
    </row>
    <row r="971" spans="1:4" ht="12.75" customHeight="1">
      <c r="A971" s="22"/>
      <c r="B971" s="22"/>
      <c r="C971" s="22"/>
      <c r="D971" s="22"/>
    </row>
    <row r="972" spans="1:4" ht="12.75" customHeight="1">
      <c r="A972" s="22"/>
      <c r="B972" s="22"/>
      <c r="C972" s="22"/>
      <c r="D972" s="22"/>
    </row>
    <row r="973" spans="1:4" ht="12.75" customHeight="1">
      <c r="A973" s="22"/>
      <c r="B973" s="22"/>
      <c r="C973" s="22"/>
      <c r="D973" s="22"/>
    </row>
    <row r="974" spans="1:4" ht="12.75" customHeight="1">
      <c r="A974" s="22"/>
      <c r="B974" s="22"/>
      <c r="C974" s="22"/>
      <c r="D974" s="22"/>
    </row>
    <row r="975" spans="1:4" ht="12.75" customHeight="1">
      <c r="A975" s="22"/>
      <c r="B975" s="22"/>
      <c r="C975" s="22"/>
      <c r="D975" s="22"/>
    </row>
    <row r="976" spans="1:4" ht="12.75" customHeight="1">
      <c r="A976" s="22"/>
      <c r="B976" s="22"/>
      <c r="C976" s="22"/>
      <c r="D976" s="22"/>
    </row>
    <row r="977" spans="1:4" ht="12.75" customHeight="1">
      <c r="A977" s="22"/>
      <c r="B977" s="22"/>
      <c r="C977" s="22"/>
      <c r="D977" s="22"/>
    </row>
    <row r="978" spans="1:4" ht="12.75" customHeight="1">
      <c r="A978" s="22"/>
      <c r="B978" s="22"/>
      <c r="C978" s="22"/>
      <c r="D978" s="22"/>
    </row>
    <row r="979" spans="1:4" ht="12.75" customHeight="1">
      <c r="A979" s="22"/>
      <c r="B979" s="22"/>
      <c r="C979" s="22"/>
      <c r="D979" s="22"/>
    </row>
    <row r="980" spans="1:4" ht="12.75" customHeight="1">
      <c r="A980" s="22"/>
      <c r="B980" s="22"/>
      <c r="C980" s="22"/>
      <c r="D980" s="22"/>
    </row>
    <row r="981" spans="1:4" ht="12.75" customHeight="1">
      <c r="A981" s="22"/>
      <c r="B981" s="22"/>
      <c r="C981" s="22"/>
      <c r="D981" s="22"/>
    </row>
    <row r="982" spans="1:4" ht="12.75" customHeight="1">
      <c r="A982" s="22"/>
      <c r="B982" s="22"/>
      <c r="C982" s="22"/>
      <c r="D982" s="22"/>
    </row>
    <row r="983" spans="1:4" ht="12.75" customHeight="1">
      <c r="A983" s="22"/>
      <c r="B983" s="22"/>
      <c r="C983" s="22"/>
      <c r="D983" s="22"/>
    </row>
    <row r="984" spans="1:4" ht="12.75" customHeight="1">
      <c r="A984" s="22"/>
      <c r="B984" s="22"/>
      <c r="C984" s="22"/>
      <c r="D984" s="22"/>
    </row>
    <row r="985" spans="1:4" ht="12.75" customHeight="1">
      <c r="A985" s="22"/>
      <c r="B985" s="22"/>
      <c r="C985" s="22"/>
      <c r="D985" s="22"/>
    </row>
    <row r="986" spans="1:4" ht="12.75" customHeight="1">
      <c r="A986" s="22"/>
      <c r="B986" s="22"/>
      <c r="C986" s="22"/>
      <c r="D986" s="22"/>
    </row>
    <row r="987" spans="1:4" ht="12.75" customHeight="1">
      <c r="A987" s="22"/>
      <c r="B987" s="22"/>
      <c r="C987" s="22"/>
      <c r="D987" s="22"/>
    </row>
    <row r="988" spans="1:4" ht="12.75" customHeight="1">
      <c r="A988" s="22"/>
      <c r="B988" s="22"/>
      <c r="C988" s="22"/>
      <c r="D988" s="22"/>
    </row>
    <row r="989" spans="1:4" ht="12.75" customHeight="1">
      <c r="A989" s="22"/>
      <c r="B989" s="22"/>
      <c r="C989" s="22"/>
      <c r="D989" s="22"/>
    </row>
    <row r="990" spans="1:4" ht="12.75" customHeight="1">
      <c r="A990" s="22"/>
      <c r="B990" s="22"/>
      <c r="C990" s="22"/>
      <c r="D990" s="22"/>
    </row>
    <row r="991" spans="1:4" ht="12.75" customHeight="1">
      <c r="A991" s="22"/>
      <c r="B991" s="22"/>
      <c r="C991" s="22"/>
      <c r="D991" s="22"/>
    </row>
    <row r="992" spans="1:4" ht="12.75" customHeight="1">
      <c r="A992" s="22"/>
      <c r="B992" s="22"/>
      <c r="C992" s="22"/>
      <c r="D992" s="22"/>
    </row>
    <row r="993" spans="1:4" ht="12.75" customHeight="1">
      <c r="A993" s="22"/>
      <c r="B993" s="22"/>
      <c r="C993" s="22"/>
      <c r="D993" s="22"/>
    </row>
    <row r="994" spans="1:4" ht="12.75" customHeight="1">
      <c r="A994" s="22"/>
      <c r="B994" s="22"/>
      <c r="C994" s="22"/>
      <c r="D994" s="22"/>
    </row>
    <row r="995" spans="1:4" ht="12.75" customHeight="1">
      <c r="A995" s="22"/>
      <c r="B995" s="22"/>
      <c r="C995" s="22"/>
      <c r="D995" s="22"/>
    </row>
    <row r="996" spans="1:4" ht="12.75" customHeight="1">
      <c r="A996" s="22"/>
      <c r="B996" s="22"/>
      <c r="C996" s="22"/>
      <c r="D996" s="22"/>
    </row>
    <row r="997" spans="1:4" ht="12.75" customHeight="1">
      <c r="A997" s="22"/>
      <c r="B997" s="22"/>
      <c r="C997" s="22"/>
      <c r="D997" s="22"/>
    </row>
    <row r="998" spans="1:4" ht="12.75" customHeight="1">
      <c r="A998" s="22"/>
      <c r="B998" s="22"/>
      <c r="C998" s="22"/>
      <c r="D998" s="22"/>
    </row>
    <row r="999" spans="1:4" ht="12.75" customHeight="1">
      <c r="A999" s="22"/>
      <c r="B999" s="22"/>
      <c r="C999" s="22"/>
      <c r="D999" s="22"/>
    </row>
    <row r="1000" spans="1:4" ht="12.75" customHeight="1">
      <c r="A1000" s="22"/>
      <c r="B1000" s="22"/>
      <c r="C1000" s="22"/>
      <c r="D1000" s="22"/>
    </row>
    <row r="1001" spans="1:4" ht="12.75" customHeight="1">
      <c r="A1001" s="22"/>
      <c r="B1001" s="22"/>
      <c r="C1001" s="22"/>
      <c r="D1001" s="22"/>
    </row>
    <row r="1002" spans="1:4" ht="15" customHeight="1">
      <c r="A1002" s="22"/>
      <c r="B1002" s="22"/>
      <c r="C1002" s="22"/>
    </row>
    <row r="1003" spans="1:4" ht="15" customHeight="1">
      <c r="A1003" s="22"/>
      <c r="B1003" s="22"/>
      <c r="C1003" s="22"/>
    </row>
    <row r="1004" spans="1:4" ht="15" customHeight="1">
      <c r="A1004" s="22"/>
      <c r="B1004" s="22"/>
      <c r="C1004" s="22"/>
    </row>
    <row r="1005" spans="1:4" ht="15" customHeight="1">
      <c r="A1005" s="22"/>
      <c r="B1005" s="22"/>
      <c r="C1005" s="22"/>
    </row>
    <row r="1006" spans="1:4" ht="15" customHeight="1">
      <c r="A1006" s="22"/>
      <c r="B1006" s="22"/>
      <c r="C1006" s="22"/>
    </row>
    <row r="1007" spans="1:4" ht="15" customHeight="1">
      <c r="A1007" s="22"/>
      <c r="B1007" s="22"/>
      <c r="C1007" s="22"/>
    </row>
    <row r="1008" spans="1:4" ht="15" customHeight="1">
      <c r="A1008" s="22"/>
      <c r="B1008" s="22"/>
      <c r="C1008" s="22"/>
    </row>
    <row r="1009" spans="1:3" ht="15" customHeight="1">
      <c r="A1009" s="22"/>
      <c r="B1009" s="22"/>
      <c r="C1009" s="22"/>
    </row>
    <row r="1010" spans="1:3" ht="15" customHeight="1">
      <c r="A1010" s="22"/>
      <c r="B1010" s="22"/>
      <c r="C1010" s="22"/>
    </row>
    <row r="1011" spans="1:3" ht="15" customHeight="1">
      <c r="A1011" s="22"/>
      <c r="B1011" s="22"/>
      <c r="C1011" s="22"/>
    </row>
    <row r="1012" spans="1:3" ht="15" customHeight="1">
      <c r="A1012" s="22"/>
      <c r="B1012" s="22"/>
      <c r="C1012" s="22"/>
    </row>
    <row r="1013" spans="1:3" ht="15" customHeight="1">
      <c r="A1013" s="22"/>
      <c r="B1013" s="22"/>
      <c r="C1013" s="22"/>
    </row>
    <row r="1014" spans="1:3" ht="15" customHeight="1">
      <c r="A1014" s="22"/>
      <c r="B1014" s="22"/>
      <c r="C1014" s="22"/>
    </row>
    <row r="1015" spans="1:3" ht="15" customHeight="1">
      <c r="A1015" s="22"/>
      <c r="B1015" s="22"/>
      <c r="C1015" s="22"/>
    </row>
    <row r="1016" spans="1:3" ht="15" customHeight="1">
      <c r="A1016" s="22"/>
      <c r="B1016" s="22"/>
      <c r="C1016" s="22"/>
    </row>
    <row r="1017" spans="1:3" ht="15" customHeight="1">
      <c r="A1017" s="22"/>
      <c r="B1017" s="22"/>
      <c r="C1017" s="22"/>
    </row>
    <row r="1018" spans="1:3" ht="15" customHeight="1">
      <c r="A1018" s="22"/>
      <c r="B1018" s="22"/>
      <c r="C1018" s="22"/>
    </row>
    <row r="1019" spans="1:3" ht="15" customHeight="1">
      <c r="A1019" s="22"/>
      <c r="B1019" s="22"/>
      <c r="C1019" s="22"/>
    </row>
    <row r="1020" spans="1:3" ht="15" customHeight="1">
      <c r="A1020" s="22"/>
      <c r="B1020" s="22"/>
      <c r="C1020" s="22"/>
    </row>
    <row r="1021" spans="1:3" ht="15" customHeight="1">
      <c r="A1021" s="22"/>
      <c r="B1021" s="22"/>
      <c r="C1021" s="22"/>
    </row>
    <row r="1022" spans="1:3" ht="15" customHeight="1">
      <c r="A1022" s="22"/>
      <c r="B1022" s="22"/>
      <c r="C1022" s="22"/>
    </row>
    <row r="1023" spans="1:3" ht="15" customHeight="1">
      <c r="A1023" s="22"/>
      <c r="B1023" s="22"/>
      <c r="C1023" s="22"/>
    </row>
    <row r="1024" spans="1:3" ht="15" customHeight="1">
      <c r="A1024" s="22"/>
      <c r="B1024" s="22"/>
      <c r="C1024" s="22"/>
    </row>
    <row r="1025" spans="1:3" ht="15" customHeight="1">
      <c r="A1025" s="22"/>
      <c r="B1025" s="22"/>
      <c r="C1025" s="22"/>
    </row>
    <row r="1026" spans="1:3" ht="15" customHeight="1">
      <c r="A1026" s="22"/>
      <c r="B1026" s="22"/>
      <c r="C1026" s="22"/>
    </row>
    <row r="1027" spans="1:3" ht="15" customHeight="1">
      <c r="A1027" s="22"/>
      <c r="B1027" s="22"/>
      <c r="C1027" s="22"/>
    </row>
    <row r="1028" spans="1:3" ht="15" customHeight="1">
      <c r="A1028" s="22"/>
      <c r="B1028" s="22"/>
      <c r="C1028" s="22"/>
    </row>
    <row r="1029" spans="1:3" ht="15" customHeight="1">
      <c r="A1029" s="22"/>
      <c r="B1029" s="22"/>
      <c r="C1029" s="22"/>
    </row>
    <row r="1030" spans="1:3" ht="15" customHeight="1">
      <c r="A1030" s="22"/>
      <c r="B1030" s="22"/>
      <c r="C1030" s="22"/>
    </row>
    <row r="1031" spans="1:3" ht="15" customHeight="1">
      <c r="A1031" s="22"/>
      <c r="B1031" s="22"/>
      <c r="C1031" s="22"/>
    </row>
    <row r="1032" spans="1:3" ht="15" customHeight="1">
      <c r="A1032" s="22"/>
      <c r="B1032" s="22"/>
      <c r="C1032" s="22"/>
    </row>
    <row r="1033" spans="1:3" ht="15" customHeight="1">
      <c r="A1033" s="22"/>
      <c r="B1033" s="22"/>
      <c r="C1033" s="22"/>
    </row>
    <row r="1034" spans="1:3" ht="15" customHeight="1">
      <c r="A1034" s="22"/>
      <c r="B1034" s="22"/>
      <c r="C1034" s="22"/>
    </row>
    <row r="1035" spans="1:3" ht="15" customHeight="1">
      <c r="A1035" s="22"/>
      <c r="B1035" s="22"/>
      <c r="C1035" s="22"/>
    </row>
    <row r="1036" spans="1:3" ht="15" customHeight="1">
      <c r="A1036" s="22"/>
      <c r="B1036" s="22"/>
      <c r="C1036" s="22"/>
    </row>
    <row r="1037" spans="1:3" ht="15" customHeight="1">
      <c r="A1037" s="22"/>
      <c r="B1037" s="22"/>
      <c r="C1037" s="22"/>
    </row>
    <row r="1038" spans="1:3" ht="15" customHeight="1">
      <c r="A1038" s="22"/>
      <c r="B1038" s="22"/>
      <c r="C1038" s="22"/>
    </row>
    <row r="1039" spans="1:3" ht="15" customHeight="1">
      <c r="A1039" s="22"/>
      <c r="B1039" s="22"/>
      <c r="C1039" s="22"/>
    </row>
    <row r="1040" spans="1:3" ht="15" customHeight="1">
      <c r="A1040" s="22"/>
      <c r="B1040" s="22"/>
      <c r="C1040" s="22"/>
    </row>
    <row r="1041" spans="1:3" ht="15" customHeight="1">
      <c r="A1041" s="22"/>
      <c r="B1041" s="22"/>
      <c r="C1041" s="22"/>
    </row>
    <row r="1042" spans="1:3" ht="15" customHeight="1">
      <c r="A1042" s="22"/>
      <c r="B1042" s="22"/>
      <c r="C1042" s="22"/>
    </row>
    <row r="1043" spans="1:3" ht="15" customHeight="1">
      <c r="A1043" s="22"/>
      <c r="B1043" s="22"/>
      <c r="C1043" s="22"/>
    </row>
  </sheetData>
  <mergeCells count="3">
    <mergeCell ref="A6:D6"/>
    <mergeCell ref="A8:D8"/>
    <mergeCell ref="A13:D13"/>
  </mergeCell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F8B-77CE-46EC-9418-F037DACB1753}">
  <dimension ref="A1"/>
  <sheetViews>
    <sheetView workbookViewId="0">
      <selection activeCell="E6" sqref="E6"/>
    </sheetView>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36554f1417070c885eec697191a4a218">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70f3471295f880830419e0cb74f30703"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1798CA-DC87-4329-8FEC-D119A5F243B5}">
  <ds:schemaRefs>
    <ds:schemaRef ds:uri="http://schemas.microsoft.com/sharepoint/v3/contenttype/forms"/>
  </ds:schemaRefs>
</ds:datastoreItem>
</file>

<file path=customXml/itemProps2.xml><?xml version="1.0" encoding="utf-8"?>
<ds:datastoreItem xmlns:ds="http://schemas.openxmlformats.org/officeDocument/2006/customXml" ds:itemID="{8B848056-D234-47DE-A0D0-9F31EFDE533C}">
  <ds:schemaRefs>
    <ds:schemaRef ds:uri="http://schemas.microsoft.com/office/2006/metadata/properties"/>
    <ds:schemaRef ds:uri="http://schemas.microsoft.com/office/infopath/2007/PartnerControls"/>
    <ds:schemaRef ds:uri="24f24ae2-3cf6-4b35-b751-689285a5b18b"/>
    <ds:schemaRef ds:uri="469c2687-3c75-4a4b-ba1c-5f013cf06c9c"/>
  </ds:schemaRefs>
</ds:datastoreItem>
</file>

<file path=customXml/itemProps3.xml><?xml version="1.0" encoding="utf-8"?>
<ds:datastoreItem xmlns:ds="http://schemas.openxmlformats.org/officeDocument/2006/customXml" ds:itemID="{B6A21611-9453-414B-9980-E3EC49E9A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Document Title</vt:lpstr>
      <vt:lpstr>Notice-Landscape</vt:lpstr>
      <vt:lpstr>Introduction</vt:lpstr>
      <vt:lpstr>Guideline</vt:lpstr>
      <vt:lpstr>RAN Network Optimization</vt:lpstr>
      <vt:lpstr>Scoring</vt:lpstr>
      <vt:lpstr>Administrative Appendix</vt:lpstr>
      <vt:lpstr>Sheet1</vt:lpstr>
      <vt:lpstr>'Administrative Appendix'!Print_Area</vt:lpstr>
      <vt:lpstr>'Document Title'!Print_Area</vt:lpstr>
      <vt:lpstr>'Notice-Landscape'!Print_Area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Hardy-Lenik</dc:creator>
  <cp:keywords/>
  <dc:description/>
  <cp:lastModifiedBy>Sannah Sibaya</cp:lastModifiedBy>
  <cp:revision/>
  <dcterms:created xsi:type="dcterms:W3CDTF">2022-11-16T15:46:12Z</dcterms:created>
  <dcterms:modified xsi:type="dcterms:W3CDTF">2026-06-01T16:04:02Z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MediaServiceImageTags">
    <vt:lpwstr/>
  </property>
  <property fmtid="{D5CDD505-2E9C-101B-9397-08002B2CF9AE}" pid="10" name="ContentTypeId">
    <vt:lpwstr>0x010100EC3B07F8724AB64799A6786E14B80CEE</vt:lpwstr>
  </property>
</Properties>
</file>