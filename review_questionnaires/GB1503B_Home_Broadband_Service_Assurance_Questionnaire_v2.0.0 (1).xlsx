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0" documentId="8_{793AAA23-9EC4-4A13-89A4-58481D7BAAB5}" xr6:coauthVersionLast="47" xr6:coauthVersionMax="47" xr10:uidLastSave="{00000000-0000-0000-0000-000000000000}"/>
  <bookViews>
    <workbookView xWindow="-110" yWindow="-110" windowWidth="19420" windowHeight="11500" tabRatio="709" xr2:uid="{00000000-000D-0000-FFFF-FFFF00000000}"/>
  </bookViews>
  <sheets>
    <sheet name="Document Title" sheetId="26" r:id="rId1"/>
    <sheet name="Legal Notice" sheetId="27" r:id="rId2"/>
    <sheet name="Guideline" sheetId="22" r:id="rId3"/>
    <sheet name="HBB Servie Assurance" sheetId="28" r:id="rId4"/>
    <sheet name="Scoring" sheetId="29" r:id="rId5"/>
    <sheet name="E2E Automation Ratio Checklist" sheetId="30" r:id="rId6"/>
    <sheet name="Acknowledgements" sheetId="24" r:id="rId7"/>
  </sheets>
  <definedNames>
    <definedName name="_xlnm.Print_Area" localSheetId="1">'Legal Notice'!$A$1:$A$30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30" l="1"/>
  <c r="D10" i="30"/>
  <c r="C10" i="30"/>
  <c r="E9" i="30"/>
  <c r="D9" i="30"/>
  <c r="C9" i="30"/>
  <c r="E8" i="30"/>
  <c r="D8" i="30"/>
  <c r="C8" i="30"/>
  <c r="E7" i="30"/>
  <c r="D7" i="30"/>
  <c r="C7" i="30"/>
  <c r="E6" i="30"/>
  <c r="D6" i="30"/>
  <c r="C6" i="30"/>
  <c r="E5" i="30"/>
  <c r="E11" i="30" s="1"/>
  <c r="D5" i="30"/>
  <c r="C5" i="30"/>
  <c r="E4" i="30"/>
  <c r="D4" i="30"/>
  <c r="C4" i="30"/>
  <c r="L11" i="29"/>
  <c r="S11" i="29" s="1"/>
  <c r="K11" i="29"/>
  <c r="P11" i="29" s="1"/>
  <c r="J11" i="29"/>
  <c r="M11" i="29" s="1"/>
  <c r="L10" i="29"/>
  <c r="S10" i="29" s="1"/>
  <c r="T10" i="29" s="1"/>
  <c r="K10" i="29"/>
  <c r="P10" i="29" s="1"/>
  <c r="Q10" i="29" s="1"/>
  <c r="J10" i="29"/>
  <c r="M10" i="29" s="1"/>
  <c r="N10" i="29" s="1"/>
  <c r="L9" i="29"/>
  <c r="S9" i="29" s="1"/>
  <c r="T9" i="29" s="1"/>
  <c r="K9" i="29"/>
  <c r="P9" i="29" s="1"/>
  <c r="Q9" i="29" s="1"/>
  <c r="J9" i="29"/>
  <c r="M9" i="29" s="1"/>
  <c r="L8" i="29"/>
  <c r="S8" i="29" s="1"/>
  <c r="T8" i="29" s="1"/>
  <c r="K8" i="29"/>
  <c r="P8" i="29" s="1"/>
  <c r="J8" i="29"/>
  <c r="L7" i="29"/>
  <c r="S7" i="29" s="1"/>
  <c r="T7" i="29" s="1"/>
  <c r="K7" i="29"/>
  <c r="P7" i="29" s="1"/>
  <c r="Q7" i="29" s="1"/>
  <c r="J7" i="29"/>
  <c r="M7" i="29" s="1"/>
  <c r="N7" i="29" s="1"/>
  <c r="L6" i="29"/>
  <c r="S6" i="29" s="1"/>
  <c r="K6" i="29"/>
  <c r="P6" i="29" s="1"/>
  <c r="Q6" i="29" s="1"/>
  <c r="J6" i="29"/>
  <c r="M6" i="29" s="1"/>
  <c r="L5" i="29"/>
  <c r="S5" i="29" s="1"/>
  <c r="K5" i="29"/>
  <c r="P5" i="29" s="1"/>
  <c r="J5" i="29"/>
  <c r="M8" i="29"/>
  <c r="D11" i="30" l="1"/>
  <c r="T6" i="29"/>
  <c r="C11" i="30"/>
  <c r="E12" i="30" s="1"/>
  <c r="T5" i="29"/>
  <c r="T11" i="29"/>
  <c r="Q11" i="29"/>
  <c r="M5" i="29"/>
  <c r="N6" i="29" s="1"/>
  <c r="U5" i="29" l="1"/>
  <c r="N11" i="29"/>
  <c r="N9" i="29"/>
  <c r="N8" i="29"/>
  <c r="N5" i="29"/>
  <c r="O5" i="29" l="1"/>
  <c r="Q8" i="29"/>
  <c r="Q5" i="29"/>
  <c r="R5" i="29" s="1"/>
  <c r="V5" i="29" l="1"/>
</calcChain>
</file>

<file path=xl/sharedStrings.xml><?xml version="1.0" encoding="utf-8"?>
<sst xmlns="http://schemas.openxmlformats.org/spreadsheetml/2006/main" count="257" uniqueCount="179">
  <si>
    <r>
      <rPr>
        <b/>
        <sz val="11"/>
        <color theme="1"/>
        <rFont val="Arial"/>
        <family val="2"/>
      </rPr>
      <t>High-Value Scenario</t>
    </r>
  </si>
  <si>
    <r>
      <rPr>
        <b/>
        <sz val="11"/>
        <color theme="1"/>
        <rFont val="Arial"/>
        <family val="2"/>
      </rPr>
      <t>Cognitive Activity (IAADE)</t>
    </r>
  </si>
  <si>
    <r>
      <rPr>
        <b/>
        <sz val="11"/>
        <color theme="1"/>
        <rFont val="Arial"/>
        <family val="2"/>
      </rPr>
      <t>Service Capability</t>
    </r>
  </si>
  <si>
    <r>
      <rPr>
        <b/>
        <sz val="11"/>
        <color theme="1"/>
        <rFont val="Arial"/>
        <family val="2"/>
      </rPr>
      <t>Weight</t>
    </r>
  </si>
  <si>
    <r>
      <rPr>
        <b/>
        <sz val="11"/>
        <color theme="1"/>
        <rFont val="Arial"/>
        <family val="2"/>
      </rPr>
      <t>Question</t>
    </r>
  </si>
  <si>
    <r>
      <rPr>
        <b/>
        <sz val="11"/>
        <color theme="1"/>
        <rFont val="Arial"/>
        <family val="2"/>
      </rPr>
      <t>Option A</t>
    </r>
  </si>
  <si>
    <r>
      <rPr>
        <b/>
        <sz val="11"/>
        <color theme="1"/>
        <rFont val="Arial"/>
        <family val="2"/>
      </rPr>
      <t>Option B</t>
    </r>
  </si>
  <si>
    <r>
      <rPr>
        <b/>
        <sz val="11"/>
        <color theme="1"/>
        <rFont val="Arial"/>
        <family val="2"/>
      </rPr>
      <t>Option C</t>
    </r>
  </si>
  <si>
    <r>
      <rPr>
        <b/>
        <sz val="11"/>
        <color theme="1"/>
        <rFont val="Arial"/>
        <family val="2"/>
      </rPr>
      <t>Option D</t>
    </r>
  </si>
  <si>
    <t>Intent</t>
  </si>
  <si>
    <t>Awareness</t>
  </si>
  <si>
    <t>Analysis</t>
    <phoneticPr fontId="1" type="noConversion"/>
  </si>
  <si>
    <t>Decision</t>
  </si>
  <si>
    <t>Execution</t>
  </si>
  <si>
    <t>Note: 1) The questionnaire is intended for pilot use and will serve as input for future standardization efforts. 2) It is subject to change as the pilot progresses.</t>
    <phoneticPr fontId="1" type="noConversion"/>
  </si>
  <si>
    <t>A</t>
  </si>
  <si>
    <t>Service Capability</t>
  </si>
  <si>
    <t>Understanding of selecting the option</t>
  </si>
  <si>
    <t>Each question is answered by selecting one of four options, A-D, option A being the highest level of autonomy and option D being the lowest</t>
  </si>
  <si>
    <t>Cognitive Activity (IAADE)</t>
  </si>
  <si>
    <t>Question</t>
  </si>
  <si>
    <t>Answering Guideline</t>
  </si>
  <si>
    <t>More detailed guidelines per question are provided in the guideline section below</t>
  </si>
  <si>
    <t>I. Introduction</t>
  </si>
  <si>
    <t>*Selected from: Project Chair, Project Co-Chair, Author, Editor, Key Contributor, Additional Input, Reviewer</t>
  </si>
  <si>
    <t>Huawei</t>
  </si>
  <si>
    <t>Project Co-Chair</t>
  </si>
  <si>
    <t>Project Chair</t>
  </si>
  <si>
    <t>Role*</t>
  </si>
  <si>
    <t>Company</t>
  </si>
  <si>
    <t>Member</t>
  </si>
  <si>
    <t>Pedro Garcia Parra</t>
  </si>
  <si>
    <t>Telefónica</t>
  </si>
  <si>
    <t xml:space="preserve">Fernando Camacho </t>
  </si>
  <si>
    <t>Kevin McDonnell</t>
  </si>
  <si>
    <t>Key Contributor</t>
  </si>
  <si>
    <t>IPR Mode: RAND</t>
  </si>
  <si>
    <t>Notice</t>
  </si>
  <si>
    <t>TM Forum Best Practice</t>
  </si>
  <si>
    <t xml:space="preserve">Direct inquiries to the TM Forum office: </t>
  </si>
  <si>
    <t>Release Status: Pre-production</t>
  </si>
  <si>
    <t>The assessment is capability-based and intended to be vendor-independent and where possible technology independent</t>
  </si>
  <si>
    <t>We recommend you have the participation of relevant SMEs to complete the assessment (Engineers from service assurance as well as automation experts)</t>
  </si>
  <si>
    <t xml:space="preserve">This document provides details of the TM Forum Autonomous Networks Questionaires in Excel format. </t>
  </si>
  <si>
    <t>Luqman Shantal</t>
  </si>
  <si>
    <t>Makman Technology Consulting</t>
  </si>
  <si>
    <t xml:space="preserve">Home Broadband Service Assurance Questionnaire </t>
  </si>
  <si>
    <t>The scope of this questionnaire is to assess Home bBroadband Service Assurance scenarios</t>
  </si>
  <si>
    <t>The questionnaire is based on the principles described in IG1252, GB1059, IG1277, TMF Metamodel (Archimate), TR284D, TMF442, Broadband Forum Cloud Central Office (CloudCo), And MEF LSO.</t>
  </si>
  <si>
    <t>II. Guideline for Answering ANL questionnaire - Version 0.1.0</t>
  </si>
  <si>
    <t>Answer</t>
    <phoneticPr fontId="2" type="noConversion"/>
  </si>
  <si>
    <t>Interpretating on question</t>
    <phoneticPr fontId="2" type="noConversion"/>
  </si>
  <si>
    <t xml:space="preserve">Intent </t>
  </si>
  <si>
    <t>Service Assurance Policy &amp; Intent Alignment</t>
  </si>
  <si>
    <t>Proactive Performance Monitoring &amp; Anomaly Detection</t>
  </si>
  <si>
    <t>Analysis</t>
  </si>
  <si>
    <t>The system automatically correlates alarms and performance data across customers and network layers, isolating the root cause of service issues for individual customers (e.g. pinpointing a specific network segment or equipment failure affecting single or multiple users) in real time.</t>
  </si>
  <si>
    <t>Impact-Based Incident Prioritization</t>
  </si>
  <si>
    <t>Incidents are auto-ranked by real-time customer impact (e.g. number of subscribers or VIP customers affected and any service level commitments), ensuring the most critical issues receive top priority for resolution.</t>
  </si>
  <si>
    <t>Incidents are generally handled on a first-come, first-served basis or by simple criteria; there is no systematic impact-based ranking, aside from ad-hoc judgments by field teams or support staff._x000B_</t>
  </si>
  <si>
    <t>No prioritization mechanism exists – service issues are addressed in the order they are reported or detected, without regard to the number or importance of customers affected.</t>
  </si>
  <si>
    <t>Automated Service Restoration</t>
  </si>
  <si>
    <t>Option A</t>
  </si>
  <si>
    <t>Option B</t>
  </si>
  <si>
    <t>Option C</t>
  </si>
  <si>
    <t>Option D</t>
  </si>
  <si>
    <t>Method 1: Average (official use)</t>
  </si>
  <si>
    <t>Criteria</t>
  </si>
  <si>
    <t>Answer</t>
  </si>
  <si>
    <t>Original 
score</t>
  </si>
  <si>
    <t>Compensated score</t>
  </si>
  <si>
    <t>Home Broadband Service Assurance</t>
  </si>
  <si>
    <t>Menno Groen</t>
  </si>
  <si>
    <t>KPN</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</si>
  <si>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</si>
  <si>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The limited permissions granted above are perpetual and will not be revoked by TM FORUM or its successors or assigns.</t>
  </si>
  <si>
    <t>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t>
  </si>
  <si>
    <t>100 Enterprise Drive
Suite 304, #1649
Rockaway, NJ 07866 USA
Tel No. +1 862 227 1648
TM Forum Web Page: www.tmforum.org</t>
  </si>
  <si>
    <t>Synthetic Experience Score</t>
    <phoneticPr fontId="1" type="noConversion"/>
  </si>
  <si>
    <t>Specific scenarios: gaming, video conferening, voice calls, live streaming etc..</t>
    <phoneticPr fontId="1" type="noConversion"/>
  </si>
  <si>
    <t>Specific scenarios: downloading, web browsing, video buffering etc..</t>
    <phoneticPr fontId="1" type="noConversion"/>
  </si>
  <si>
    <t>Specific scenarios: web pages fail to load, video/audio/game fail to connect, Wi-Fi signals fail to access etc..</t>
    <phoneticPr fontId="1" type="noConversion"/>
  </si>
  <si>
    <t>Does the service assurance system automatically assess and prioritize broadband service incidents based on customer impact (such as number of users affected, customer segment/VIP status, or severity of service degradation)</t>
    <phoneticPr fontId="1" type="noConversion"/>
  </si>
  <si>
    <t>The system automatically correlates alarms and performance data across customers and network layers, isolating the root cause of service issues for multiple customers (e.g. pinpointing a specific network segment or equipment failure affecting users) in real time.</t>
    <phoneticPr fontId="1" type="noConversion"/>
  </si>
  <si>
    <t xml:space="preserve"> There is no active performance monitoring – service quality problems are only addressed when reported by users, rather than detected by the system._x000B_</t>
  </si>
  <si>
    <t>Service Impact, Correlation &amp; Root Cause Identification</t>
  </si>
  <si>
    <t>The system analyzes the impact of performance degradation, based on predefined rules.</t>
  </si>
  <si>
    <t>The system supports semi-automated execution at the service level through scripts or auxiliary tools.</t>
  </si>
  <si>
    <t>The system does not support any form of automated execution. All execution tasks are performed manually by operations teams, based on incident data and decisions.</t>
  </si>
  <si>
    <t>The system automatically executes the entire incident response process at the service level based on generated decision logic. This includes remediation, service ticket updates, alerts, and validations with no manual initiation required.</t>
  </si>
  <si>
    <t>Does the system autonomously execute end-to-end service solutions (such as remediation, ticketing, notifications) based on determined decisions and priorities, without requiring manual intervention?</t>
  </si>
  <si>
    <t>Intent exists implicitly through operator selections or assisted GUI tools, such as choosing Gold/Silver/Bronze service tiers or enabling predefined QoS options.
The assurance system supports operators in expressing expectations manually, providing visualization or input aids, but does not interpret goals or relationships between service outcomes and network behavior.</t>
  </si>
  <si>
    <t>Intent expresses desired experiences or business outcomes such as “ensure excellent video experience for premium users” or “maintain customer satisfaction during congestion.”
These intents describe what success looks like from a customer or business perspective and are interpreted directly by the assurance system as goals to fulfill.
They remain valid across domains, allowing the system to continuously evaluate fulfillment and adjust subordinate intents accordingly.</t>
    <phoneticPr fontId="1" type="noConversion"/>
  </si>
  <si>
    <t>Intent expresses dynamic service-quality goals and operational preferences, such as “maintain latency under premium thresholds during peak hours” or “prioritize reliability for enterprise users.”
These intents are formalized as programmable policies that can evolve through context or analytical learning.
They define what service behaviors should be maintained within a domain, providing a bridge between declarative goals and measurable performance targets.</t>
    <phoneticPr fontId="1" type="noConversion"/>
  </si>
  <si>
    <t>Real-Time Service Outage Detection</t>
    <phoneticPr fontId="1" type="noConversion"/>
  </si>
  <si>
    <t>The system classifies incidents by severity or type, but prioritization of response is largely manual – operations staff must decide which issues to address first using the provided classifications.</t>
    <phoneticPr fontId="1" type="noConversion"/>
  </si>
  <si>
    <t>slowness
(35%)</t>
    <phoneticPr fontId="1" type="noConversion"/>
  </si>
  <si>
    <t>stuttering/lag
(35%)</t>
    <phoneticPr fontId="1" type="noConversion"/>
  </si>
  <si>
    <t>Disconnection
(30%)</t>
    <phoneticPr fontId="1" type="noConversion"/>
  </si>
  <si>
    <t>Performance is monitored infrequently; many service quality issues (like slow speeds or high latency) may go unnoticed until customers complain or manual tests are conducted.</t>
    <phoneticPr fontId="1" type="noConversion"/>
  </si>
  <si>
    <t>There is no active performance monitoring – service quality problems are only addressed when reported by users, rather than detected by the system.</t>
    <phoneticPr fontId="1" type="noConversion"/>
  </si>
  <si>
    <t>Some correlation is done manually – operations staff must pull data from various sources and manually recognize patterns to identify if separate service issues share a cause or location.</t>
    <phoneticPr fontId="1" type="noConversion"/>
  </si>
  <si>
    <t>Can the service assurance system incorporate high-level service quality, the requirements of users (premium users, general users etc.) or reliability intents (business objectives) into its operations and decision-making for residential broadband services?_x000B_</t>
  </si>
  <si>
    <t>Intent expresses explicit  measurable service-quality parameters.
These intents are represented through structured service templates that map customer-facing definitions to resource-level configurations within a service-catalog context (e.g., CFS/RFS relationships).
The structure ensures consistency and traceability but remains static—updates require manual revision rather than adaptive learning.</t>
    <phoneticPr fontId="1" type="noConversion"/>
  </si>
  <si>
    <t>Can the service assurance system demarcate, locate service issues across multiple customers and layers or experience scores to pinpoint the root cause or a common source of a broadband service disruption?</t>
    <phoneticPr fontId="1" type="noConversion"/>
  </si>
  <si>
    <t xml:space="preserve">                          Sub Scenarios
Service Capability</t>
    <phoneticPr fontId="43" type="noConversion"/>
  </si>
  <si>
    <t>Answer</t>
    <phoneticPr fontId="1" type="noConversion"/>
  </si>
  <si>
    <r>
      <t xml:space="preserve">Fault distribution
</t>
    </r>
    <r>
      <rPr>
        <b/>
        <sz val="9"/>
        <color rgb="FFFF0000"/>
        <rFont val="Arial"/>
        <family val="2"/>
      </rPr>
      <t>(Total&gt;=90%)</t>
    </r>
    <phoneticPr fontId="49" type="noConversion"/>
  </si>
  <si>
    <t>whether end-to-end automation is achieved</t>
    <phoneticPr fontId="49" type="noConversion"/>
  </si>
  <si>
    <t>End-to-End Automation Rate=Sum of the Proportions of End-to-End Automated Sub-scenarios in the Live Network</t>
    <phoneticPr fontId="49" type="noConversion"/>
  </si>
  <si>
    <t>P: People</t>
    <phoneticPr fontId="43" type="noConversion"/>
  </si>
  <si>
    <t>S: System</t>
    <phoneticPr fontId="43" type="noConversion"/>
  </si>
  <si>
    <t>*1: According to the AN Level Definition, at the AN L4 Stage, End-to-End Automation is Achieved for Selected Scenarios in Awareness, Analysis, Decision-Making, and Execution.</t>
    <phoneticPr fontId="43" type="noConversion"/>
  </si>
  <si>
    <t>Overall
Score</t>
  </si>
  <si>
    <t>Final Score</t>
    <phoneticPr fontId="1" type="noConversion"/>
  </si>
  <si>
    <t>Disconnection</t>
    <phoneticPr fontId="1" type="noConversion"/>
  </si>
  <si>
    <t>Slowness</t>
    <phoneticPr fontId="1" type="noConversion"/>
  </si>
  <si>
    <t>Stuttering/lag</t>
    <phoneticPr fontId="1" type="noConversion"/>
  </si>
  <si>
    <r>
      <t>Intent</t>
    </r>
    <r>
      <rPr>
        <b/>
        <vertAlign val="superscript"/>
        <sz val="12"/>
        <color rgb="FFFF0000"/>
        <rFont val="Arial"/>
        <family val="2"/>
      </rPr>
      <t>*1</t>
    </r>
    <phoneticPr fontId="1" type="noConversion"/>
  </si>
  <si>
    <t>Stuttering/lag
(35%)</t>
    <phoneticPr fontId="1" type="noConversion"/>
  </si>
  <si>
    <t>Slowness
(35%)</t>
    <phoneticPr fontId="1" type="noConversion"/>
  </si>
  <si>
    <t>Disconnection</t>
    <phoneticPr fontId="1" type="noConversion"/>
  </si>
  <si>
    <t>Slowness</t>
    <phoneticPr fontId="1" type="noConversion"/>
  </si>
  <si>
    <t>Stuttering/lag</t>
    <phoneticPr fontId="1" type="noConversion"/>
  </si>
  <si>
    <t>Jingyi Zhang</t>
    <phoneticPr fontId="1" type="noConversion"/>
  </si>
  <si>
    <t>Yunhe Wu</t>
    <phoneticPr fontId="1" type="noConversion"/>
  </si>
  <si>
    <t>Author</t>
    <phoneticPr fontId="1" type="noConversion"/>
  </si>
  <si>
    <t>Co-Author</t>
    <phoneticPr fontId="1" type="noConversion"/>
  </si>
  <si>
    <t>Performance is monitored infrequently; many service quality issues (like slow speeds or high latency) may go unnoticed until customers complain or manual tests are conducted.</t>
  </si>
  <si>
    <t>Can the system automatically correlate, process multi-dimensional data such as equipment, network, and service performance, and calculate a unified, quantifiable score that reflects the actual customer experience based on a comprehensive experience evaluation AI Model and algorithm?</t>
  </si>
  <si>
    <t>Seungbin Jeon</t>
  </si>
  <si>
    <t>Yoonji Lee</t>
  </si>
  <si>
    <t>Minjong Kim</t>
  </si>
  <si>
    <t>LGU+</t>
  </si>
  <si>
    <t>Does the service assurance system proactively monitor broadband performance (e.g. throughput and latency).</t>
  </si>
  <si>
    <t xml:space="preserve">The system continuously tracks service performance indicators (throughput, latency, jitter etc.) using dynamic programmable policies in real time. </t>
  </si>
  <si>
    <r>
      <rPr>
        <sz val="10"/>
        <color rgb="FF000000"/>
        <rFont val="Arial"/>
        <family val="2"/>
      </rPr>
      <t>Key performance metrics are collected i</t>
    </r>
    <r>
      <rPr>
        <sz val="10"/>
        <rFont val="Arial"/>
        <family val="2"/>
      </rPr>
      <t>n near-real time</t>
    </r>
    <r>
      <rPr>
        <sz val="10"/>
        <color rgb="FF000000"/>
        <rFont val="Arial"/>
        <family val="2"/>
      </rPr>
      <t xml:space="preserve"> and threshold alarms are in place (e.g. alert on speed dropping below a limit using static rules).</t>
    </r>
  </si>
  <si>
    <r>
      <t>Real-Time Serv</t>
    </r>
    <r>
      <rPr>
        <sz val="10"/>
        <rFont val="Arial"/>
        <family val="2"/>
      </rPr>
      <t>ice Degradation</t>
    </r>
    <r>
      <rPr>
        <sz val="10"/>
        <color theme="1"/>
        <rFont val="Arial"/>
        <family val="2"/>
      </rPr>
      <t xml:space="preserve"> &amp; Outage Detection</t>
    </r>
  </si>
  <si>
    <t>Can the service assurance system automatically detect when a broadband service is down or degraded in real time, without relying on the customer to report it?_x000B_</t>
  </si>
  <si>
    <t xml:space="preserve">Continuous monitoring flags any service outage or degradation via AI model, triggering automated alarms/tickets (often before the customer is even aware of the problem). </t>
  </si>
  <si>
    <t>Monitoring flags any service outage or degradation via dynamic programmable policies, triggering automated alarms/tickets (often before the customer is even aware of the problem).</t>
  </si>
  <si>
    <t xml:space="preserve">The system automatically correlates and processes multi-dimensional data such as equipment, network, and service performance. Based on a comprehensive experience evaluation AI model, it calculates a unified, quantifiable score that reflects the objective customer experience. </t>
  </si>
  <si>
    <t xml:space="preserve">The system correlates and processes multi-dimensional data such as equipment and network. Based on a comprehensive experience evaluation dynamic programable policies, it calculates a unified, quantifiable score that reflects the objective customer experience, </t>
  </si>
  <si>
    <t>Performance data are manually analyzed with the assistance of auxiliary tools / scripts to determine the impact.</t>
  </si>
  <si>
    <t>The system provides basic grouping of related service alarms (e.g. by geographic area or network node) via static rules, offering hints of a common cause, but determining the true root cause still requires significant manual analysis by experts._x000B_</t>
  </si>
  <si>
    <t xml:space="preserve">Proactive Performance Monitoring </t>
  </si>
  <si>
    <t>Does the service assurance system proactively monitor broadband performance (e.g. throughput and latency)?</t>
  </si>
  <si>
    <t>Can the system automatically correlate, process multi-dimensional data such as equipment, network, and service performance, and calculate a unified, quantifiable score that reflects the objective customer experience based on a comprehensive experience evaluation AI Model and algorithm?</t>
  </si>
  <si>
    <t>Service Correlation &amp; Root Cause Identification</t>
  </si>
  <si>
    <t>GB1503B</t>
  </si>
  <si>
    <t>Maturity Level: Beta</t>
  </si>
  <si>
    <t>Approval Status: Member Evaluated</t>
  </si>
  <si>
    <t>B</t>
  </si>
  <si>
    <t>Weight</t>
  </si>
  <si>
    <t>Description</t>
  </si>
  <si>
    <t>OptionD</t>
    <phoneticPr fontId="1" type="noConversion"/>
  </si>
  <si>
    <t>Source of the standard</t>
    <phoneticPr fontId="1" type="noConversion"/>
  </si>
  <si>
    <t>Answers</t>
    <phoneticPr fontId="1" type="noConversion"/>
  </si>
  <si>
    <t>End-to-End Automation Ratio</t>
    <phoneticPr fontId="1" type="noConversion"/>
  </si>
  <si>
    <t>&gt;=80%</t>
    <phoneticPr fontId="1" type="noConversion"/>
  </si>
  <si>
    <t>&lt;50%</t>
    <phoneticPr fontId="1" type="noConversion"/>
  </si>
  <si>
    <t>Proactive Performance Monitoring</t>
    <phoneticPr fontId="1" type="noConversion"/>
  </si>
  <si>
    <t>Impact-Based Incident Prioritization</t>
    <phoneticPr fontId="1" type="noConversion"/>
  </si>
  <si>
    <r>
      <t xml:space="preserve">What is the proportion of tickets that the system can automatically resolved?
</t>
    </r>
    <r>
      <rPr>
        <b/>
        <sz val="10"/>
        <color theme="1"/>
        <rFont val="Arial"/>
        <family val="2"/>
      </rPr>
      <t xml:space="preserve">Calculation formula:
</t>
    </r>
    <r>
      <rPr>
        <sz val="10"/>
        <color theme="1"/>
        <rFont val="Arial"/>
        <family val="2"/>
      </rPr>
      <t xml:space="preserve">End-to-End Automatiion Ratio = (The Sum of issue resolved automatically following IAADE × number of service capability achieved option A)  ÷ (Total number of issues×Total number of service capability)× 100%
</t>
    </r>
    <r>
      <rPr>
        <b/>
        <sz val="10"/>
        <color theme="1"/>
        <rFont val="Arial"/>
        <family val="2"/>
      </rPr>
      <t>Note:</t>
    </r>
    <r>
      <rPr>
        <sz val="10"/>
        <color theme="1"/>
        <rFont val="Arial"/>
        <family val="2"/>
      </rPr>
      <t xml:space="preserve">
Some issus may only fulfill the option A of IAADE. For example, an issue only can fulfill intent and proactive Performance Monitoring but cannot do root cause identification, so this issue partly fulfill IAADE option A.
</t>
    </r>
    <r>
      <rPr>
        <b/>
        <sz val="10"/>
        <color theme="1"/>
        <rFont val="Arial"/>
        <family val="2"/>
      </rPr>
      <t>Information for Calculation:</t>
    </r>
    <r>
      <rPr>
        <sz val="10"/>
        <color theme="1"/>
        <rFont val="Arial"/>
        <family val="2"/>
      </rPr>
      <t xml:space="preserve">
Reference the issue list mentioned in GB 1503B.</t>
    </r>
    <phoneticPr fontId="1" type="noConversion"/>
  </si>
  <si>
    <t>Version: 2.0.0</t>
  </si>
  <si>
    <t>©TM Forum 2026. All Rights Reserved.</t>
  </si>
  <si>
    <t>Copyright © TM Forum 2026 All Rights Reserved.</t>
  </si>
  <si>
    <t>Value Indicator</t>
  </si>
  <si>
    <t>Mean Time to Recovery (MTTR)</t>
  </si>
  <si>
    <t>What is the average time from service degradation detection to full service restoration? Calculation: MTTR = Total downtime across incidents / Total number of incidents. Information for calculation: CSP provides incident records over one month with timestamps for detection and restoration.</t>
  </si>
  <si>
    <t>&gt;24 hours or not measured</t>
  </si>
  <si>
    <t>&lt;2 hours</t>
  </si>
  <si>
    <t>2-8 hours</t>
  </si>
  <si>
    <t>50-80%</t>
  </si>
  <si>
    <t>8-24 hours</t>
  </si>
  <si>
    <t>Not measured</t>
  </si>
  <si>
    <t xml:space="preserve">IG1256 6.2.2 </t>
  </si>
  <si>
    <t>IG1256 7.2</t>
  </si>
  <si>
    <t>Team Approved Date: 25-Mar-2026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</si>
</sst>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
  </numFmts>
  <fonts count="57">
    <font>
      <sz val="11"/>
      <color theme="1"/>
      <name val="Calibri"/>
      <family val="2"/>
      <scheme val="minor"/>
    </font>
    <font>
      <sz val="9"/>
      <name val="Calibri"/>
      <family val="3"/>
      <charset val="134"/>
      <scheme val="minor"/>
    </font>
    <font>
      <sz val="11"/>
      <name val="宋体"/>
      <family val="3"/>
      <charset val="134"/>
    </font>
    <font>
      <sz val="11"/>
      <color theme="1"/>
      <name val="Calibri"/>
      <family val="2"/>
      <scheme val="minor"/>
    </font>
    <font>
      <sz val="10"/>
      <color theme="1"/>
      <name val="微软雅黑"/>
      <family val="2"/>
      <charset val="134"/>
    </font>
    <font>
      <b/>
      <sz val="10"/>
      <color theme="1"/>
      <name val="Arial"/>
      <family val="2"/>
    </font>
    <font>
      <b/>
      <sz val="11"/>
      <color theme="1"/>
      <name val="Arial"/>
      <family val="2"/>
    </font>
    <font>
      <sz val="10"/>
      <color theme="1"/>
      <name val="Arial"/>
      <family val="2"/>
    </font>
    <font>
      <sz val="10"/>
      <name val="Arial"/>
      <family val="2"/>
    </font>
    <font>
      <sz val="10"/>
      <color theme="1"/>
      <name val="Cambria"/>
      <family val="1"/>
    </font>
    <font>
      <sz val="10"/>
      <color theme="1"/>
      <name val="Calibri"/>
      <family val="2"/>
      <scheme val="minor"/>
    </font>
    <font>
      <b/>
      <sz val="10"/>
      <color theme="1"/>
      <name val="Calibri"/>
      <family val="2"/>
      <scheme val="minor"/>
    </font>
    <font>
      <b/>
      <sz val="12"/>
      <color theme="1"/>
      <name val="Arial"/>
      <family val="2"/>
    </font>
    <font>
      <sz val="10"/>
      <color rgb="FF000000"/>
      <name val="Calibri"/>
      <family val="2"/>
      <scheme val="minor"/>
    </font>
    <font>
      <sz val="10"/>
      <name val="Calibri"/>
      <family val="2"/>
      <scheme val="minor"/>
    </font>
    <font>
      <b/>
      <sz val="12"/>
      <color theme="1"/>
      <name val="Calibri"/>
      <family val="2"/>
      <scheme val="minor"/>
    </font>
    <font>
      <sz val="11"/>
      <color theme="1"/>
      <name val="Calibri"/>
      <family val="2"/>
      <scheme val="minor"/>
    </font>
    <font>
      <sz val="11"/>
      <color theme="1"/>
      <name val="Arial"/>
      <family val="2"/>
    </font>
    <font>
      <sz val="10"/>
      <color rgb="FF000000"/>
      <name val="Arial"/>
      <family val="2"/>
    </font>
    <font>
      <sz val="11"/>
      <color theme="1"/>
      <name val="Calibri"/>
      <family val="3"/>
      <charset val="134"/>
      <scheme val="minor"/>
    </font>
    <font>
      <b/>
      <sz val="11"/>
      <color rgb="FF0070C0"/>
      <name val="Microsoft YaHei Light"/>
      <family val="2"/>
    </font>
    <font>
      <b/>
      <sz val="10"/>
      <color rgb="FF0070C0"/>
      <name val="Microsoft YaHei Light"/>
      <family val="2"/>
    </font>
    <font>
      <b/>
      <sz val="10"/>
      <color theme="1"/>
      <name val="Microsoft YaHei Light"/>
      <family val="2"/>
    </font>
    <font>
      <b/>
      <sz val="10"/>
      <color rgb="FF000000"/>
      <name val="Microsoft YaHei Light"/>
      <family val="2"/>
    </font>
    <font>
      <u/>
      <sz val="11"/>
      <color theme="10"/>
      <name val="Calibri"/>
      <family val="2"/>
      <scheme val="minor"/>
    </font>
    <font>
      <sz val="11"/>
      <color theme="1"/>
      <name val="Aptos"/>
      <family val="2"/>
    </font>
    <font>
      <b/>
      <sz val="11"/>
      <color theme="1"/>
      <name val="Aptos"/>
      <family val="2"/>
    </font>
    <font>
      <i/>
      <sz val="11"/>
      <color rgb="FF172B4D"/>
      <name val="Aptos"/>
      <family val="2"/>
    </font>
    <font>
      <b/>
      <sz val="28"/>
      <color rgb="FFC00000"/>
      <name val="Aptos"/>
      <family val="2"/>
    </font>
    <font>
      <b/>
      <sz val="28"/>
      <color rgb="FFE0121D"/>
      <name val="Aptos"/>
      <family val="2"/>
    </font>
    <font>
      <b/>
      <sz val="32"/>
      <color rgb="FF404040"/>
      <name val="Aptos"/>
      <family val="2"/>
    </font>
    <font>
      <i/>
      <sz val="18"/>
      <color rgb="FF404040"/>
      <name val="Aptos"/>
      <family val="2"/>
    </font>
    <font>
      <sz val="16"/>
      <color rgb="FF404040"/>
      <name val="Aptos"/>
      <family val="2"/>
    </font>
    <font>
      <b/>
      <sz val="18"/>
      <color rgb="FF404040"/>
      <name val="Aptos"/>
      <family val="2"/>
    </font>
    <font>
      <b/>
      <sz val="14"/>
      <color rgb="FF404040"/>
      <name val="Aptos"/>
      <family val="2"/>
    </font>
    <font>
      <sz val="10"/>
      <name val="Aptos"/>
      <family val="2"/>
    </font>
    <font>
      <sz val="12"/>
      <color theme="1"/>
      <name val="Aptos"/>
      <family val="2"/>
    </font>
    <font>
      <sz val="20"/>
      <color rgb="FFC00000"/>
      <name val="Aptos"/>
      <family val="2"/>
    </font>
    <font>
      <sz val="20"/>
      <color theme="1"/>
      <name val="Aptos"/>
      <family val="2"/>
    </font>
    <font>
      <sz val="12"/>
      <color rgb="FF000000"/>
      <name val="Aptos"/>
      <family val="2"/>
    </font>
    <font>
      <sz val="10"/>
      <name val="微软雅黑"/>
      <family val="2"/>
      <charset val="134"/>
    </font>
    <font>
      <b/>
      <sz val="10"/>
      <name val="Arial"/>
      <family val="2"/>
    </font>
    <font>
      <b/>
      <sz val="12"/>
      <name val="Arial"/>
      <family val="2"/>
    </font>
    <font>
      <sz val="9"/>
      <name val="等线"/>
      <family val="3"/>
      <charset val="134"/>
    </font>
    <font>
      <sz val="11"/>
      <color indexed="8"/>
      <name val="Calibri"/>
      <family val="3"/>
      <charset val="134"/>
      <scheme val="minor"/>
    </font>
    <font>
      <b/>
      <sz val="10"/>
      <color rgb="FF000000"/>
      <name val="Arial"/>
      <family val="2"/>
    </font>
    <font>
      <sz val="11"/>
      <color rgb="FF000000"/>
      <name val="Arial"/>
      <family val="2"/>
    </font>
    <font>
      <b/>
      <sz val="10"/>
      <color rgb="FF000000"/>
      <name val="Calibri"/>
      <family val="2"/>
    </font>
    <font>
      <b/>
      <sz val="9"/>
      <color rgb="FFFF0000"/>
      <name val="Arial"/>
      <family val="2"/>
    </font>
    <font>
      <sz val="9"/>
      <name val="等线"/>
      <family val="2"/>
      <charset val="134"/>
    </font>
    <font>
      <b/>
      <vertAlign val="superscript"/>
      <sz val="12"/>
      <color rgb="FFFF0000"/>
      <name val="Arial"/>
      <family val="2"/>
    </font>
    <font>
      <i/>
      <sz val="11"/>
      <color rgb="FF0070C0"/>
      <name val="Arial"/>
      <family val="2"/>
    </font>
    <font>
      <sz val="11"/>
      <color rgb="FFFF0000"/>
      <name val="Arial"/>
      <family val="2"/>
    </font>
    <font>
      <i/>
      <sz val="9"/>
      <color rgb="FF000000"/>
      <name val="Arial"/>
      <family val="2"/>
    </font>
    <font>
      <sz val="9"/>
      <color rgb="FF000000"/>
      <name val="Arial"/>
      <family val="2"/>
    </font>
    <font>
      <b/>
      <sz val="11"/>
      <color theme="1"/>
      <name val="Calibri"/>
      <family val="2"/>
      <scheme val="minor"/>
    </font>
    <font>
      <b/>
      <sz val="11"/>
      <name val="Arial"/>
      <family val="2"/>
    </font>
  </fonts>
  <fills count="17">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7" tint="0.79998168889431442"/>
        <bgColor indexed="64"/>
      </patternFill>
    </fill>
    <fill>
      <patternFill patternType="solid">
        <fgColor rgb="FFDDEBF7"/>
        <bgColor rgb="FF000000"/>
      </patternFill>
    </fill>
    <fill>
      <patternFill patternType="solid">
        <fgColor rgb="FFF2F2F2"/>
        <bgColor rgb="FF000000"/>
      </patternFill>
    </fill>
    <fill>
      <patternFill patternType="solid">
        <fgColor theme="0" tint="-0.14999847407452621"/>
        <bgColor rgb="FF000000"/>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8" tint="0.79998168889431442"/>
        <bgColor rgb="FF000000"/>
      </patternFill>
    </fill>
    <fill>
      <patternFill patternType="solid">
        <fgColor rgb="FFB7DEE8"/>
        <bgColor indexed="64"/>
      </patternFill>
    </fill>
    <fill>
      <patternFill patternType="solid">
        <fgColor rgb="FFFDE9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rgb="FF000000"/>
      </left>
      <right/>
      <top style="thin">
        <color rgb="FF000000"/>
      </top>
      <bottom style="thin">
        <color rgb="FF000000"/>
      </bottom>
      <diagonal/>
    </border>
    <border>
      <left/>
      <right/>
      <top style="thin">
        <color rgb="FF000000"/>
      </top>
      <bottom/>
      <diagonal/>
    </border>
    <border>
      <left/>
      <right style="medium">
        <color indexed="64"/>
      </right>
      <top style="thin">
        <color rgb="FF000000"/>
      </top>
      <bottom style="thin">
        <color rgb="FF000000"/>
      </bottom>
      <diagonal/>
    </border>
    <border>
      <left style="thin">
        <color rgb="FF000000"/>
      </left>
      <right/>
      <top style="thin">
        <color rgb="FF000000"/>
      </top>
      <bottom/>
      <diagonal/>
    </border>
    <border>
      <left style="medium">
        <color indexed="64"/>
      </left>
      <right/>
      <top style="thin">
        <color rgb="FF000000"/>
      </top>
      <bottom style="thin">
        <color rgb="FF000000"/>
      </bottom>
      <diagonal/>
    </border>
    <border>
      <left style="thin">
        <color indexed="64"/>
      </left>
      <right/>
      <top/>
      <bottom/>
      <diagonal/>
    </border>
    <border>
      <left style="thin">
        <color rgb="FF1D1D1A"/>
      </left>
      <right/>
      <top style="thin">
        <color rgb="FF1D1D1A"/>
      </top>
      <bottom style="thin">
        <color rgb="FF1D1D1A"/>
      </bottom>
      <diagonal/>
    </border>
    <border>
      <left/>
      <right/>
      <top style="thin">
        <color rgb="FF1D1D1A"/>
      </top>
      <bottom style="thin">
        <color rgb="FF1D1D1A"/>
      </bottom>
      <diagonal/>
    </border>
    <border>
      <left style="thin">
        <color rgb="FF1D1D1A"/>
      </left>
      <right style="thin">
        <color rgb="FF1D1D1A"/>
      </right>
      <top style="thin">
        <color rgb="FF1D1D1A"/>
      </top>
      <bottom style="thin">
        <color rgb="FF1D1D1A"/>
      </bottom>
      <diagonal/>
    </border>
  </borders>
  <cellStyleXfs count="13">
    <xf numFmtId="0" fontId="0" fillId="0" borderId="0"/>
    <xf numFmtId="0" fontId="2" fillId="0" borderId="0">
      <alignment vertical="center"/>
    </xf>
    <xf numFmtId="9" fontId="3" fillId="0" borderId="0" applyFont="0" applyFill="0" applyBorder="0" applyAlignment="0" applyProtection="0"/>
    <xf numFmtId="0" fontId="16" fillId="0" borderId="0">
      <alignment vertical="center"/>
    </xf>
    <xf numFmtId="0" fontId="3" fillId="0" borderId="0">
      <alignment vertical="top"/>
    </xf>
    <xf numFmtId="0" fontId="3" fillId="0" borderId="0"/>
    <xf numFmtId="0" fontId="8" fillId="0" borderId="0"/>
    <xf numFmtId="0" fontId="3" fillId="0" borderId="0"/>
    <xf numFmtId="0" fontId="19" fillId="0" borderId="0"/>
    <xf numFmtId="0" fontId="24" fillId="0" borderId="0" applyNumberFormat="0" applyFill="0" applyBorder="0" applyAlignment="0" applyProtection="0"/>
    <xf numFmtId="0" fontId="44" fillId="0" borderId="0">
      <alignment vertical="center"/>
    </xf>
    <xf numFmtId="0" fontId="3" fillId="0" borderId="0"/>
    <xf numFmtId="9" fontId="3" fillId="0" borderId="0" applyFont="0" applyFill="0" applyBorder="0" applyAlignment="0" applyProtection="0">
      <alignment vertical="center"/>
    </xf>
  </cellStyleXfs>
  <cellXfs count="204">
    <xf numFmtId="0" fontId="0" fillId="0" borderId="0" xfId="0"/>
    <xf numFmtId="0" fontId="4" fillId="0" borderId="0" xfId="0" applyFont="1"/>
    <xf numFmtId="0" fontId="4" fillId="0" borderId="0" xfId="0" applyFont="1" applyAlignment="1">
      <alignment horizontal="left" wrapText="1"/>
    </xf>
    <xf numFmtId="0" fontId="7" fillId="0" borderId="0" xfId="0" applyFont="1" applyAlignment="1">
      <alignment horizontal="left" vertical="center"/>
    </xf>
    <xf numFmtId="0" fontId="9" fillId="0" borderId="0" xfId="0" applyFont="1" applyAlignment="1">
      <alignment horizontal="left" wrapText="1"/>
    </xf>
    <xf numFmtId="0" fontId="5" fillId="4" borderId="11" xfId="0" applyFont="1" applyFill="1" applyBorder="1" applyAlignment="1">
      <alignment horizontal="center" vertical="center" wrapText="1"/>
    </xf>
    <xf numFmtId="0" fontId="10" fillId="0" borderId="0" xfId="0" applyFont="1"/>
    <xf numFmtId="0" fontId="0" fillId="0" borderId="0" xfId="0" applyAlignment="1">
      <alignment wrapText="1"/>
    </xf>
    <xf numFmtId="0" fontId="13" fillId="3" borderId="1" xfId="0" applyFont="1" applyFill="1" applyBorder="1" applyAlignment="1">
      <alignment horizontal="left" vertical="center" wrapText="1"/>
    </xf>
    <xf numFmtId="0" fontId="10" fillId="0" borderId="14" xfId="0" applyFont="1" applyBorder="1" applyAlignment="1">
      <alignment horizontal="left" vertical="center" wrapText="1"/>
    </xf>
    <xf numFmtId="0" fontId="10" fillId="3"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4" fillId="0" borderId="14" xfId="0" applyFont="1" applyBorder="1" applyAlignment="1">
      <alignment horizontal="left" vertical="center" wrapText="1"/>
    </xf>
    <xf numFmtId="0" fontId="10" fillId="0" borderId="18" xfId="0" applyFont="1" applyBorder="1" applyAlignment="1">
      <alignment horizontal="left" vertical="center" wrapText="1"/>
    </xf>
    <xf numFmtId="0" fontId="10" fillId="0" borderId="17" xfId="0" applyFont="1" applyBorder="1" applyAlignment="1">
      <alignment horizontal="left" vertical="center" wrapText="1"/>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0" fillId="0" borderId="21" xfId="0" applyFont="1" applyBorder="1" applyAlignment="1">
      <alignment horizontal="center" vertical="center" wrapText="1"/>
    </xf>
    <xf numFmtId="0" fontId="10" fillId="2" borderId="1" xfId="0" applyFont="1" applyFill="1" applyBorder="1" applyAlignment="1">
      <alignment horizontal="left" vertical="center" wrapText="1"/>
    </xf>
    <xf numFmtId="0" fontId="10" fillId="0" borderId="16" xfId="0" applyFont="1" applyBorder="1" applyAlignment="1">
      <alignment horizontal="center" vertical="center" wrapText="1"/>
    </xf>
    <xf numFmtId="0" fontId="10" fillId="7" borderId="18" xfId="0" applyFont="1" applyFill="1" applyBorder="1" applyAlignment="1">
      <alignment horizontal="left" vertical="center" wrapText="1"/>
    </xf>
    <xf numFmtId="0" fontId="11" fillId="4" borderId="15" xfId="0" applyFont="1" applyFill="1" applyBorder="1" applyAlignment="1">
      <alignment horizontal="center" vertical="center" wrapText="1"/>
    </xf>
    <xf numFmtId="0" fontId="5" fillId="8" borderId="1" xfId="7" applyFont="1" applyFill="1" applyBorder="1" applyAlignment="1">
      <alignment horizontal="center" vertical="center" wrapText="1"/>
    </xf>
    <xf numFmtId="0" fontId="7" fillId="0" borderId="1" xfId="7" applyFont="1" applyBorder="1" applyAlignment="1">
      <alignment horizontal="center" vertical="center" wrapText="1"/>
    </xf>
    <xf numFmtId="0" fontId="7" fillId="3" borderId="1" xfId="7" applyFont="1" applyFill="1" applyBorder="1" applyAlignment="1">
      <alignment horizontal="center" vertical="center" wrapText="1"/>
    </xf>
    <xf numFmtId="0" fontId="7" fillId="7" borderId="1" xfId="7" applyFont="1" applyFill="1" applyBorder="1" applyAlignment="1">
      <alignment horizontal="left" vertical="center" wrapText="1"/>
    </xf>
    <xf numFmtId="9" fontId="7" fillId="3" borderId="1" xfId="2" applyFont="1" applyFill="1" applyBorder="1" applyAlignment="1">
      <alignment horizontal="center" vertical="center" wrapText="1"/>
    </xf>
    <xf numFmtId="0" fontId="7" fillId="2" borderId="1" xfId="7" applyFont="1" applyFill="1" applyBorder="1" applyAlignment="1">
      <alignment horizontal="left" vertical="center" wrapText="1"/>
    </xf>
    <xf numFmtId="9" fontId="7" fillId="0" borderId="1" xfId="2" applyFont="1" applyBorder="1" applyAlignment="1">
      <alignment horizontal="center" vertical="center" wrapText="1"/>
    </xf>
    <xf numFmtId="0" fontId="7" fillId="0" borderId="2" xfId="7" applyFont="1" applyBorder="1" applyAlignment="1">
      <alignment horizontal="center" vertical="center" wrapText="1"/>
    </xf>
    <xf numFmtId="0" fontId="22" fillId="6" borderId="32" xfId="8" applyFont="1" applyFill="1" applyBorder="1" applyAlignment="1">
      <alignment horizontal="center" vertical="center" wrapText="1"/>
    </xf>
    <xf numFmtId="0" fontId="22" fillId="6" borderId="33" xfId="8" applyFont="1" applyFill="1" applyBorder="1" applyAlignment="1">
      <alignment horizontal="center" vertical="center" wrapText="1"/>
    </xf>
    <xf numFmtId="0" fontId="7" fillId="0" borderId="13" xfId="7" applyFont="1" applyBorder="1" applyAlignment="1">
      <alignment horizontal="center" vertical="center"/>
    </xf>
    <xf numFmtId="0" fontId="7" fillId="0" borderId="1" xfId="7" applyFont="1" applyBorder="1" applyAlignment="1">
      <alignment horizontal="center" vertical="center"/>
    </xf>
    <xf numFmtId="0" fontId="8" fillId="0" borderId="1" xfId="7" applyFont="1" applyBorder="1" applyAlignment="1">
      <alignment horizontal="center" vertical="center"/>
    </xf>
    <xf numFmtId="0" fontId="7" fillId="0" borderId="14" xfId="7" applyFont="1" applyBorder="1" applyAlignment="1">
      <alignment horizontal="center" vertical="center"/>
    </xf>
    <xf numFmtId="0" fontId="17" fillId="0" borderId="1" xfId="0" applyFont="1" applyBorder="1" applyAlignment="1">
      <alignment horizontal="center" vertical="center"/>
    </xf>
    <xf numFmtId="2" fontId="17" fillId="0" borderId="1" xfId="0" applyNumberFormat="1" applyFont="1" applyBorder="1" applyAlignment="1">
      <alignment horizontal="center" vertical="center"/>
    </xf>
    <xf numFmtId="0" fontId="7" fillId="0" borderId="16" xfId="7" applyFont="1" applyBorder="1" applyAlignment="1">
      <alignment horizontal="center" vertical="center"/>
    </xf>
    <xf numFmtId="0" fontId="7" fillId="0" borderId="18" xfId="7" applyFont="1" applyBorder="1" applyAlignment="1">
      <alignment horizontal="center" vertical="center"/>
    </xf>
    <xf numFmtId="0" fontId="8" fillId="0" borderId="18" xfId="7" applyFont="1" applyBorder="1" applyAlignment="1">
      <alignment horizontal="center" vertical="center"/>
    </xf>
    <xf numFmtId="0" fontId="7" fillId="0" borderId="1" xfId="7" applyFont="1" applyBorder="1" applyAlignment="1" applyProtection="1">
      <alignment horizontal="center" vertical="center"/>
      <protection locked="0"/>
    </xf>
    <xf numFmtId="0" fontId="7" fillId="0" borderId="1" xfId="7" applyFont="1" applyBorder="1" applyAlignment="1" applyProtection="1">
      <alignment horizontal="left" vertical="center" wrapText="1"/>
      <protection locked="0"/>
    </xf>
    <xf numFmtId="0" fontId="7" fillId="0" borderId="1" xfId="7" applyFont="1" applyBorder="1" applyAlignment="1" applyProtection="1">
      <alignment horizontal="left" vertical="center"/>
      <protection locked="0"/>
    </xf>
    <xf numFmtId="0" fontId="7" fillId="5" borderId="1" xfId="7" applyFont="1" applyFill="1" applyBorder="1" applyAlignment="1">
      <alignment horizontal="left" vertical="top" wrapText="1"/>
    </xf>
    <xf numFmtId="0" fontId="18" fillId="5" borderId="1" xfId="7" applyFont="1" applyFill="1" applyBorder="1" applyAlignment="1">
      <alignment horizontal="left" vertical="top" wrapText="1"/>
    </xf>
    <xf numFmtId="0" fontId="25" fillId="0" borderId="0" xfId="3" applyFont="1" applyAlignment="1"/>
    <xf numFmtId="0" fontId="26" fillId="0" borderId="0" xfId="3" applyFont="1" applyAlignment="1"/>
    <xf numFmtId="0" fontId="25" fillId="0" borderId="0" xfId="3" applyFont="1" applyAlignment="1">
      <alignment wrapText="1"/>
    </xf>
    <xf numFmtId="0" fontId="26" fillId="5" borderId="1" xfId="3" applyFont="1" applyFill="1" applyBorder="1" applyAlignment="1"/>
    <xf numFmtId="0" fontId="25" fillId="0" borderId="1" xfId="3" applyFont="1" applyBorder="1" applyAlignment="1"/>
    <xf numFmtId="0" fontId="27" fillId="0" borderId="0" xfId="3" applyFont="1" applyAlignment="1"/>
    <xf numFmtId="0" fontId="25" fillId="0" borderId="0" xfId="4" applyFont="1">
      <alignment vertical="top"/>
    </xf>
    <xf numFmtId="0" fontId="25" fillId="0" borderId="0" xfId="0" applyFont="1"/>
    <xf numFmtId="0" fontId="28" fillId="0" borderId="0" xfId="5" applyFont="1" applyAlignment="1">
      <alignment vertical="center" wrapText="1"/>
    </xf>
    <xf numFmtId="0" fontId="29" fillId="0" borderId="0" xfId="5" applyFont="1" applyAlignment="1">
      <alignment vertical="center" wrapText="1"/>
    </xf>
    <xf numFmtId="0" fontId="30" fillId="0" borderId="0" xfId="5" applyFont="1" applyAlignment="1">
      <alignment wrapText="1"/>
    </xf>
    <xf numFmtId="0" fontId="31" fillId="0" borderId="0" xfId="5" applyFont="1"/>
    <xf numFmtId="0" fontId="32" fillId="0" borderId="0" xfId="5" applyFont="1" applyAlignment="1">
      <alignment wrapText="1"/>
    </xf>
    <xf numFmtId="0" fontId="33" fillId="0" borderId="0" xfId="5" applyFont="1"/>
    <xf numFmtId="17" fontId="33" fillId="0" borderId="0" xfId="5" quotePrefix="1" applyNumberFormat="1" applyFont="1"/>
    <xf numFmtId="0" fontId="34" fillId="0" borderId="24" xfId="0" applyFont="1" applyBorder="1" applyAlignment="1">
      <alignment horizontal="left" vertical="center" wrapText="1"/>
    </xf>
    <xf numFmtId="0" fontId="34" fillId="0" borderId="25" xfId="0" applyFont="1" applyBorder="1" applyAlignment="1">
      <alignment horizontal="left" vertical="center" wrapText="1"/>
    </xf>
    <xf numFmtId="0" fontId="34" fillId="0" borderId="26" xfId="0" applyFont="1" applyBorder="1" applyAlignment="1">
      <alignment horizontal="left" vertical="center" wrapText="1"/>
    </xf>
    <xf numFmtId="0" fontId="34" fillId="0" borderId="27" xfId="0" applyFont="1" applyBorder="1" applyAlignment="1">
      <alignment horizontal="left" vertical="center" wrapText="1"/>
    </xf>
    <xf numFmtId="0" fontId="25" fillId="0" borderId="0" xfId="5" applyFont="1"/>
    <xf numFmtId="0" fontId="35" fillId="0" borderId="0" xfId="6" applyFont="1"/>
    <xf numFmtId="0" fontId="36" fillId="0" borderId="0" xfId="7" applyFont="1" applyAlignment="1">
      <alignment horizontal="left"/>
    </xf>
    <xf numFmtId="0" fontId="36" fillId="0" borderId="0" xfId="5" applyFont="1" applyAlignment="1">
      <alignment wrapText="1"/>
    </xf>
    <xf numFmtId="0" fontId="36" fillId="0" borderId="0" xfId="0" applyFont="1" applyAlignment="1">
      <alignment vertical="top"/>
    </xf>
    <xf numFmtId="0" fontId="37" fillId="0" borderId="0" xfId="5" applyFont="1" applyAlignment="1">
      <alignment vertical="center"/>
    </xf>
    <xf numFmtId="0" fontId="38" fillId="0" borderId="0" xfId="0" applyFont="1" applyAlignment="1">
      <alignment vertical="top"/>
    </xf>
    <xf numFmtId="0" fontId="39" fillId="0" borderId="0" xfId="5" applyFont="1" applyAlignment="1">
      <alignment vertical="center" wrapText="1"/>
    </xf>
    <xf numFmtId="0" fontId="36" fillId="0" borderId="0" xfId="5" applyFont="1" applyAlignment="1">
      <alignment vertical="center" wrapText="1"/>
    </xf>
    <xf numFmtId="0" fontId="36" fillId="0" borderId="0" xfId="9" applyFont="1" applyAlignment="1">
      <alignment vertical="center" wrapText="1"/>
    </xf>
    <xf numFmtId="0" fontId="7" fillId="3" borderId="3" xfId="7" applyFont="1" applyFill="1" applyBorder="1" applyAlignment="1">
      <alignment vertical="center" wrapText="1"/>
    </xf>
    <xf numFmtId="0" fontId="8" fillId="5" borderId="1" xfId="7" applyFont="1" applyFill="1" applyBorder="1" applyAlignment="1">
      <alignment horizontal="left" vertical="top" wrapText="1"/>
    </xf>
    <xf numFmtId="9" fontId="40" fillId="3" borderId="1" xfId="2" applyFont="1" applyFill="1" applyBorder="1" applyAlignment="1">
      <alignment horizontal="center" vertical="center" wrapText="1"/>
    </xf>
    <xf numFmtId="0" fontId="8" fillId="2" borderId="1" xfId="7" applyFont="1" applyFill="1" applyBorder="1" applyAlignment="1">
      <alignment horizontal="left" vertical="center" wrapText="1"/>
    </xf>
    <xf numFmtId="9" fontId="8" fillId="0" borderId="1" xfId="2" applyFont="1" applyBorder="1" applyAlignment="1">
      <alignment horizontal="center" vertical="center" wrapText="1"/>
    </xf>
    <xf numFmtId="0" fontId="41" fillId="2" borderId="1" xfId="7" applyFont="1" applyFill="1" applyBorder="1" applyAlignment="1">
      <alignment horizontal="center" vertical="center" wrapText="1"/>
    </xf>
    <xf numFmtId="0" fontId="8" fillId="0" borderId="1" xfId="7" applyFont="1" applyBorder="1" applyAlignment="1" applyProtection="1">
      <alignment horizontal="center" vertical="center"/>
      <protection locked="0"/>
    </xf>
    <xf numFmtId="0" fontId="46" fillId="0" borderId="0" xfId="10" applyFont="1" applyAlignment="1"/>
    <xf numFmtId="0" fontId="44" fillId="0" borderId="0" xfId="10">
      <alignment vertical="center"/>
    </xf>
    <xf numFmtId="9" fontId="47" fillId="9" borderId="31" xfId="10" applyNumberFormat="1" applyFont="1" applyFill="1" applyBorder="1" applyAlignment="1">
      <alignment horizontal="center" vertical="center" wrapText="1"/>
    </xf>
    <xf numFmtId="0" fontId="51" fillId="0" borderId="1" xfId="1" applyFont="1" applyBorder="1" applyAlignment="1">
      <alignment horizontal="center" vertical="center"/>
    </xf>
    <xf numFmtId="0" fontId="46" fillId="10" borderId="1" xfId="10" applyFont="1" applyFill="1" applyBorder="1" applyAlignment="1">
      <alignment horizontal="center" vertical="center"/>
    </xf>
    <xf numFmtId="165" fontId="52" fillId="10" borderId="1" xfId="1" applyNumberFormat="1" applyFont="1" applyFill="1" applyBorder="1" applyAlignment="1">
      <alignment horizontal="center" vertical="center"/>
    </xf>
    <xf numFmtId="0" fontId="53" fillId="0" borderId="0" xfId="1" applyFont="1" applyAlignment="1">
      <alignment horizontal="left" vertical="center"/>
    </xf>
    <xf numFmtId="0" fontId="54" fillId="0" borderId="0" xfId="10" applyFont="1" applyAlignment="1"/>
    <xf numFmtId="0" fontId="8" fillId="0" borderId="13" xfId="7" applyFont="1" applyBorder="1" applyAlignment="1">
      <alignment horizontal="center" vertical="center"/>
    </xf>
    <xf numFmtId="0" fontId="7" fillId="0" borderId="36" xfId="7" applyFont="1" applyBorder="1" applyAlignment="1">
      <alignment horizontal="center" vertical="center"/>
    </xf>
    <xf numFmtId="0" fontId="20" fillId="6" borderId="43" xfId="8" applyFont="1" applyFill="1" applyBorder="1" applyAlignment="1">
      <alignment horizontal="center" vertical="center"/>
    </xf>
    <xf numFmtId="0" fontId="20" fillId="6" borderId="32" xfId="8" applyFont="1" applyFill="1" applyBorder="1" applyAlignment="1">
      <alignment horizontal="center" vertical="center"/>
    </xf>
    <xf numFmtId="0" fontId="21" fillId="5" borderId="0" xfId="8" applyFont="1" applyFill="1" applyAlignment="1">
      <alignment horizontal="center" vertical="center" wrapText="1"/>
    </xf>
    <xf numFmtId="0" fontId="41" fillId="5" borderId="1" xfId="7" applyFont="1" applyFill="1" applyBorder="1" applyAlignment="1">
      <alignment horizontal="center" vertical="center" wrapText="1"/>
    </xf>
    <xf numFmtId="0" fontId="23" fillId="12" borderId="33" xfId="8" applyFont="1" applyFill="1" applyBorder="1" applyAlignment="1">
      <alignment horizontal="center" vertical="center" wrapText="1"/>
    </xf>
    <xf numFmtId="0" fontId="47" fillId="13" borderId="1" xfId="0" applyFont="1" applyFill="1" applyBorder="1" applyAlignment="1">
      <alignment horizontal="center" vertical="center" wrapText="1"/>
    </xf>
    <xf numFmtId="0" fontId="23" fillId="2" borderId="33" xfId="8" applyFont="1" applyFill="1" applyBorder="1" applyAlignment="1">
      <alignment horizontal="center" vertical="center" wrapText="1"/>
    </xf>
    <xf numFmtId="0" fontId="47" fillId="14" borderId="1" xfId="0" applyFont="1" applyFill="1" applyBorder="1" applyAlignment="1">
      <alignment horizontal="center" vertical="center" wrapText="1"/>
    </xf>
    <xf numFmtId="0" fontId="47" fillId="13" borderId="36" xfId="0" applyFont="1" applyFill="1" applyBorder="1" applyAlignment="1">
      <alignment horizontal="center" vertical="center" wrapText="1"/>
    </xf>
    <xf numFmtId="2" fontId="17" fillId="3" borderId="1" xfId="0" applyNumberFormat="1" applyFont="1" applyFill="1" applyBorder="1" applyAlignment="1">
      <alignment horizontal="center" vertical="center"/>
    </xf>
    <xf numFmtId="0" fontId="8" fillId="0" borderId="36" xfId="7" applyFont="1" applyBorder="1" applyAlignment="1">
      <alignment horizontal="center" vertical="center"/>
    </xf>
    <xf numFmtId="0" fontId="0" fillId="0" borderId="1" xfId="0" applyBorder="1" applyAlignment="1">
      <alignment horizontal="center" vertical="center"/>
    </xf>
    <xf numFmtId="0" fontId="5" fillId="7" borderId="1" xfId="7" applyFont="1" applyFill="1" applyBorder="1" applyAlignment="1">
      <alignment horizontal="center" vertical="center" wrapText="1"/>
    </xf>
    <xf numFmtId="0" fontId="42" fillId="2" borderId="2" xfId="1" applyFont="1" applyFill="1" applyBorder="1" applyAlignment="1">
      <alignment horizontal="center" vertical="center" wrapText="1"/>
    </xf>
    <xf numFmtId="0" fontId="8" fillId="0" borderId="14" xfId="7" applyFont="1" applyBorder="1" applyAlignment="1">
      <alignment horizontal="center" vertical="center"/>
    </xf>
    <xf numFmtId="0" fontId="34" fillId="0" borderId="25" xfId="11" applyFont="1" applyBorder="1" applyAlignment="1">
      <alignment horizontal="left" vertical="center" wrapText="1"/>
    </xf>
    <xf numFmtId="0" fontId="45" fillId="15" borderId="50" xfId="0" applyFont="1" applyFill="1" applyBorder="1" applyAlignment="1">
      <alignment horizontal="center" vertical="center" wrapText="1" readingOrder="1"/>
    </xf>
    <xf numFmtId="0" fontId="45" fillId="16" borderId="50" xfId="0" applyFont="1" applyFill="1" applyBorder="1" applyAlignment="1">
      <alignment horizontal="center" vertical="center" wrapText="1" readingOrder="1"/>
    </xf>
    <xf numFmtId="9" fontId="7" fillId="3" borderId="1" xfId="12" applyFont="1" applyFill="1" applyBorder="1" applyAlignment="1">
      <alignment horizontal="center" vertical="center" wrapText="1"/>
    </xf>
    <xf numFmtId="0" fontId="7" fillId="3" borderId="1" xfId="0" applyFont="1" applyFill="1" applyBorder="1" applyAlignment="1">
      <alignment horizontal="left" vertical="center" wrapText="1"/>
    </xf>
    <xf numFmtId="9" fontId="7" fillId="5" borderId="1" xfId="0" applyNumberFormat="1" applyFont="1" applyFill="1" applyBorder="1" applyAlignment="1">
      <alignment horizontal="left" vertical="center" wrapText="1"/>
    </xf>
    <xf numFmtId="0" fontId="7" fillId="5" borderId="1" xfId="0" applyFont="1" applyFill="1" applyBorder="1" applyAlignment="1">
      <alignment horizontal="left" vertical="center" wrapText="1"/>
    </xf>
    <xf numFmtId="0" fontId="4" fillId="0" borderId="1" xfId="0" applyFont="1" applyBorder="1" applyAlignment="1" applyProtection="1">
      <alignment horizontal="center" vertical="center"/>
      <protection locked="0"/>
    </xf>
    <xf numFmtId="0" fontId="7" fillId="0" borderId="1" xfId="7" applyFont="1" applyBorder="1" applyAlignment="1">
      <alignment horizontal="center" vertical="center" wrapText="1"/>
    </xf>
    <xf numFmtId="0" fontId="7" fillId="0" borderId="2" xfId="7" applyFont="1" applyBorder="1" applyAlignment="1">
      <alignment horizontal="center" vertical="center" wrapText="1"/>
    </xf>
    <xf numFmtId="0" fontId="7" fillId="0" borderId="34" xfId="7" applyFont="1" applyBorder="1" applyAlignment="1">
      <alignment horizontal="center" vertical="center" wrapText="1"/>
    </xf>
    <xf numFmtId="0" fontId="7" fillId="0" borderId="3" xfId="7" applyFont="1" applyBorder="1" applyAlignment="1">
      <alignment horizontal="center" vertical="center" wrapText="1"/>
    </xf>
    <xf numFmtId="0" fontId="41" fillId="2" borderId="36" xfId="7" applyFont="1" applyFill="1" applyBorder="1" applyAlignment="1">
      <alignment horizontal="center" vertical="center" wrapText="1"/>
    </xf>
    <xf numFmtId="0" fontId="41" fillId="2" borderId="37" xfId="7" applyFont="1" applyFill="1" applyBorder="1" applyAlignment="1">
      <alignment horizontal="center" vertical="center" wrapText="1"/>
    </xf>
    <xf numFmtId="0" fontId="41" fillId="2" borderId="35" xfId="7" applyFont="1" applyFill="1" applyBorder="1" applyAlignment="1">
      <alignment horizontal="center" vertical="center" wrapText="1"/>
    </xf>
    <xf numFmtId="0" fontId="5" fillId="4" borderId="2" xfId="7" applyFont="1" applyFill="1" applyBorder="1" applyAlignment="1">
      <alignment horizontal="center" vertical="center" wrapText="1"/>
    </xf>
    <xf numFmtId="0" fontId="5" fillId="4" borderId="34" xfId="7" applyFont="1" applyFill="1" applyBorder="1" applyAlignment="1">
      <alignment horizontal="center" vertical="center" wrapText="1"/>
    </xf>
    <xf numFmtId="0" fontId="5" fillId="4" borderId="3" xfId="7" applyFont="1" applyFill="1" applyBorder="1" applyAlignment="1">
      <alignment horizontal="center" vertical="center" wrapText="1"/>
    </xf>
    <xf numFmtId="0" fontId="5" fillId="6" borderId="2" xfId="7" applyFont="1" applyFill="1" applyBorder="1" applyAlignment="1">
      <alignment horizontal="center" vertical="center" wrapText="1"/>
    </xf>
    <xf numFmtId="0" fontId="5" fillId="6" borderId="34" xfId="7" applyFont="1" applyFill="1" applyBorder="1" applyAlignment="1">
      <alignment horizontal="center" vertical="center" wrapText="1"/>
    </xf>
    <xf numFmtId="0" fontId="5" fillId="6" borderId="3" xfId="7" applyFont="1" applyFill="1" applyBorder="1" applyAlignment="1">
      <alignment horizontal="center" vertical="center" wrapText="1"/>
    </xf>
    <xf numFmtId="0" fontId="45" fillId="15" borderId="48" xfId="0" applyFont="1" applyFill="1" applyBorder="1" applyAlignment="1">
      <alignment horizontal="center" vertical="center" wrapText="1" readingOrder="1"/>
    </xf>
    <xf numFmtId="0" fontId="45" fillId="15" borderId="49" xfId="0" applyFont="1" applyFill="1" applyBorder="1" applyAlignment="1">
      <alignment horizontal="center" vertical="center" wrapText="1" readingOrder="1"/>
    </xf>
    <xf numFmtId="0" fontId="5" fillId="12" borderId="36" xfId="0" applyFont="1" applyFill="1" applyBorder="1" applyAlignment="1">
      <alignment horizontal="center" vertical="center" wrapText="1"/>
    </xf>
    <xf numFmtId="0" fontId="5" fillId="12" borderId="35" xfId="0" applyFont="1" applyFill="1" applyBorder="1" applyAlignment="1">
      <alignment horizontal="center" vertical="center" wrapText="1"/>
    </xf>
    <xf numFmtId="0" fontId="5" fillId="7" borderId="36" xfId="0" applyFont="1" applyFill="1" applyBorder="1" applyAlignment="1">
      <alignment horizontal="left" vertical="center" wrapText="1"/>
    </xf>
    <xf numFmtId="0" fontId="5" fillId="7" borderId="37" xfId="0" applyFont="1" applyFill="1" applyBorder="1" applyAlignment="1">
      <alignment horizontal="left" vertical="center" wrapText="1"/>
    </xf>
    <xf numFmtId="0" fontId="5" fillId="7" borderId="35" xfId="0" applyFont="1" applyFill="1" applyBorder="1" applyAlignment="1">
      <alignment horizontal="left" vertical="center" wrapText="1"/>
    </xf>
    <xf numFmtId="0" fontId="4" fillId="0" borderId="36" xfId="0" applyFont="1" applyBorder="1" applyAlignment="1">
      <alignment horizontal="center"/>
    </xf>
    <xf numFmtId="0" fontId="4" fillId="0" borderId="35" xfId="0" applyFont="1" applyBorder="1" applyAlignment="1">
      <alignment horizontal="center"/>
    </xf>
    <xf numFmtId="0" fontId="4" fillId="0" borderId="36" xfId="0" applyFont="1" applyBorder="1" applyAlignment="1">
      <alignment horizontal="center" vertical="center"/>
    </xf>
    <xf numFmtId="0" fontId="4" fillId="0" borderId="35" xfId="0" applyFont="1" applyBorder="1" applyAlignment="1">
      <alignment horizontal="center" vertical="center"/>
    </xf>
    <xf numFmtId="0" fontId="30" fillId="0" borderId="0" xfId="5" applyFont="1" applyAlignment="1">
      <alignment horizontal="left" vertical="top" wrapText="1"/>
    </xf>
    <xf numFmtId="0" fontId="36" fillId="0" borderId="0" xfId="5" applyFont="1" applyAlignment="1">
      <alignment vertical="center" wrapText="1"/>
    </xf>
    <xf numFmtId="0" fontId="36" fillId="0" borderId="0" xfId="0" applyFont="1" applyAlignment="1">
      <alignment vertical="center" wrapText="1"/>
    </xf>
    <xf numFmtId="0" fontId="10" fillId="0" borderId="0" xfId="0" applyFont="1" applyAlignment="1">
      <alignment horizontal="left"/>
    </xf>
    <xf numFmtId="0" fontId="15" fillId="4" borderId="4"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0" fillId="0" borderId="20" xfId="0" applyBorder="1" applyAlignment="1">
      <alignment horizontal="left" wrapText="1"/>
    </xf>
    <xf numFmtId="0" fontId="0" fillId="0" borderId="0" xfId="0" applyAlignment="1">
      <alignment horizontal="left" wrapText="1"/>
    </xf>
    <xf numFmtId="0" fontId="0" fillId="0" borderId="7" xfId="0" applyBorder="1" applyAlignment="1">
      <alignment horizontal="left" wrapText="1"/>
    </xf>
    <xf numFmtId="0" fontId="0" fillId="0" borderId="20" xfId="0" applyBorder="1" applyAlignment="1">
      <alignment wrapText="1"/>
    </xf>
    <xf numFmtId="0" fontId="0" fillId="0" borderId="0" xfId="0" applyAlignment="1">
      <alignment wrapText="1"/>
    </xf>
    <xf numFmtId="0" fontId="0" fillId="0" borderId="7" xfId="0" applyBorder="1" applyAlignment="1">
      <alignment wrapText="1"/>
    </xf>
    <xf numFmtId="0" fontId="12" fillId="4" borderId="23"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10" fillId="0" borderId="13" xfId="0" applyFont="1" applyBorder="1" applyAlignment="1">
      <alignment horizontal="center" vertical="center"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21" fillId="5" borderId="42" xfId="8" applyFont="1" applyFill="1" applyBorder="1" applyAlignment="1">
      <alignment horizontal="center" vertical="center" wrapText="1"/>
    </xf>
    <xf numFmtId="0" fontId="21" fillId="5" borderId="29" xfId="8" applyFont="1" applyFill="1" applyBorder="1" applyAlignment="1">
      <alignment horizontal="center" vertical="center" wrapText="1"/>
    </xf>
    <xf numFmtId="0" fontId="21" fillId="5" borderId="30" xfId="8" applyFont="1" applyFill="1" applyBorder="1" applyAlignment="1">
      <alignment horizontal="center" vertical="center" wrapText="1"/>
    </xf>
    <xf numFmtId="9" fontId="20" fillId="12" borderId="45" xfId="8" applyNumberFormat="1" applyFont="1" applyFill="1" applyBorder="1" applyAlignment="1">
      <alignment horizontal="center" vertical="center"/>
    </xf>
    <xf numFmtId="0" fontId="20" fillId="12" borderId="43" xfId="8" applyFont="1" applyFill="1" applyBorder="1" applyAlignment="1">
      <alignment horizontal="center" vertical="center"/>
    </xf>
    <xf numFmtId="0" fontId="20" fillId="12" borderId="32" xfId="8" applyFont="1" applyFill="1" applyBorder="1" applyAlignment="1">
      <alignment horizontal="center" vertical="center"/>
    </xf>
    <xf numFmtId="0" fontId="5" fillId="4" borderId="11" xfId="7" applyFont="1" applyFill="1" applyBorder="1" applyAlignment="1">
      <alignment horizontal="center" vertical="center" wrapText="1"/>
    </xf>
    <xf numFmtId="0" fontId="5" fillId="4" borderId="13" xfId="7" applyFont="1" applyFill="1" applyBorder="1" applyAlignment="1">
      <alignment horizontal="center" vertical="center" wrapText="1"/>
    </xf>
    <xf numFmtId="0" fontId="5" fillId="4" borderId="12" xfId="7" applyFont="1" applyFill="1" applyBorder="1" applyAlignment="1">
      <alignment horizontal="center" vertical="center" wrapText="1"/>
    </xf>
    <xf numFmtId="0" fontId="5" fillId="4" borderId="1" xfId="7" applyFont="1" applyFill="1" applyBorder="1" applyAlignment="1">
      <alignment horizontal="center" vertical="center" wrapText="1"/>
    </xf>
    <xf numFmtId="0" fontId="20" fillId="6" borderId="47" xfId="8" applyFont="1" applyFill="1" applyBorder="1" applyAlignment="1">
      <alignment horizontal="center" vertical="center"/>
    </xf>
    <xf numFmtId="0" fontId="20" fillId="6" borderId="0" xfId="8" applyFont="1" applyFill="1" applyAlignment="1">
      <alignment horizontal="center" vertical="center"/>
    </xf>
    <xf numFmtId="164" fontId="56" fillId="3" borderId="1" xfId="8" applyNumberFormat="1" applyFont="1" applyFill="1" applyBorder="1" applyAlignment="1">
      <alignment horizontal="center" vertical="center"/>
    </xf>
    <xf numFmtId="164" fontId="56" fillId="3" borderId="2" xfId="8" applyNumberFormat="1" applyFont="1" applyFill="1" applyBorder="1" applyAlignment="1">
      <alignment horizontal="center" vertical="center"/>
    </xf>
    <xf numFmtId="164" fontId="56" fillId="3" borderId="34" xfId="8" applyNumberFormat="1" applyFont="1" applyFill="1" applyBorder="1" applyAlignment="1">
      <alignment horizontal="center" vertical="center"/>
    </xf>
    <xf numFmtId="0" fontId="55" fillId="3" borderId="3" xfId="0" applyFont="1" applyFill="1" applyBorder="1" applyAlignment="1">
      <alignment vertical="center"/>
    </xf>
    <xf numFmtId="0" fontId="20" fillId="2" borderId="46" xfId="8" applyFont="1" applyFill="1" applyBorder="1" applyAlignment="1">
      <alignment horizontal="center" vertical="center"/>
    </xf>
    <xf numFmtId="0" fontId="20" fillId="2" borderId="29" xfId="8" applyFont="1" applyFill="1" applyBorder="1" applyAlignment="1">
      <alignment horizontal="center" vertical="center"/>
    </xf>
    <xf numFmtId="0" fontId="20" fillId="2" borderId="44" xfId="8" applyFont="1" applyFill="1" applyBorder="1" applyAlignment="1">
      <alignment horizontal="center" vertical="center"/>
    </xf>
    <xf numFmtId="0" fontId="20" fillId="12" borderId="46" xfId="8" applyFont="1" applyFill="1" applyBorder="1" applyAlignment="1">
      <alignment horizontal="center" vertical="center"/>
    </xf>
    <xf numFmtId="0" fontId="20" fillId="12" borderId="29" xfId="8" applyFont="1" applyFill="1" applyBorder="1" applyAlignment="1">
      <alignment horizontal="center" vertical="center"/>
    </xf>
    <xf numFmtId="0" fontId="47" fillId="11" borderId="1" xfId="0" applyFont="1" applyFill="1" applyBorder="1" applyAlignment="1">
      <alignment horizontal="center" vertical="center" wrapText="1"/>
    </xf>
    <xf numFmtId="9" fontId="20" fillId="2" borderId="45" xfId="8" applyNumberFormat="1" applyFont="1" applyFill="1" applyBorder="1" applyAlignment="1">
      <alignment horizontal="center" vertical="center"/>
    </xf>
    <xf numFmtId="0" fontId="20" fillId="2" borderId="43" xfId="8" applyFont="1" applyFill="1" applyBorder="1" applyAlignment="1">
      <alignment horizontal="center" vertical="center"/>
    </xf>
    <xf numFmtId="0" fontId="20" fillId="2" borderId="32" xfId="8" applyFont="1" applyFill="1" applyBorder="1" applyAlignment="1">
      <alignment horizontal="center" vertical="center"/>
    </xf>
    <xf numFmtId="0" fontId="20" fillId="12" borderId="42" xfId="8" applyFont="1" applyFill="1" applyBorder="1" applyAlignment="1">
      <alignment horizontal="center" vertical="center"/>
    </xf>
    <xf numFmtId="0" fontId="20" fillId="12" borderId="44" xfId="8" applyFont="1" applyFill="1" applyBorder="1" applyAlignment="1">
      <alignment horizontal="center" vertical="center"/>
    </xf>
    <xf numFmtId="0" fontId="20" fillId="6" borderId="28" xfId="8" applyFont="1" applyFill="1" applyBorder="1" applyAlignment="1">
      <alignment horizontal="center" vertical="center"/>
    </xf>
    <xf numFmtId="0" fontId="20" fillId="6" borderId="29" xfId="8" applyFont="1" applyFill="1" applyBorder="1" applyAlignment="1">
      <alignment horizontal="center" vertical="center"/>
    </xf>
    <xf numFmtId="0" fontId="20" fillId="6" borderId="30" xfId="8" applyFont="1" applyFill="1" applyBorder="1" applyAlignment="1">
      <alignment horizontal="center" vertical="center"/>
    </xf>
    <xf numFmtId="0" fontId="52" fillId="10" borderId="1" xfId="1" applyFont="1" applyFill="1" applyBorder="1" applyAlignment="1">
      <alignment horizontal="center" vertical="center" wrapText="1"/>
    </xf>
    <xf numFmtId="0" fontId="5" fillId="7" borderId="2" xfId="7" applyFont="1" applyFill="1"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vertical="center" wrapText="1"/>
    </xf>
    <xf numFmtId="0" fontId="42" fillId="9" borderId="38" xfId="1" applyFont="1" applyFill="1" applyBorder="1" applyAlignment="1">
      <alignment horizontal="left" vertical="center" wrapText="1"/>
    </xf>
    <xf numFmtId="0" fontId="42" fillId="9" borderId="39" xfId="1" applyFont="1" applyFill="1" applyBorder="1" applyAlignment="1">
      <alignment horizontal="left" vertical="center" wrapText="1"/>
    </xf>
    <xf numFmtId="0" fontId="42" fillId="9" borderId="40" xfId="1" applyFont="1" applyFill="1" applyBorder="1" applyAlignment="1">
      <alignment horizontal="left" vertical="center" wrapText="1"/>
    </xf>
    <xf numFmtId="0" fontId="42" fillId="9" borderId="41" xfId="1" applyFont="1" applyFill="1" applyBorder="1" applyAlignment="1">
      <alignment horizontal="left" vertical="center" wrapText="1"/>
    </xf>
    <xf numFmtId="0" fontId="45" fillId="9" borderId="37" xfId="10" applyFont="1" applyFill="1" applyBorder="1" applyAlignment="1">
      <alignment horizontal="center" vertical="center" wrapText="1"/>
    </xf>
    <xf numFmtId="0" fontId="45" fillId="9" borderId="35" xfId="10" applyFont="1" applyFill="1" applyBorder="1" applyAlignment="1">
      <alignment horizontal="center" vertical="center" wrapText="1"/>
    </xf>
    <xf numFmtId="0" fontId="42" fillId="9" borderId="1" xfId="1" applyFont="1" applyFill="1" applyBorder="1" applyAlignment="1">
      <alignment horizontal="center" vertical="center" wrapText="1"/>
    </xf>
  </cellXfs>
  <cellStyles count="13">
    <cellStyle name="Hyperlink 3" xfId="9" xr:uid="{DE27B18E-279A-4812-A6EC-ECE440F4F363}"/>
    <cellStyle name="Normal" xfId="0" builtinId="0"/>
    <cellStyle name="Normal 10" xfId="5" xr:uid="{4D0E7F71-5BCD-4413-B2D9-56DB05284C57}"/>
    <cellStyle name="Normal 2" xfId="3" xr:uid="{B5609C81-4D8C-4B98-ADF3-7D13AA1E31B5}"/>
    <cellStyle name="Normal 2 2" xfId="6" xr:uid="{C065A82A-8297-4874-A923-7694B32F6D32}"/>
    <cellStyle name="Normal 21" xfId="4" xr:uid="{72DE9DC8-65E3-4BD3-BEEB-CEEDF7709F6A}"/>
    <cellStyle name="Normal 3" xfId="7" xr:uid="{7F65FEF8-4980-4201-ADD5-65840D0586DC}"/>
    <cellStyle name="Normal 5" xfId="11" xr:uid="{A8A10C1E-0F0D-4BDF-A66C-DE5DCEAF1384}"/>
    <cellStyle name="Percent" xfId="12" builtinId="5"/>
    <cellStyle name="Percent 2" xfId="2" xr:uid="{9DC64404-9156-4E49-82DA-A5C7572180FD}"/>
    <cellStyle name="常规 2" xfId="1" xr:uid="{00000000-0005-0000-0000-000002000000}"/>
    <cellStyle name="常规 3" xfId="10" xr:uid="{595E8448-A71A-4F50-90E0-0B6DD5D9949A}"/>
    <cellStyle name="常规 7" xfId="8" xr:uid="{9A380AB5-4E09-4947-994C-45FF642211AB}"/>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3200400</xdr:colOff>
      <xdr:row>0</xdr:row>
      <xdr:rowOff>0</xdr:rowOff>
    </xdr:from>
    <xdr:to>
      <xdr:col>2</xdr:col>
      <xdr:colOff>4473575</xdr:colOff>
      <xdr:row>1</xdr:row>
      <xdr:rowOff>199630</xdr:rowOff>
    </xdr:to>
    <xdr:pic>
      <xdr:nvPicPr>
        <xdr:cNvPr id="6" name="Picture 5" descr="A black background with red and blue text&#10;&#10;AI-generated content may be incorrect.">
          <a:extLst>
            <a:ext uri="{FF2B5EF4-FFF2-40B4-BE49-F238E27FC236}">
              <a16:creationId xmlns:a16="http://schemas.microsoft.com/office/drawing/2014/main" id="{4D20084E-A479-46B4-BF59-BA28EB8014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9650" y="0"/>
          <a:ext cx="1435100" cy="9616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71</xdr:row>
      <xdr:rowOff>123825</xdr:rowOff>
    </xdr:from>
    <xdr:ext cx="7867650" cy="781050"/>
    <xdr:pic>
      <xdr:nvPicPr>
        <xdr:cNvPr id="2" name="image1.png">
          <a:extLst>
            <a:ext uri="{FF2B5EF4-FFF2-40B4-BE49-F238E27FC236}">
              <a16:creationId xmlns:a16="http://schemas.microsoft.com/office/drawing/2014/main" id="{B998DBE4-F064-4C77-960C-FF1E315211C2}"/>
            </a:ext>
          </a:extLst>
        </xdr:cNvPr>
        <xdr:cNvPicPr preferRelativeResize="0"/>
      </xdr:nvPicPr>
      <xdr:blipFill>
        <a:blip xmlns:r="http://schemas.openxmlformats.org/officeDocument/2006/relationships" r:embed="rId1" cstate="print"/>
        <a:stretch>
          <a:fillRect/>
        </a:stretch>
      </xdr:blipFill>
      <xdr:spPr>
        <a:xfrm>
          <a:off x="28575" y="16373475"/>
          <a:ext cx="7867650" cy="781050"/>
        </a:xfrm>
        <a:prstGeom prst="rect">
          <a:avLst/>
        </a:prstGeom>
        <a:noFill/>
      </xdr:spPr>
    </xdr:pic>
    <xdr:clientData fLocksWithSheet="0"/>
  </xdr:oneCellAnchor>
  <xdr:oneCellAnchor>
    <xdr:from>
      <xdr:col>0</xdr:col>
      <xdr:colOff>28575</xdr:colOff>
      <xdr:row>70</xdr:row>
      <xdr:rowOff>123825</xdr:rowOff>
    </xdr:from>
    <xdr:ext cx="7867650" cy="781050"/>
    <xdr:pic>
      <xdr:nvPicPr>
        <xdr:cNvPr id="4" name="image1.png">
          <a:extLst>
            <a:ext uri="{FF2B5EF4-FFF2-40B4-BE49-F238E27FC236}">
              <a16:creationId xmlns:a16="http://schemas.microsoft.com/office/drawing/2014/main" id="{67D4083D-AC68-4E13-AC13-7625CFB0B228}"/>
            </a:ext>
          </a:extLst>
        </xdr:cNvPr>
        <xdr:cNvPicPr preferRelativeResize="0"/>
      </xdr:nvPicPr>
      <xdr:blipFill>
        <a:blip xmlns:r="http://schemas.openxmlformats.org/officeDocument/2006/relationships" r:embed="rId1" cstate="print"/>
        <a:stretch>
          <a:fillRect/>
        </a:stretch>
      </xdr:blipFill>
      <xdr:spPr>
        <a:xfrm>
          <a:off x="25400" y="17846675"/>
          <a:ext cx="7867650" cy="781050"/>
        </a:xfrm>
        <a:prstGeom prst="rect">
          <a:avLst/>
        </a:prstGeom>
        <a:noFill/>
      </xdr:spPr>
    </xdr:pic>
    <xdr:clientData fLocksWithSheet="0"/>
  </xdr:oneCellAnchor>
  <xdr:oneCellAnchor>
    <xdr:from>
      <xdr:col>0</xdr:col>
      <xdr:colOff>28575</xdr:colOff>
      <xdr:row>71</xdr:row>
      <xdr:rowOff>123825</xdr:rowOff>
    </xdr:from>
    <xdr:ext cx="7867650" cy="781050"/>
    <xdr:pic>
      <xdr:nvPicPr>
        <xdr:cNvPr id="5" name="image1.png">
          <a:extLst>
            <a:ext uri="{FF2B5EF4-FFF2-40B4-BE49-F238E27FC236}">
              <a16:creationId xmlns:a16="http://schemas.microsoft.com/office/drawing/2014/main" id="{FE92D4C7-BAE6-4559-9FE8-98D2607FDBD1}"/>
            </a:ext>
          </a:extLst>
        </xdr:cNvPr>
        <xdr:cNvPicPr preferRelativeResize="0"/>
      </xdr:nvPicPr>
      <xdr:blipFill>
        <a:blip xmlns:r="http://schemas.openxmlformats.org/officeDocument/2006/relationships" r:embed="rId1" cstate="print"/>
        <a:stretch>
          <a:fillRect/>
        </a:stretch>
      </xdr:blipFill>
      <xdr:spPr>
        <a:xfrm>
          <a:off x="25400" y="18046700"/>
          <a:ext cx="7867650" cy="781050"/>
        </a:xfrm>
        <a:prstGeom prst="rect">
          <a:avLst/>
        </a:prstGeom>
        <a:noFill/>
      </xdr:spPr>
    </xdr:pic>
    <xdr:clientData fLocksWithSheet="0"/>
  </xdr:oneCellAnchor>
  <xdr:oneCellAnchor>
    <xdr:from>
      <xdr:col>0</xdr:col>
      <xdr:colOff>28575</xdr:colOff>
      <xdr:row>71</xdr:row>
      <xdr:rowOff>123825</xdr:rowOff>
    </xdr:from>
    <xdr:ext cx="7867650" cy="781050"/>
    <xdr:pic>
      <xdr:nvPicPr>
        <xdr:cNvPr id="6" name="image1.png">
          <a:extLst>
            <a:ext uri="{FF2B5EF4-FFF2-40B4-BE49-F238E27FC236}">
              <a16:creationId xmlns:a16="http://schemas.microsoft.com/office/drawing/2014/main" id="{D949EE46-9CBF-4132-8CB7-9EE18EA423C5}"/>
            </a:ext>
          </a:extLst>
        </xdr:cNvPr>
        <xdr:cNvPicPr preferRelativeResize="0"/>
      </xdr:nvPicPr>
      <xdr:blipFill>
        <a:blip xmlns:r="http://schemas.openxmlformats.org/officeDocument/2006/relationships" r:embed="rId1" cstate="print"/>
        <a:stretch>
          <a:fillRect/>
        </a:stretch>
      </xdr:blipFill>
      <xdr:spPr>
        <a:xfrm>
          <a:off x="25400" y="18046700"/>
          <a:ext cx="7867650" cy="781050"/>
        </a:xfrm>
        <a:prstGeom prst="rect">
          <a:avLst/>
        </a:prstGeom>
        <a:noFill/>
      </xdr:spPr>
    </xdr:pic>
    <xdr:clientData fLocksWithSheet="0"/>
  </xdr:oneCellAnchor>
  <xdr:twoCellAnchor editAs="oneCell">
    <xdr:from>
      <xdr:col>0</xdr:col>
      <xdr:colOff>5857875</xdr:colOff>
      <xdr:row>0</xdr:row>
      <xdr:rowOff>0</xdr:rowOff>
    </xdr:from>
    <xdr:to>
      <xdr:col>0</xdr:col>
      <xdr:colOff>7254875</xdr:colOff>
      <xdr:row>4</xdr:row>
      <xdr:rowOff>161530</xdr:rowOff>
    </xdr:to>
    <xdr:pic>
      <xdr:nvPicPr>
        <xdr:cNvPr id="9" name="Picture 8" descr="A black background with red and blue text&#10;&#10;AI-generated content may be incorrect.">
          <a:extLst>
            <a:ext uri="{FF2B5EF4-FFF2-40B4-BE49-F238E27FC236}">
              <a16:creationId xmlns:a16="http://schemas.microsoft.com/office/drawing/2014/main" id="{BE7176C5-D597-449E-91AC-55C668873F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57875" y="0"/>
          <a:ext cx="1397000" cy="9616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tmforum.org/IPRPolicy/11525/home.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5AAF6-FF89-4829-837A-1A774A17BD94}">
  <sheetPr>
    <tabColor rgb="FF999999"/>
  </sheetPr>
  <dimension ref="B1:C29"/>
  <sheetViews>
    <sheetView tabSelected="1" workbookViewId="0">
      <selection activeCell="C24" sqref="C24"/>
    </sheetView>
  </sheetViews>
  <sheetFormatPr defaultColWidth="8.81640625" defaultRowHeight="14.5"/>
  <cols>
    <col min="1" max="1" width="3.453125" style="55" customWidth="1"/>
    <col min="2" max="2" width="74.36328125" style="55" customWidth="1"/>
    <col min="3" max="3" width="67.1796875" style="55" customWidth="1"/>
    <col min="4" max="16384" width="8.81640625" style="55"/>
  </cols>
  <sheetData>
    <row r="1" spans="2:3" ht="60" customHeight="1">
      <c r="B1" s="54"/>
    </row>
    <row r="2" spans="2:3" ht="37">
      <c r="B2" s="56" t="s">
        <v>38</v>
      </c>
    </row>
    <row r="3" spans="2:3" ht="21.75" customHeight="1">
      <c r="B3" s="57"/>
    </row>
    <row r="4" spans="2:3" ht="42.5">
      <c r="B4" s="141" t="s">
        <v>46</v>
      </c>
      <c r="C4" s="141"/>
    </row>
    <row r="5" spans="2:3" ht="20.5" customHeight="1">
      <c r="B5" s="58"/>
    </row>
    <row r="6" spans="2:3" ht="23.5">
      <c r="B6" s="59" t="s">
        <v>43</v>
      </c>
    </row>
    <row r="7" spans="2:3" ht="12" customHeight="1">
      <c r="B7" s="60"/>
    </row>
    <row r="8" spans="2:3" ht="12.25" customHeight="1">
      <c r="B8" s="61"/>
    </row>
    <row r="9" spans="2:3" ht="12" customHeight="1">
      <c r="B9" s="61"/>
    </row>
    <row r="10" spans="2:3" ht="26.25" customHeight="1"/>
    <row r="11" spans="2:3" ht="6.75" customHeight="1">
      <c r="B11" s="61"/>
    </row>
    <row r="12" spans="2:3" ht="18.75" customHeight="1">
      <c r="B12" s="62"/>
    </row>
    <row r="13" spans="2:3" ht="12.25" customHeight="1">
      <c r="B13" s="61"/>
    </row>
    <row r="22" spans="2:3" ht="23.5">
      <c r="B22" s="61" t="s">
        <v>149</v>
      </c>
    </row>
    <row r="23" spans="2:3" ht="15" thickBot="1"/>
    <row r="24" spans="2:3" ht="21" customHeight="1" thickBot="1">
      <c r="B24" s="63" t="s">
        <v>150</v>
      </c>
      <c r="C24" s="64" t="s">
        <v>178</v>
      </c>
    </row>
    <row r="25" spans="2:3" ht="21.75" customHeight="1" thickBot="1">
      <c r="B25" s="63" t="s">
        <v>40</v>
      </c>
      <c r="C25" s="109" t="s">
        <v>151</v>
      </c>
    </row>
    <row r="26" spans="2:3" ht="20.25" customHeight="1" thickBot="1">
      <c r="B26" s="65" t="s">
        <v>164</v>
      </c>
      <c r="C26" s="66" t="s">
        <v>36</v>
      </c>
    </row>
    <row r="27" spans="2:3" ht="12.25" customHeight="1">
      <c r="B27" s="61"/>
    </row>
    <row r="28" spans="2:3">
      <c r="B28" s="67"/>
    </row>
    <row r="29" spans="2:3" s="68" customFormat="1" ht="16">
      <c r="B29" s="69" t="s">
        <v>165</v>
      </c>
    </row>
  </sheetData>
  <mergeCells count="1">
    <mergeCell ref="B4:C4"/>
  </mergeCells>
  <phoneticPr fontId="1" type="noConversion"/>
  <pageMargins left="0.2" right="0.45" top="0.75" bottom="0.5" header="0.3" footer="0.3"/>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0E9C-CD7C-4FBF-90F4-35E94D55879D}">
  <sheetPr>
    <tabColor rgb="FF999999"/>
  </sheetPr>
  <dimension ref="A6:A28"/>
  <sheetViews>
    <sheetView showWhiteSpace="0" zoomScaleNormal="100" workbookViewId="0">
      <selection activeCell="A9" sqref="A9"/>
    </sheetView>
  </sheetViews>
  <sheetFormatPr defaultColWidth="9.1796875" defaultRowHeight="16"/>
  <cols>
    <col min="1" max="1" width="109.6328125" style="70" customWidth="1"/>
    <col min="2" max="16384" width="9.1796875" style="71"/>
  </cols>
  <sheetData>
    <row r="6" spans="1:1" s="73" customFormat="1" ht="26">
      <c r="A6" s="72" t="s">
        <v>37</v>
      </c>
    </row>
    <row r="7" spans="1:1">
      <c r="A7" s="74" t="s">
        <v>166</v>
      </c>
    </row>
    <row r="8" spans="1:1">
      <c r="A8" s="75"/>
    </row>
    <row r="9" spans="1:1" ht="148.5" customHeight="1">
      <c r="A9" s="76" t="s">
        <v>74</v>
      </c>
    </row>
    <row r="10" spans="1:1" ht="41.25" customHeight="1">
      <c r="A10" s="74" t="s">
        <v>75</v>
      </c>
    </row>
    <row r="11" spans="1:1">
      <c r="A11" s="74"/>
    </row>
    <row r="12" spans="1:1" ht="77.5" customHeight="1">
      <c r="A12" s="74" t="s">
        <v>76</v>
      </c>
    </row>
    <row r="13" spans="1:1">
      <c r="A13" s="74"/>
    </row>
    <row r="14" spans="1:1">
      <c r="A14" s="75" t="s">
        <v>39</v>
      </c>
    </row>
    <row r="15" spans="1:1">
      <c r="A15" s="142" t="s">
        <v>77</v>
      </c>
    </row>
    <row r="16" spans="1:1">
      <c r="A16" s="143"/>
    </row>
    <row r="17" spans="1:1">
      <c r="A17" s="143"/>
    </row>
    <row r="18" spans="1:1">
      <c r="A18" s="143"/>
    </row>
    <row r="19" spans="1:1">
      <c r="A19" s="143"/>
    </row>
    <row r="20" spans="1:1">
      <c r="A20" s="143"/>
    </row>
    <row r="23" spans="1:1">
      <c r="A23" s="70" t="s">
        <v>165</v>
      </c>
    </row>
    <row r="28" spans="1:1">
      <c r="A28" s="71"/>
    </row>
  </sheetData>
  <mergeCells count="1">
    <mergeCell ref="A15:A20"/>
  </mergeCells>
  <phoneticPr fontId="1" type="noConversion"/>
  <hyperlinks>
    <hyperlink ref="A9" r:id="rId1" display="http://www.tmforum.org/IPRPolicy/11525/home.html" xr:uid="{ABC5F0E2-9FCF-4FA6-9E75-291BC796774C}"/>
  </hyperlinks>
  <pageMargins left="0.25" right="0.25" top="0.75" bottom="0.75" header="0.3" footer="0.3"/>
  <pageSetup orientation="portrait" horizontalDpi="4294967293" verticalDpi="4294967293"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CAED-0DC7-44AB-9DA1-63A7D72AC64E}">
  <sheetPr>
    <pageSetUpPr fitToPage="1"/>
  </sheetPr>
  <dimension ref="B1:E21"/>
  <sheetViews>
    <sheetView zoomScaleNormal="100" workbookViewId="0">
      <selection activeCell="D33" sqref="D33"/>
    </sheetView>
  </sheetViews>
  <sheetFormatPr defaultColWidth="8.453125" defaultRowHeight="13"/>
  <cols>
    <col min="1" max="1" width="3.81640625" style="6" customWidth="1"/>
    <col min="2" max="2" width="9.453125" style="6" customWidth="1"/>
    <col min="3" max="3" width="14.36328125" style="6" customWidth="1"/>
    <col min="4" max="4" width="50.81640625" style="6" customWidth="1"/>
    <col min="5" max="5" width="126.1796875" style="6" customWidth="1"/>
    <col min="6" max="16384" width="8.453125" style="6"/>
  </cols>
  <sheetData>
    <row r="1" spans="2:5" ht="13.5" thickBot="1"/>
    <row r="2" spans="2:5" s="7" customFormat="1" ht="16" thickBot="1">
      <c r="B2" s="145" t="s">
        <v>23</v>
      </c>
      <c r="C2" s="146"/>
      <c r="D2" s="146"/>
      <c r="E2" s="147"/>
    </row>
    <row r="3" spans="2:5" s="7" customFormat="1" ht="14.5">
      <c r="B3" s="148" t="s">
        <v>47</v>
      </c>
      <c r="C3" s="149"/>
      <c r="D3" s="149"/>
      <c r="E3" s="150"/>
    </row>
    <row r="4" spans="2:5" s="7" customFormat="1" ht="14.5">
      <c r="B4" s="151" t="s">
        <v>41</v>
      </c>
      <c r="C4" s="152"/>
      <c r="D4" s="152"/>
      <c r="E4" s="153"/>
    </row>
    <row r="5" spans="2:5" s="7" customFormat="1" ht="15" customHeight="1">
      <c r="B5" s="151" t="s">
        <v>48</v>
      </c>
      <c r="C5" s="152"/>
      <c r="D5" s="152"/>
      <c r="E5" s="153"/>
    </row>
    <row r="6" spans="2:5" s="7" customFormat="1" ht="15" customHeight="1">
      <c r="B6" s="151" t="s">
        <v>42</v>
      </c>
      <c r="C6" s="152"/>
      <c r="D6" s="152"/>
      <c r="E6" s="153"/>
    </row>
    <row r="7" spans="2:5" s="7" customFormat="1" ht="15" customHeight="1">
      <c r="B7" s="151" t="s">
        <v>18</v>
      </c>
      <c r="C7" s="152"/>
      <c r="D7" s="152"/>
      <c r="E7" s="153"/>
    </row>
    <row r="8" spans="2:5" s="7" customFormat="1" ht="15" thickBot="1">
      <c r="B8" s="160" t="s">
        <v>22</v>
      </c>
      <c r="C8" s="161"/>
      <c r="D8" s="161"/>
      <c r="E8" s="162"/>
    </row>
    <row r="9" spans="2:5" ht="13.5" thickBot="1"/>
    <row r="10" spans="2:5" ht="16" thickBot="1">
      <c r="B10" s="5"/>
      <c r="C10" s="154" t="s">
        <v>49</v>
      </c>
      <c r="D10" s="155"/>
      <c r="E10" s="156"/>
    </row>
    <row r="11" spans="2:5" ht="39">
      <c r="B11" s="15" t="s">
        <v>19</v>
      </c>
      <c r="C11" s="16" t="s">
        <v>16</v>
      </c>
      <c r="D11" s="16" t="s">
        <v>20</v>
      </c>
      <c r="E11" s="23" t="s">
        <v>21</v>
      </c>
    </row>
    <row r="12" spans="2:5">
      <c r="B12" s="17" t="s">
        <v>9</v>
      </c>
      <c r="C12" s="18"/>
      <c r="D12" s="8"/>
      <c r="E12" s="9"/>
    </row>
    <row r="13" spans="2:5">
      <c r="B13" s="157" t="s">
        <v>10</v>
      </c>
      <c r="C13" s="18"/>
      <c r="D13" s="10"/>
      <c r="E13" s="9"/>
    </row>
    <row r="14" spans="2:5">
      <c r="B14" s="158"/>
      <c r="C14" s="18"/>
      <c r="D14" s="11"/>
      <c r="E14" s="12"/>
    </row>
    <row r="15" spans="2:5">
      <c r="B15" s="159" t="s">
        <v>11</v>
      </c>
      <c r="C15" s="18"/>
      <c r="D15" s="11"/>
      <c r="E15" s="9"/>
    </row>
    <row r="16" spans="2:5">
      <c r="B16" s="159"/>
      <c r="C16" s="18"/>
      <c r="D16" s="11"/>
      <c r="E16" s="12"/>
    </row>
    <row r="17" spans="2:5">
      <c r="B17" s="159"/>
      <c r="C17" s="18"/>
      <c r="D17" s="11"/>
      <c r="E17" s="12"/>
    </row>
    <row r="18" spans="2:5">
      <c r="B18" s="19" t="s">
        <v>12</v>
      </c>
      <c r="C18" s="20"/>
      <c r="D18" s="11"/>
      <c r="E18" s="12"/>
    </row>
    <row r="19" spans="2:5" ht="13.5" thickBot="1">
      <c r="B19" s="21" t="s">
        <v>13</v>
      </c>
      <c r="C19" s="22"/>
      <c r="D19" s="13"/>
      <c r="E19" s="14"/>
    </row>
    <row r="21" spans="2:5">
      <c r="D21" s="144"/>
      <c r="E21" s="144"/>
    </row>
  </sheetData>
  <mergeCells count="11">
    <mergeCell ref="D21:E21"/>
    <mergeCell ref="B2:E2"/>
    <mergeCell ref="B3:E3"/>
    <mergeCell ref="B4:E4"/>
    <mergeCell ref="B5:E5"/>
    <mergeCell ref="B6:E6"/>
    <mergeCell ref="B7:E7"/>
    <mergeCell ref="C10:E10"/>
    <mergeCell ref="B13:B14"/>
    <mergeCell ref="B15:B17"/>
    <mergeCell ref="B8:E8"/>
  </mergeCells>
  <phoneticPr fontId="1" type="noConversion"/>
  <pageMargins left="0.7" right="0.7" top="0.75" bottom="0.75" header="0.3" footer="0.3"/>
  <pageSetup scale="61"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A1FA-C1B0-BD46-8019-55B3A681E3D3}">
  <dimension ref="A1:R16"/>
  <sheetViews>
    <sheetView topLeftCell="A10" zoomScale="110" zoomScaleNormal="110" workbookViewId="0">
      <selection activeCell="A14" sqref="A14:XFD14"/>
    </sheetView>
  </sheetViews>
  <sheetFormatPr defaultColWidth="10.81640625" defaultRowHeight="14.5"/>
  <cols>
    <col min="3" max="3" width="38.36328125" customWidth="1"/>
    <col min="4" max="4" width="31.1796875" customWidth="1"/>
    <col min="5" max="5" width="75.36328125" customWidth="1"/>
    <col min="6" max="6" width="42.6328125" customWidth="1"/>
    <col min="7" max="7" width="41.6328125" customWidth="1"/>
    <col min="8" max="8" width="49.6328125" customWidth="1"/>
    <col min="9" max="9" width="34.1796875" customWidth="1"/>
    <col min="14" max="14" width="27.36328125" customWidth="1"/>
    <col min="15" max="15" width="25.6328125" customWidth="1"/>
    <col min="16" max="16" width="33.6328125" customWidth="1"/>
    <col min="17" max="17" width="32.1796875" customWidth="1"/>
    <col min="18" max="18" width="30.36328125" customWidth="1"/>
  </cols>
  <sheetData>
    <row r="1" spans="1:18" ht="42" customHeight="1">
      <c r="A1" s="124" t="s">
        <v>0</v>
      </c>
      <c r="B1" s="124" t="s">
        <v>1</v>
      </c>
      <c r="C1" s="124" t="s">
        <v>2</v>
      </c>
      <c r="D1" s="124" t="s">
        <v>3</v>
      </c>
      <c r="E1" s="124" t="s">
        <v>4</v>
      </c>
      <c r="F1" s="127" t="s">
        <v>5</v>
      </c>
      <c r="G1" s="127" t="s">
        <v>6</v>
      </c>
      <c r="H1" s="127" t="s">
        <v>7</v>
      </c>
      <c r="I1" s="127" t="s">
        <v>8</v>
      </c>
      <c r="J1" s="127" t="s">
        <v>5</v>
      </c>
      <c r="K1" s="127" t="s">
        <v>6</v>
      </c>
      <c r="L1" s="127" t="s">
        <v>7</v>
      </c>
      <c r="M1" s="127" t="s">
        <v>8</v>
      </c>
      <c r="N1" s="121" t="s">
        <v>50</v>
      </c>
      <c r="O1" s="122"/>
      <c r="P1" s="123"/>
      <c r="Q1" s="24" t="s">
        <v>51</v>
      </c>
      <c r="R1" s="24" t="s">
        <v>17</v>
      </c>
    </row>
    <row r="2" spans="1:18" ht="26">
      <c r="A2" s="125"/>
      <c r="B2" s="125"/>
      <c r="C2" s="125"/>
      <c r="D2" s="125"/>
      <c r="E2" s="125"/>
      <c r="F2" s="128"/>
      <c r="G2" s="128"/>
      <c r="H2" s="128"/>
      <c r="I2" s="128"/>
      <c r="J2" s="128"/>
      <c r="K2" s="128"/>
      <c r="L2" s="128"/>
      <c r="M2" s="128"/>
      <c r="N2" s="82" t="s">
        <v>119</v>
      </c>
      <c r="O2" s="82" t="s">
        <v>120</v>
      </c>
      <c r="P2" s="82" t="s">
        <v>98</v>
      </c>
      <c r="Q2" s="24"/>
      <c r="R2" s="24"/>
    </row>
    <row r="3" spans="1:18" ht="46" customHeight="1">
      <c r="A3" s="126"/>
      <c r="B3" s="126"/>
      <c r="C3" s="126"/>
      <c r="D3" s="126"/>
      <c r="E3" s="126"/>
      <c r="F3" s="129"/>
      <c r="G3" s="129"/>
      <c r="H3" s="129"/>
      <c r="I3" s="129"/>
      <c r="J3" s="129"/>
      <c r="K3" s="129"/>
      <c r="L3" s="129"/>
      <c r="M3" s="129"/>
      <c r="N3" s="80" t="s">
        <v>79</v>
      </c>
      <c r="O3" s="80" t="s">
        <v>80</v>
      </c>
      <c r="P3" s="80" t="s">
        <v>81</v>
      </c>
      <c r="Q3" s="24"/>
      <c r="R3" s="24"/>
    </row>
    <row r="4" spans="1:18" ht="167.25" customHeight="1">
      <c r="A4" s="117" t="s">
        <v>71</v>
      </c>
      <c r="B4" s="26" t="s">
        <v>52</v>
      </c>
      <c r="C4" s="27" t="s">
        <v>53</v>
      </c>
      <c r="D4" s="28">
        <v>0.1</v>
      </c>
      <c r="E4" s="78" t="s">
        <v>102</v>
      </c>
      <c r="F4" s="78" t="s">
        <v>92</v>
      </c>
      <c r="G4" s="78" t="s">
        <v>93</v>
      </c>
      <c r="H4" s="78" t="s">
        <v>103</v>
      </c>
      <c r="I4" s="78" t="s">
        <v>91</v>
      </c>
      <c r="J4" s="34">
        <v>4</v>
      </c>
      <c r="K4" s="35">
        <v>3</v>
      </c>
      <c r="L4" s="36">
        <v>2</v>
      </c>
      <c r="M4" s="37">
        <v>1</v>
      </c>
      <c r="N4" s="83" t="s">
        <v>15</v>
      </c>
      <c r="O4" s="83" t="s">
        <v>15</v>
      </c>
      <c r="P4" s="83" t="s">
        <v>15</v>
      </c>
      <c r="Q4" s="44"/>
      <c r="R4" s="45"/>
    </row>
    <row r="5" spans="1:18" ht="146.5" customHeight="1">
      <c r="A5" s="117"/>
      <c r="B5" s="77" t="s">
        <v>10</v>
      </c>
      <c r="C5" s="29" t="s">
        <v>161</v>
      </c>
      <c r="D5" s="79">
        <v>0.15</v>
      </c>
      <c r="E5" s="46" t="s">
        <v>134</v>
      </c>
      <c r="F5" s="46" t="s">
        <v>135</v>
      </c>
      <c r="G5" s="46" t="s">
        <v>136</v>
      </c>
      <c r="H5" s="78" t="s">
        <v>128</v>
      </c>
      <c r="I5" s="46" t="s">
        <v>84</v>
      </c>
      <c r="J5" s="34">
        <v>3</v>
      </c>
      <c r="K5" s="35">
        <v>2</v>
      </c>
      <c r="L5" s="35">
        <v>1</v>
      </c>
      <c r="M5" s="37">
        <v>0</v>
      </c>
      <c r="N5" s="43" t="s">
        <v>15</v>
      </c>
      <c r="O5" s="43" t="s">
        <v>15</v>
      </c>
      <c r="P5" s="43" t="s">
        <v>152</v>
      </c>
      <c r="Q5" s="45"/>
      <c r="R5" s="45"/>
    </row>
    <row r="6" spans="1:18" ht="146.5" customHeight="1">
      <c r="A6" s="117"/>
      <c r="B6" s="118" t="s">
        <v>55</v>
      </c>
      <c r="C6" s="27" t="s">
        <v>137</v>
      </c>
      <c r="D6" s="79">
        <v>0.15</v>
      </c>
      <c r="E6" s="46" t="s">
        <v>138</v>
      </c>
      <c r="F6" s="78" t="s">
        <v>139</v>
      </c>
      <c r="G6" s="78" t="s">
        <v>140</v>
      </c>
      <c r="H6" s="78" t="s">
        <v>99</v>
      </c>
      <c r="I6" s="78" t="s">
        <v>100</v>
      </c>
      <c r="J6" s="92">
        <v>4</v>
      </c>
      <c r="K6" s="36">
        <v>3</v>
      </c>
      <c r="L6" s="36">
        <v>2</v>
      </c>
      <c r="M6" s="108">
        <v>1</v>
      </c>
      <c r="N6" s="43" t="s">
        <v>15</v>
      </c>
      <c r="O6" s="43" t="s">
        <v>15</v>
      </c>
      <c r="P6" s="43" t="s">
        <v>15</v>
      </c>
      <c r="Q6" s="45"/>
      <c r="R6" s="45"/>
    </row>
    <row r="7" spans="1:18" ht="111.75" customHeight="1">
      <c r="A7" s="117"/>
      <c r="B7" s="119"/>
      <c r="C7" s="80" t="s">
        <v>78</v>
      </c>
      <c r="D7" s="81">
        <v>0.15</v>
      </c>
      <c r="E7" s="78" t="s">
        <v>129</v>
      </c>
      <c r="F7" s="78" t="s">
        <v>141</v>
      </c>
      <c r="G7" s="78" t="s">
        <v>142</v>
      </c>
      <c r="H7" s="78" t="s">
        <v>86</v>
      </c>
      <c r="I7" s="78" t="s">
        <v>143</v>
      </c>
      <c r="J7" s="34">
        <v>4</v>
      </c>
      <c r="K7" s="35">
        <v>3</v>
      </c>
      <c r="L7" s="35">
        <v>2</v>
      </c>
      <c r="M7" s="37">
        <v>1</v>
      </c>
      <c r="N7" s="43" t="s">
        <v>15</v>
      </c>
      <c r="O7" s="43" t="s">
        <v>15</v>
      </c>
      <c r="P7" s="43" t="s">
        <v>15</v>
      </c>
      <c r="Q7" s="45"/>
      <c r="R7" s="45"/>
    </row>
    <row r="8" spans="1:18" ht="153" customHeight="1">
      <c r="A8" s="117"/>
      <c r="B8" s="120"/>
      <c r="C8" s="29" t="s">
        <v>148</v>
      </c>
      <c r="D8" s="79">
        <v>0.15</v>
      </c>
      <c r="E8" s="78" t="s">
        <v>104</v>
      </c>
      <c r="F8" s="46" t="s">
        <v>56</v>
      </c>
      <c r="G8" s="46" t="s">
        <v>83</v>
      </c>
      <c r="H8" s="78" t="s">
        <v>144</v>
      </c>
      <c r="I8" s="46" t="s">
        <v>101</v>
      </c>
      <c r="J8" s="34">
        <v>4</v>
      </c>
      <c r="K8" s="35">
        <v>3</v>
      </c>
      <c r="L8" s="36">
        <v>2</v>
      </c>
      <c r="M8" s="37">
        <v>1</v>
      </c>
      <c r="N8" s="43" t="s">
        <v>15</v>
      </c>
      <c r="O8" s="43" t="s">
        <v>15</v>
      </c>
      <c r="P8" s="43" t="s">
        <v>15</v>
      </c>
      <c r="Q8" s="45"/>
      <c r="R8" s="45"/>
    </row>
    <row r="9" spans="1:18" ht="62.5">
      <c r="A9" s="117"/>
      <c r="B9" s="31" t="s">
        <v>12</v>
      </c>
      <c r="C9" s="29" t="s">
        <v>162</v>
      </c>
      <c r="D9" s="79">
        <v>0.1</v>
      </c>
      <c r="E9" s="47" t="s">
        <v>82</v>
      </c>
      <c r="F9" s="46" t="s">
        <v>58</v>
      </c>
      <c r="G9" s="46" t="s">
        <v>95</v>
      </c>
      <c r="H9" s="46" t="s">
        <v>59</v>
      </c>
      <c r="I9" s="46" t="s">
        <v>60</v>
      </c>
      <c r="J9" s="34">
        <v>4</v>
      </c>
      <c r="K9" s="35">
        <v>3</v>
      </c>
      <c r="L9" s="36">
        <v>2</v>
      </c>
      <c r="M9" s="37">
        <v>1</v>
      </c>
      <c r="N9" s="43" t="s">
        <v>15</v>
      </c>
      <c r="O9" s="43" t="s">
        <v>15</v>
      </c>
      <c r="P9" s="43" t="s">
        <v>15</v>
      </c>
      <c r="Q9" s="45"/>
      <c r="R9" s="45"/>
    </row>
    <row r="10" spans="1:18" ht="63" thickBot="1">
      <c r="A10" s="117"/>
      <c r="B10" s="25" t="s">
        <v>13</v>
      </c>
      <c r="C10" s="27" t="s">
        <v>61</v>
      </c>
      <c r="D10" s="30">
        <v>0.2</v>
      </c>
      <c r="E10" s="47" t="s">
        <v>90</v>
      </c>
      <c r="F10" s="47" t="s">
        <v>89</v>
      </c>
      <c r="G10" s="47" t="s">
        <v>87</v>
      </c>
      <c r="H10" s="46" t="s">
        <v>88</v>
      </c>
      <c r="I10" s="46"/>
      <c r="J10" s="40">
        <v>2</v>
      </c>
      <c r="K10" s="42">
        <v>1</v>
      </c>
      <c r="L10" s="41">
        <v>0</v>
      </c>
      <c r="M10" s="37">
        <v>0</v>
      </c>
      <c r="N10" s="43" t="s">
        <v>15</v>
      </c>
      <c r="O10" s="43" t="s">
        <v>15</v>
      </c>
      <c r="P10" s="43" t="s">
        <v>15</v>
      </c>
      <c r="Q10" s="45"/>
      <c r="R10" s="45"/>
    </row>
    <row r="12" spans="1:18" s="1" customFormat="1">
      <c r="A12" s="3" t="s">
        <v>14</v>
      </c>
      <c r="B12" s="2"/>
      <c r="C12" s="2"/>
      <c r="D12" s="2"/>
      <c r="E12" s="2"/>
      <c r="F12" s="2"/>
      <c r="G12" s="2"/>
      <c r="H12" s="2"/>
      <c r="I12" s="2"/>
      <c r="J12" s="4"/>
      <c r="K12" s="2"/>
    </row>
    <row r="14" spans="1:18">
      <c r="A14" s="130" t="s">
        <v>167</v>
      </c>
      <c r="B14" s="131"/>
      <c r="C14" s="131"/>
      <c r="D14" s="110" t="s">
        <v>153</v>
      </c>
      <c r="E14" s="110" t="s">
        <v>154</v>
      </c>
      <c r="F14" s="111" t="s">
        <v>62</v>
      </c>
      <c r="G14" s="111" t="s">
        <v>63</v>
      </c>
      <c r="H14" s="111" t="s">
        <v>64</v>
      </c>
      <c r="I14" s="111" t="s">
        <v>155</v>
      </c>
      <c r="J14" s="132" t="s">
        <v>156</v>
      </c>
      <c r="K14" s="133"/>
      <c r="L14" s="111" t="s">
        <v>157</v>
      </c>
    </row>
    <row r="15" spans="1:18" ht="50">
      <c r="A15" s="134" t="s">
        <v>168</v>
      </c>
      <c r="B15" s="135"/>
      <c r="C15" s="136"/>
      <c r="D15" s="112">
        <v>0.5</v>
      </c>
      <c r="E15" s="113" t="s">
        <v>169</v>
      </c>
      <c r="F15" s="114" t="s">
        <v>171</v>
      </c>
      <c r="G15" s="115" t="s">
        <v>172</v>
      </c>
      <c r="H15" s="115" t="s">
        <v>174</v>
      </c>
      <c r="I15" s="115" t="s">
        <v>170</v>
      </c>
      <c r="J15" s="137" t="s">
        <v>176</v>
      </c>
      <c r="K15" s="138"/>
      <c r="L15" s="116" t="s">
        <v>15</v>
      </c>
    </row>
    <row r="16" spans="1:18" ht="139">
      <c r="A16" s="134" t="s">
        <v>158</v>
      </c>
      <c r="B16" s="135"/>
      <c r="C16" s="136"/>
      <c r="D16" s="112">
        <v>0.5</v>
      </c>
      <c r="E16" s="113" t="s">
        <v>163</v>
      </c>
      <c r="F16" s="114" t="s">
        <v>159</v>
      </c>
      <c r="G16" s="115" t="s">
        <v>173</v>
      </c>
      <c r="H16" s="115" t="s">
        <v>160</v>
      </c>
      <c r="I16" s="115" t="s">
        <v>175</v>
      </c>
      <c r="J16" s="139" t="s">
        <v>177</v>
      </c>
      <c r="K16" s="140"/>
      <c r="L16" s="116" t="s">
        <v>152</v>
      </c>
    </row>
  </sheetData>
  <mergeCells count="22">
    <mergeCell ref="A14:C14"/>
    <mergeCell ref="J14:K14"/>
    <mergeCell ref="A15:C15"/>
    <mergeCell ref="J15:K15"/>
    <mergeCell ref="A16:C16"/>
    <mergeCell ref="J16:K16"/>
    <mergeCell ref="A4:A10"/>
    <mergeCell ref="B6:B8"/>
    <mergeCell ref="N1:P1"/>
    <mergeCell ref="A1:A3"/>
    <mergeCell ref="B1:B3"/>
    <mergeCell ref="C1:C3"/>
    <mergeCell ref="D1:D3"/>
    <mergeCell ref="E1:E3"/>
    <mergeCell ref="F1:F3"/>
    <mergeCell ref="G1:G3"/>
    <mergeCell ref="H1:H3"/>
    <mergeCell ref="I1:I3"/>
    <mergeCell ref="J1:J3"/>
    <mergeCell ref="K1:K3"/>
    <mergeCell ref="L1:L3"/>
    <mergeCell ref="M1:M3"/>
  </mergeCells>
  <phoneticPr fontId="1" type="noConversion"/>
  <dataValidations count="2">
    <dataValidation type="list" allowBlank="1" showInputMessage="1" showErrorMessage="1" sqref="N4:P10" xr:uid="{654C31C0-90E1-4CB5-820D-9EAC6413C8D0}">
      <formula1>"A,B,C,D"</formula1>
    </dataValidation>
    <dataValidation type="list" allowBlank="1" showInputMessage="1" showErrorMessage="1" sqref="L15:L16" xr:uid="{E6FD62E4-515B-405A-9ABC-911462CB89BC}">
      <formula1>"A,B,C"</formula1>
    </dataValidation>
  </dataValidation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12DDB-9C6F-2345-BE22-13539D737B25}">
  <dimension ref="A1:V11"/>
  <sheetViews>
    <sheetView topLeftCell="A4" zoomScale="85" zoomScaleNormal="85" workbookViewId="0">
      <selection activeCell="E17" sqref="E17"/>
    </sheetView>
  </sheetViews>
  <sheetFormatPr defaultColWidth="10.81640625" defaultRowHeight="14.5"/>
  <cols>
    <col min="3" max="3" width="17" bestFit="1" customWidth="1"/>
    <col min="5" max="5" width="31" bestFit="1" customWidth="1"/>
    <col min="10" max="10" width="20.81640625" customWidth="1"/>
    <col min="11" max="11" width="15.6328125" customWidth="1"/>
    <col min="12" max="12" width="16.36328125" customWidth="1"/>
    <col min="14" max="14" width="13.81640625" customWidth="1"/>
    <col min="15" max="15" width="9.453125" customWidth="1"/>
    <col min="17" max="17" width="13.81640625" customWidth="1"/>
    <col min="18" max="18" width="8.81640625" customWidth="1"/>
    <col min="20" max="20" width="13.81640625" customWidth="1"/>
    <col min="21" max="22" width="19.36328125" customWidth="1"/>
  </cols>
  <sheetData>
    <row r="1" spans="1:22" ht="16.5">
      <c r="A1" s="169" t="s">
        <v>0</v>
      </c>
      <c r="B1" s="171" t="s">
        <v>1</v>
      </c>
      <c r="C1" s="171" t="s">
        <v>2</v>
      </c>
      <c r="D1" s="171" t="s">
        <v>3</v>
      </c>
      <c r="E1" s="171" t="s">
        <v>4</v>
      </c>
      <c r="F1" s="173" t="s">
        <v>66</v>
      </c>
      <c r="G1" s="174"/>
      <c r="H1" s="174"/>
      <c r="I1" s="174"/>
      <c r="J1" s="174"/>
      <c r="K1" s="174"/>
      <c r="L1" s="174"/>
      <c r="M1" s="174"/>
      <c r="N1" s="174"/>
      <c r="O1" s="174"/>
      <c r="P1" s="174"/>
      <c r="Q1" s="174"/>
      <c r="R1" s="174"/>
      <c r="S1" s="174"/>
      <c r="T1" s="174"/>
      <c r="U1" s="174"/>
      <c r="V1" s="174"/>
    </row>
    <row r="2" spans="1:22" ht="16.5">
      <c r="A2" s="170"/>
      <c r="B2" s="172"/>
      <c r="C2" s="172"/>
      <c r="D2" s="172"/>
      <c r="E2" s="172"/>
      <c r="F2" s="190" t="s">
        <v>67</v>
      </c>
      <c r="G2" s="191"/>
      <c r="H2" s="191"/>
      <c r="I2" s="192"/>
      <c r="J2" s="163" t="s">
        <v>68</v>
      </c>
      <c r="K2" s="164"/>
      <c r="L2" s="165"/>
      <c r="M2" s="188" t="s">
        <v>117</v>
      </c>
      <c r="N2" s="183"/>
      <c r="O2" s="189"/>
      <c r="P2" s="179" t="s">
        <v>116</v>
      </c>
      <c r="Q2" s="180"/>
      <c r="R2" s="181"/>
      <c r="S2" s="182" t="s">
        <v>115</v>
      </c>
      <c r="T2" s="183"/>
      <c r="U2" s="183"/>
      <c r="V2" s="184" t="s">
        <v>114</v>
      </c>
    </row>
    <row r="3" spans="1:22" ht="16.5">
      <c r="A3" s="170"/>
      <c r="B3" s="172"/>
      <c r="C3" s="172"/>
      <c r="D3" s="172"/>
      <c r="E3" s="172"/>
      <c r="F3" s="94"/>
      <c r="G3" s="94"/>
      <c r="H3" s="94"/>
      <c r="I3" s="95"/>
      <c r="J3" s="96"/>
      <c r="K3" s="96"/>
      <c r="L3" s="96"/>
      <c r="M3" s="166">
        <v>0.35</v>
      </c>
      <c r="N3" s="167"/>
      <c r="O3" s="168"/>
      <c r="P3" s="185">
        <v>0.35</v>
      </c>
      <c r="Q3" s="186"/>
      <c r="R3" s="187"/>
      <c r="S3" s="166">
        <v>0.3</v>
      </c>
      <c r="T3" s="167"/>
      <c r="U3" s="167"/>
      <c r="V3" s="184"/>
    </row>
    <row r="4" spans="1:22" ht="29">
      <c r="A4" s="170"/>
      <c r="B4" s="172"/>
      <c r="C4" s="172"/>
      <c r="D4" s="172"/>
      <c r="E4" s="172"/>
      <c r="F4" s="32" t="s">
        <v>62</v>
      </c>
      <c r="G4" s="33" t="s">
        <v>63</v>
      </c>
      <c r="H4" s="33" t="s">
        <v>64</v>
      </c>
      <c r="I4" s="33" t="s">
        <v>65</v>
      </c>
      <c r="J4" s="97" t="s">
        <v>97</v>
      </c>
      <c r="K4" s="97" t="s">
        <v>96</v>
      </c>
      <c r="L4" s="97" t="s">
        <v>98</v>
      </c>
      <c r="M4" s="98" t="s">
        <v>69</v>
      </c>
      <c r="N4" s="98" t="s">
        <v>70</v>
      </c>
      <c r="O4" s="99" t="s">
        <v>113</v>
      </c>
      <c r="P4" s="100" t="s">
        <v>69</v>
      </c>
      <c r="Q4" s="100" t="s">
        <v>70</v>
      </c>
      <c r="R4" s="101" t="s">
        <v>113</v>
      </c>
      <c r="S4" s="98" t="s">
        <v>69</v>
      </c>
      <c r="T4" s="98" t="s">
        <v>70</v>
      </c>
      <c r="U4" s="102" t="s">
        <v>113</v>
      </c>
      <c r="V4" s="184"/>
    </row>
    <row r="5" spans="1:22" ht="100">
      <c r="A5" s="117" t="s">
        <v>71</v>
      </c>
      <c r="B5" s="26" t="s">
        <v>52</v>
      </c>
      <c r="C5" s="27" t="s">
        <v>53</v>
      </c>
      <c r="D5" s="28">
        <v>0.1</v>
      </c>
      <c r="E5" s="78" t="s">
        <v>102</v>
      </c>
      <c r="F5" s="34">
        <v>4</v>
      </c>
      <c r="G5" s="35">
        <v>3</v>
      </c>
      <c r="H5" s="36">
        <v>2</v>
      </c>
      <c r="I5" s="93">
        <v>1</v>
      </c>
      <c r="J5" s="105" t="str">
        <f>'HBB Servie Assurance'!N4</f>
        <v>A</v>
      </c>
      <c r="K5" s="105" t="str">
        <f>'HBB Servie Assurance'!O4</f>
        <v>A</v>
      </c>
      <c r="L5" s="105" t="str">
        <f>'HBB Servie Assurance'!P4</f>
        <v>A</v>
      </c>
      <c r="M5" s="38">
        <f>IF(J5="A",F5,IF(J5="B",G5, IF(J5="C",H5, IF(J5="D",I5))))</f>
        <v>4</v>
      </c>
      <c r="N5" s="39">
        <f>M5</f>
        <v>4</v>
      </c>
      <c r="O5" s="175">
        <f>SUMPRODUCT(N5:N11,D5:D11)</f>
        <v>4</v>
      </c>
      <c r="P5" s="38">
        <f>IF(K5="A",F5,IF(K5="B",G5, IF(K5="C",H5, IF(K5="D",I5))))</f>
        <v>4</v>
      </c>
      <c r="Q5" s="39">
        <f>P5</f>
        <v>4</v>
      </c>
      <c r="R5" s="175">
        <f>SUMPRODUCT(Q5:Q11,D5:D11)</f>
        <v>4</v>
      </c>
      <c r="S5" s="38">
        <f>IF(L5="A",F5,IF(L5="B",G5, IF(L5="C",H5, IF(L5="D",I5))))</f>
        <v>4</v>
      </c>
      <c r="T5" s="39">
        <f>S5</f>
        <v>4</v>
      </c>
      <c r="U5" s="176">
        <f>SUMPRODUCT(T5:T11,D5:D11)</f>
        <v>3.7</v>
      </c>
      <c r="V5" s="176">
        <f>(O5*M3+R5*P3+U5*S3)/(M3+P3+S3)</f>
        <v>3.91</v>
      </c>
    </row>
    <row r="6" spans="1:22" ht="50">
      <c r="A6" s="117"/>
      <c r="B6" s="77" t="s">
        <v>10</v>
      </c>
      <c r="C6" s="29" t="s">
        <v>145</v>
      </c>
      <c r="D6" s="79">
        <v>0.15</v>
      </c>
      <c r="E6" s="46" t="s">
        <v>146</v>
      </c>
      <c r="F6" s="34">
        <v>3</v>
      </c>
      <c r="G6" s="35">
        <v>2</v>
      </c>
      <c r="H6" s="35">
        <v>1</v>
      </c>
      <c r="I6" s="93">
        <v>0</v>
      </c>
      <c r="J6" s="105" t="str">
        <f>'HBB Servie Assurance'!N5</f>
        <v>A</v>
      </c>
      <c r="K6" s="105" t="str">
        <f>'HBB Servie Assurance'!O5</f>
        <v>A</v>
      </c>
      <c r="L6" s="105" t="str">
        <f>'HBB Servie Assurance'!P5</f>
        <v>B</v>
      </c>
      <c r="M6" s="38">
        <f t="shared" ref="M6:M11" si="0">IF(J6="A",F6,IF(J6="B",G6, IF(J6="C",H6, IF(J6="D",I6))))</f>
        <v>3</v>
      </c>
      <c r="N6" s="103">
        <f>IF(AND(M6=3,AVERAGE(M$5,M$7,M$8,M$9,M$10)&gt;3),AVERAGE(M$5,M$7,M$8,M$9,M$10),M6)</f>
        <v>4</v>
      </c>
      <c r="O6" s="175"/>
      <c r="P6" s="38">
        <f t="shared" ref="P6:P11" si="1">IF(K6="A",F6,IF(K6="B",G6, IF(K6="C",H6, IF(K6="D",I6))))</f>
        <v>3</v>
      </c>
      <c r="Q6" s="103">
        <f>IF(AND(P6=3,AVERAGE(P$5,P$7,P$8,P$9,P$10)&gt;3),AVERAGE(P$5,P$7,P$8,P$9,P$10),P6)</f>
        <v>4</v>
      </c>
      <c r="R6" s="175"/>
      <c r="S6" s="38">
        <f t="shared" ref="S6:S11" si="2">IF(L6="A",F6,IF(L6="B",G6, IF(L6="C",H6, IF(L6="D",I6))))</f>
        <v>2</v>
      </c>
      <c r="T6" s="103">
        <f>IF(AND(S6=3,AVERAGE(S$5,S$7,S$8,S$9,S$10)&gt;3),AVERAGE(S$5,S$7,S$8,S$9,S$10),S6)</f>
        <v>2</v>
      </c>
      <c r="U6" s="177"/>
      <c r="V6" s="177"/>
    </row>
    <row r="7" spans="1:22" ht="62.5">
      <c r="A7" s="117"/>
      <c r="B7" s="118" t="s">
        <v>55</v>
      </c>
      <c r="C7" s="27" t="s">
        <v>94</v>
      </c>
      <c r="D7" s="79">
        <v>0.15</v>
      </c>
      <c r="E7" s="46" t="s">
        <v>138</v>
      </c>
      <c r="F7" s="92">
        <v>4</v>
      </c>
      <c r="G7" s="36">
        <v>3</v>
      </c>
      <c r="H7" s="36">
        <v>2</v>
      </c>
      <c r="I7" s="104">
        <v>1</v>
      </c>
      <c r="J7" s="105" t="str">
        <f>'HBB Servie Assurance'!N6</f>
        <v>A</v>
      </c>
      <c r="K7" s="105" t="str">
        <f>'HBB Servie Assurance'!O6</f>
        <v>A</v>
      </c>
      <c r="L7" s="105" t="str">
        <f>'HBB Servie Assurance'!P6</f>
        <v>A</v>
      </c>
      <c r="M7" s="38">
        <f t="shared" si="0"/>
        <v>4</v>
      </c>
      <c r="N7" s="39">
        <f>M7</f>
        <v>4</v>
      </c>
      <c r="O7" s="175"/>
      <c r="P7" s="38">
        <f t="shared" si="1"/>
        <v>4</v>
      </c>
      <c r="Q7" s="39">
        <f>P7</f>
        <v>4</v>
      </c>
      <c r="R7" s="175"/>
      <c r="S7" s="38">
        <f t="shared" si="2"/>
        <v>4</v>
      </c>
      <c r="T7" s="39">
        <f t="shared" ref="T7:T10" si="3">S7</f>
        <v>4</v>
      </c>
      <c r="U7" s="177"/>
      <c r="V7" s="177"/>
    </row>
    <row r="8" spans="1:22" ht="112.5">
      <c r="A8" s="117"/>
      <c r="B8" s="119"/>
      <c r="C8" s="80" t="s">
        <v>78</v>
      </c>
      <c r="D8" s="81">
        <v>0.15</v>
      </c>
      <c r="E8" s="78" t="s">
        <v>147</v>
      </c>
      <c r="F8" s="34">
        <v>4</v>
      </c>
      <c r="G8" s="35">
        <v>3</v>
      </c>
      <c r="H8" s="35">
        <v>2</v>
      </c>
      <c r="I8" s="93">
        <v>1</v>
      </c>
      <c r="J8" s="105" t="str">
        <f>'HBB Servie Assurance'!N7</f>
        <v>A</v>
      </c>
      <c r="K8" s="105" t="str">
        <f>'HBB Servie Assurance'!O7</f>
        <v>A</v>
      </c>
      <c r="L8" s="105" t="str">
        <f>'HBB Servie Assurance'!P7</f>
        <v>A</v>
      </c>
      <c r="M8" s="38">
        <f t="shared" si="0"/>
        <v>4</v>
      </c>
      <c r="N8" s="39">
        <f t="shared" ref="N8:N9" si="4">M8</f>
        <v>4</v>
      </c>
      <c r="O8" s="175"/>
      <c r="P8" s="38">
        <f t="shared" si="1"/>
        <v>4</v>
      </c>
      <c r="Q8" s="39">
        <f t="shared" ref="Q8:Q10" si="5">P8</f>
        <v>4</v>
      </c>
      <c r="R8" s="175"/>
      <c r="S8" s="38">
        <f t="shared" si="2"/>
        <v>4</v>
      </c>
      <c r="T8" s="39">
        <f t="shared" si="3"/>
        <v>4</v>
      </c>
      <c r="U8" s="177"/>
      <c r="V8" s="177"/>
    </row>
    <row r="9" spans="1:22" ht="75">
      <c r="A9" s="117"/>
      <c r="B9" s="120"/>
      <c r="C9" s="29" t="s">
        <v>148</v>
      </c>
      <c r="D9" s="79">
        <v>0.15</v>
      </c>
      <c r="E9" s="78" t="s">
        <v>104</v>
      </c>
      <c r="F9" s="34">
        <v>4</v>
      </c>
      <c r="G9" s="35">
        <v>3</v>
      </c>
      <c r="H9" s="36">
        <v>2</v>
      </c>
      <c r="I9" s="93">
        <v>1</v>
      </c>
      <c r="J9" s="105" t="str">
        <f>'HBB Servie Assurance'!N8</f>
        <v>A</v>
      </c>
      <c r="K9" s="105" t="str">
        <f>'HBB Servie Assurance'!O8</f>
        <v>A</v>
      </c>
      <c r="L9" s="105" t="str">
        <f>'HBB Servie Assurance'!P8</f>
        <v>A</v>
      </c>
      <c r="M9" s="38">
        <f t="shared" si="0"/>
        <v>4</v>
      </c>
      <c r="N9" s="39">
        <f t="shared" si="4"/>
        <v>4</v>
      </c>
      <c r="O9" s="175"/>
      <c r="P9" s="38">
        <f t="shared" si="1"/>
        <v>4</v>
      </c>
      <c r="Q9" s="39">
        <f t="shared" si="5"/>
        <v>4</v>
      </c>
      <c r="R9" s="175"/>
      <c r="S9" s="38">
        <f t="shared" si="2"/>
        <v>4</v>
      </c>
      <c r="T9" s="39">
        <f t="shared" si="3"/>
        <v>4</v>
      </c>
      <c r="U9" s="177"/>
      <c r="V9" s="177"/>
    </row>
    <row r="10" spans="1:22" ht="87.5">
      <c r="A10" s="117"/>
      <c r="B10" s="31" t="s">
        <v>12</v>
      </c>
      <c r="C10" s="29" t="s">
        <v>57</v>
      </c>
      <c r="D10" s="79">
        <v>0.1</v>
      </c>
      <c r="E10" s="47" t="s">
        <v>82</v>
      </c>
      <c r="F10" s="34">
        <v>4</v>
      </c>
      <c r="G10" s="35">
        <v>3</v>
      </c>
      <c r="H10" s="36">
        <v>2</v>
      </c>
      <c r="I10" s="93">
        <v>1</v>
      </c>
      <c r="J10" s="105" t="str">
        <f>'HBB Servie Assurance'!N9</f>
        <v>A</v>
      </c>
      <c r="K10" s="105" t="str">
        <f>'HBB Servie Assurance'!O9</f>
        <v>A</v>
      </c>
      <c r="L10" s="105" t="str">
        <f>'HBB Servie Assurance'!P9</f>
        <v>A</v>
      </c>
      <c r="M10" s="38">
        <f t="shared" si="0"/>
        <v>4</v>
      </c>
      <c r="N10" s="39">
        <f>M10</f>
        <v>4</v>
      </c>
      <c r="O10" s="175"/>
      <c r="P10" s="38">
        <f t="shared" si="1"/>
        <v>4</v>
      </c>
      <c r="Q10" s="39">
        <f t="shared" si="5"/>
        <v>4</v>
      </c>
      <c r="R10" s="175"/>
      <c r="S10" s="38">
        <f t="shared" si="2"/>
        <v>4</v>
      </c>
      <c r="T10" s="39">
        <f t="shared" si="3"/>
        <v>4</v>
      </c>
      <c r="U10" s="177"/>
      <c r="V10" s="177"/>
    </row>
    <row r="11" spans="1:22" ht="75.5" thickBot="1">
      <c r="A11" s="117"/>
      <c r="B11" s="25" t="s">
        <v>13</v>
      </c>
      <c r="C11" s="27" t="s">
        <v>61</v>
      </c>
      <c r="D11" s="30">
        <v>0.2</v>
      </c>
      <c r="E11" s="47" t="s">
        <v>90</v>
      </c>
      <c r="F11" s="40">
        <v>2</v>
      </c>
      <c r="G11" s="42">
        <v>1</v>
      </c>
      <c r="H11" s="41">
        <v>0</v>
      </c>
      <c r="I11" s="93">
        <v>0</v>
      </c>
      <c r="J11" s="105" t="str">
        <f>'HBB Servie Assurance'!N10</f>
        <v>A</v>
      </c>
      <c r="K11" s="105" t="str">
        <f>'HBB Servie Assurance'!O10</f>
        <v>A</v>
      </c>
      <c r="L11" s="105" t="str">
        <f>'HBB Servie Assurance'!P10</f>
        <v>A</v>
      </c>
      <c r="M11" s="38">
        <f t="shared" si="0"/>
        <v>2</v>
      </c>
      <c r="N11" s="39">
        <f>IF(AND(M11=2,AVERAGE(M5,M7,M8,M9,M10)&gt;2),AVERAGE(M5,M7,M8,M9,M10),M11)</f>
        <v>4</v>
      </c>
      <c r="O11" s="175"/>
      <c r="P11" s="38">
        <f t="shared" si="1"/>
        <v>2</v>
      </c>
      <c r="Q11" s="39">
        <f>IF(AND(P11=2,AVERAGE(P5,P7,P8,P9,P10)&gt;2),AVERAGE(P5,P7,P8,P9,P10),P11)</f>
        <v>4</v>
      </c>
      <c r="R11" s="175"/>
      <c r="S11" s="38">
        <f t="shared" si="2"/>
        <v>2</v>
      </c>
      <c r="T11" s="39">
        <f>IF(AND(S11=2,AVERAGE(S5,S7,S8,S9,S10)&gt;2),AVERAGE(S5,S7,S8,S9,S10),S11)</f>
        <v>4</v>
      </c>
      <c r="U11" s="178"/>
      <c r="V11" s="178"/>
    </row>
  </sheetData>
  <mergeCells count="21">
    <mergeCell ref="V5:V11"/>
    <mergeCell ref="P3:R3"/>
    <mergeCell ref="S3:U3"/>
    <mergeCell ref="M2:O2"/>
    <mergeCell ref="F2:I2"/>
    <mergeCell ref="A5:A11"/>
    <mergeCell ref="B7:B9"/>
    <mergeCell ref="J2:L2"/>
    <mergeCell ref="M3:O3"/>
    <mergeCell ref="A1:A4"/>
    <mergeCell ref="B1:B4"/>
    <mergeCell ref="C1:C4"/>
    <mergeCell ref="D1:D4"/>
    <mergeCell ref="E1:E4"/>
    <mergeCell ref="F1:V1"/>
    <mergeCell ref="O5:O11"/>
    <mergeCell ref="R5:R11"/>
    <mergeCell ref="U5:U11"/>
    <mergeCell ref="P2:R2"/>
    <mergeCell ref="S2:U2"/>
    <mergeCell ref="V2:V4"/>
  </mergeCells>
  <phoneticPr fontId="1" type="noConversion"/>
  <pageMargins left="0.7" right="0.7" top="0.75" bottom="0.75" header="0.3" footer="0.3"/>
  <pageSetup orientation="portrait" horizontalDpi="0" verticalDpi="0"/>
  <ignoredErrors>
    <ignoredError sqref="N6 Q6 T6"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2998-9687-40F8-B0CB-95240ECFC00C}">
  <dimension ref="A1:F15"/>
  <sheetViews>
    <sheetView workbookViewId="0">
      <selection sqref="A1:B2"/>
    </sheetView>
  </sheetViews>
  <sheetFormatPr defaultColWidth="8.6328125" defaultRowHeight="14.5"/>
  <cols>
    <col min="1" max="1" width="11.453125" style="85" customWidth="1"/>
    <col min="2" max="2" width="29.81640625" style="85" customWidth="1"/>
    <col min="3" max="3" width="15.453125" style="85" customWidth="1"/>
    <col min="4" max="4" width="13.453125" style="85" customWidth="1"/>
    <col min="5" max="5" width="14.6328125" style="85" customWidth="1"/>
    <col min="6" max="16384" width="8.6328125" style="85"/>
  </cols>
  <sheetData>
    <row r="1" spans="1:6">
      <c r="A1" s="197" t="s">
        <v>105</v>
      </c>
      <c r="B1" s="198"/>
      <c r="C1" s="201" t="s">
        <v>106</v>
      </c>
      <c r="D1" s="201"/>
      <c r="E1" s="202"/>
      <c r="F1" s="84"/>
    </row>
    <row r="2" spans="1:6" ht="47.25" customHeight="1">
      <c r="A2" s="199"/>
      <c r="B2" s="200"/>
      <c r="C2" s="82" t="s">
        <v>123</v>
      </c>
      <c r="D2" s="82" t="s">
        <v>122</v>
      </c>
      <c r="E2" s="82" t="s">
        <v>121</v>
      </c>
      <c r="F2" s="84"/>
    </row>
    <row r="3" spans="1:6" ht="15.5">
      <c r="A3" s="203" t="s">
        <v>107</v>
      </c>
      <c r="B3" s="203"/>
      <c r="C3" s="86">
        <v>0.35</v>
      </c>
      <c r="D3" s="86">
        <v>0.35</v>
      </c>
      <c r="E3" s="86">
        <v>0.3</v>
      </c>
      <c r="F3" s="84"/>
    </row>
    <row r="4" spans="1:6" ht="25">
      <c r="A4" s="107" t="s">
        <v>118</v>
      </c>
      <c r="B4" s="27" t="s">
        <v>53</v>
      </c>
      <c r="C4" s="87" t="str">
        <f>IF('HBB Servie Assurance'!N4="A", "S","P")</f>
        <v>S</v>
      </c>
      <c r="D4" s="87" t="str">
        <f>IF('HBB Servie Assurance'!O4="A", "S","P")</f>
        <v>S</v>
      </c>
      <c r="E4" s="87" t="str">
        <f>IF('HBB Servie Assurance'!P4="A", "S","P")</f>
        <v>S</v>
      </c>
      <c r="F4" s="84"/>
    </row>
    <row r="5" spans="1:6" ht="26.25" customHeight="1">
      <c r="A5" s="106" t="s">
        <v>10</v>
      </c>
      <c r="B5" s="29" t="s">
        <v>54</v>
      </c>
      <c r="C5" s="87" t="str">
        <f>IF('HBB Servie Assurance'!N5="A", "S","P")</f>
        <v>S</v>
      </c>
      <c r="D5" s="87" t="str">
        <f>IF('HBB Servie Assurance'!O5="A", "S","P")</f>
        <v>S</v>
      </c>
      <c r="E5" s="87" t="str">
        <f>IF('HBB Servie Assurance'!P5="A", "S","P")</f>
        <v>P</v>
      </c>
      <c r="F5" s="84"/>
    </row>
    <row r="6" spans="1:6" ht="25">
      <c r="A6" s="194" t="s">
        <v>55</v>
      </c>
      <c r="B6" s="27" t="s">
        <v>94</v>
      </c>
      <c r="C6" s="87" t="str">
        <f>IF('HBB Servie Assurance'!N6="A", "S","P")</f>
        <v>S</v>
      </c>
      <c r="D6" s="87" t="str">
        <f>IF('HBB Servie Assurance'!O6="A", "S","P")</f>
        <v>S</v>
      </c>
      <c r="E6" s="87" t="str">
        <f>IF('HBB Servie Assurance'!P6="A", "S","P")</f>
        <v>S</v>
      </c>
      <c r="F6" s="84"/>
    </row>
    <row r="7" spans="1:6" ht="23.5" customHeight="1">
      <c r="A7" s="195"/>
      <c r="B7" s="80" t="s">
        <v>78</v>
      </c>
      <c r="C7" s="87" t="str">
        <f>IF('HBB Servie Assurance'!N7="A", "S","P")</f>
        <v>S</v>
      </c>
      <c r="D7" s="87" t="str">
        <f>IF('HBB Servie Assurance'!O7="A", "S","P")</f>
        <v>S</v>
      </c>
      <c r="E7" s="87" t="str">
        <f>IF('HBB Servie Assurance'!P7="A", "S","P")</f>
        <v>S</v>
      </c>
      <c r="F7" s="84"/>
    </row>
    <row r="8" spans="1:6" ht="33" customHeight="1">
      <c r="A8" s="196"/>
      <c r="B8" s="29" t="s">
        <v>85</v>
      </c>
      <c r="C8" s="87" t="str">
        <f>IF('HBB Servie Assurance'!N8="A", "S","P")</f>
        <v>S</v>
      </c>
      <c r="D8" s="87" t="str">
        <f>IF('HBB Servie Assurance'!O8="A", "S","P")</f>
        <v>S</v>
      </c>
      <c r="E8" s="87" t="str">
        <f>IF('HBB Servie Assurance'!P8="A", "S","P")</f>
        <v>S</v>
      </c>
      <c r="F8" s="84"/>
    </row>
    <row r="9" spans="1:6">
      <c r="A9" s="106" t="s">
        <v>12</v>
      </c>
      <c r="B9" s="29" t="s">
        <v>57</v>
      </c>
      <c r="C9" s="87" t="str">
        <f>IF('HBB Servie Assurance'!N9="A", "S","P")</f>
        <v>S</v>
      </c>
      <c r="D9" s="87" t="str">
        <f>IF('HBB Servie Assurance'!O9="A", "S","P")</f>
        <v>S</v>
      </c>
      <c r="E9" s="87" t="str">
        <f>IF('HBB Servie Assurance'!P9="A", "S","P")</f>
        <v>S</v>
      </c>
      <c r="F9" s="84"/>
    </row>
    <row r="10" spans="1:6">
      <c r="A10" s="106" t="s">
        <v>13</v>
      </c>
      <c r="B10" s="27" t="s">
        <v>61</v>
      </c>
      <c r="C10" s="87" t="str">
        <f>IF('HBB Servie Assurance'!N10="A", "S","P")</f>
        <v>S</v>
      </c>
      <c r="D10" s="87" t="str">
        <f>IF('HBB Servie Assurance'!O10="A", "S","P")</f>
        <v>S</v>
      </c>
      <c r="E10" s="87" t="str">
        <f>IF('HBB Servie Assurance'!P10="A", "S","P")</f>
        <v>S</v>
      </c>
      <c r="F10" s="84"/>
    </row>
    <row r="11" spans="1:6" ht="15.5">
      <c r="A11" s="203" t="s">
        <v>108</v>
      </c>
      <c r="B11" s="203"/>
      <c r="C11" s="88" t="str">
        <f>IF(COUNTIF(C5:C10, "")&gt;0, "N",IF(COUNTIF(C5:C10, "P")=0,"Y","N"))</f>
        <v>Y</v>
      </c>
      <c r="D11" s="88" t="str">
        <f>IF(COUNTIF(D5:D10, "")&gt;0, "N",IF(COUNTIF(D5:D10, "P")=0,"Y","N"))</f>
        <v>Y</v>
      </c>
      <c r="E11" s="88" t="str">
        <f>IF(COUNTIF(E5:E10, "")&gt;0, "N",IF(COUNTIF(E5:E10, "P")=0,"Y","N"))</f>
        <v>N</v>
      </c>
      <c r="F11" s="84"/>
    </row>
    <row r="12" spans="1:6">
      <c r="A12" s="193" t="s">
        <v>109</v>
      </c>
      <c r="B12" s="193"/>
      <c r="C12" s="193"/>
      <c r="D12" s="193"/>
      <c r="E12" s="89">
        <f>SUMIFS(C3:E3, C11:E11, "Y")</f>
        <v>0.7</v>
      </c>
      <c r="F12" s="84"/>
    </row>
    <row r="13" spans="1:6">
      <c r="A13" s="84"/>
      <c r="B13" s="84"/>
      <c r="C13" s="84"/>
      <c r="D13" s="84"/>
      <c r="E13" s="84"/>
      <c r="F13" s="84"/>
    </row>
    <row r="14" spans="1:6">
      <c r="A14" s="90" t="s">
        <v>110</v>
      </c>
      <c r="B14" s="90" t="s">
        <v>111</v>
      </c>
      <c r="C14" s="84"/>
      <c r="D14" s="84"/>
      <c r="E14" s="84"/>
      <c r="F14" s="84"/>
    </row>
    <row r="15" spans="1:6">
      <c r="A15" s="91" t="s">
        <v>112</v>
      </c>
      <c r="B15" s="84"/>
      <c r="C15" s="84"/>
      <c r="D15" s="84"/>
      <c r="E15" s="84"/>
      <c r="F15" s="84"/>
    </row>
  </sheetData>
  <mergeCells count="6">
    <mergeCell ref="A12:D12"/>
    <mergeCell ref="A6:A8"/>
    <mergeCell ref="A1:B2"/>
    <mergeCell ref="C1:E1"/>
    <mergeCell ref="A3:B3"/>
    <mergeCell ref="A11:B11"/>
  </mergeCells>
  <phoneticPr fontId="1"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A089-45D0-4F6A-B9F3-D9AB78175048}">
  <dimension ref="C3:F19"/>
  <sheetViews>
    <sheetView workbookViewId="0"/>
  </sheetViews>
  <sheetFormatPr defaultColWidth="8.81640625" defaultRowHeight="14.5"/>
  <cols>
    <col min="1" max="1" width="1" style="48" customWidth="1"/>
    <col min="2" max="2" width="8.81640625" style="48"/>
    <col min="3" max="3" width="9.453125" style="48" customWidth="1"/>
    <col min="4" max="6" width="36.453125" style="48" customWidth="1"/>
    <col min="7" max="16384" width="8.81640625" style="48"/>
  </cols>
  <sheetData>
    <row r="3" spans="3:6">
      <c r="C3" s="49"/>
      <c r="D3" s="50"/>
    </row>
    <row r="4" spans="3:6">
      <c r="C4" s="49"/>
      <c r="D4" s="50"/>
    </row>
    <row r="5" spans="3:6" s="49" customFormat="1">
      <c r="D5" s="51" t="s">
        <v>30</v>
      </c>
      <c r="E5" s="51" t="s">
        <v>29</v>
      </c>
      <c r="F5" s="51" t="s">
        <v>28</v>
      </c>
    </row>
    <row r="6" spans="3:6">
      <c r="D6" s="52" t="s">
        <v>34</v>
      </c>
      <c r="E6" s="52" t="s">
        <v>25</v>
      </c>
      <c r="F6" s="52" t="s">
        <v>27</v>
      </c>
    </row>
    <row r="7" spans="3:6" s="49" customFormat="1">
      <c r="D7" s="52" t="s">
        <v>31</v>
      </c>
      <c r="E7" s="52" t="s">
        <v>32</v>
      </c>
      <c r="F7" s="52" t="s">
        <v>26</v>
      </c>
    </row>
    <row r="8" spans="3:6" s="49" customFormat="1">
      <c r="D8" s="52" t="s">
        <v>33</v>
      </c>
      <c r="E8" s="52" t="s">
        <v>25</v>
      </c>
      <c r="F8" s="52" t="s">
        <v>26</v>
      </c>
    </row>
    <row r="9" spans="3:6" s="49" customFormat="1">
      <c r="D9" s="52" t="s">
        <v>44</v>
      </c>
      <c r="E9" s="52" t="s">
        <v>45</v>
      </c>
      <c r="F9" s="52" t="s">
        <v>126</v>
      </c>
    </row>
    <row r="10" spans="3:6" s="49" customFormat="1">
      <c r="D10" s="52" t="s">
        <v>124</v>
      </c>
      <c r="E10" s="52" t="s">
        <v>25</v>
      </c>
      <c r="F10" s="52" t="s">
        <v>127</v>
      </c>
    </row>
    <row r="11" spans="3:6" s="49" customFormat="1">
      <c r="D11" s="52" t="s">
        <v>72</v>
      </c>
      <c r="E11" s="52" t="s">
        <v>73</v>
      </c>
      <c r="F11" s="52" t="s">
        <v>35</v>
      </c>
    </row>
    <row r="12" spans="3:6" s="49" customFormat="1">
      <c r="D12" s="52" t="s">
        <v>125</v>
      </c>
      <c r="E12" s="52" t="s">
        <v>25</v>
      </c>
      <c r="F12" s="52" t="s">
        <v>35</v>
      </c>
    </row>
    <row r="13" spans="3:6" s="49" customFormat="1">
      <c r="D13" s="52" t="s">
        <v>130</v>
      </c>
      <c r="E13" s="52" t="s">
        <v>133</v>
      </c>
      <c r="F13" s="52" t="s">
        <v>35</v>
      </c>
    </row>
    <row r="14" spans="3:6" s="49" customFormat="1">
      <c r="D14" s="52" t="s">
        <v>131</v>
      </c>
      <c r="E14" s="52" t="s">
        <v>133</v>
      </c>
      <c r="F14" s="52" t="s">
        <v>35</v>
      </c>
    </row>
    <row r="15" spans="3:6" s="49" customFormat="1">
      <c r="D15" s="52" t="s">
        <v>132</v>
      </c>
      <c r="E15" s="52" t="s">
        <v>133</v>
      </c>
      <c r="F15" s="52" t="s">
        <v>35</v>
      </c>
    </row>
    <row r="16" spans="3:6" s="49" customFormat="1">
      <c r="D16" s="48"/>
      <c r="E16" s="48"/>
      <c r="F16" s="48"/>
    </row>
    <row r="17" spans="4:6" s="49" customFormat="1">
      <c r="D17" s="53" t="s">
        <v>24</v>
      </c>
      <c r="E17" s="48"/>
      <c r="F17" s="48"/>
    </row>
    <row r="18" spans="4:6" ht="20.25" customHeight="1"/>
    <row r="19" spans="4:6" s="49" customFormat="1">
      <c r="F19" s="48"/>
    </row>
  </sheetData>
  <sheetProtection formatCells="0" insertHyperlinks="0" autoFilter="0"/>
  <phoneticPr fontId="1"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4F4A1041950842937C05E4FE20F32D" ma:contentTypeVersion="21" ma:contentTypeDescription="Create a new document." ma:contentTypeScope="" ma:versionID="6ebcacd7f0898710231250ce43f48ba3">
  <xsd:schema xmlns:xsd="http://www.w3.org/2001/XMLSchema" xmlns:xs="http://www.w3.org/2001/XMLSchema" xmlns:p="http://schemas.microsoft.com/office/2006/metadata/properties" xmlns:ns2="fbaab695-97a0-43ff-91db-5e1437894b4d" xmlns:ns3="4e1aeb04-98ca-4b3a-9622-5b7a7c11dbbe" targetNamespace="http://schemas.microsoft.com/office/2006/metadata/properties" ma:root="true" ma:fieldsID="461c455eb0ef32a8db09cc2935e78f09" ns2:_="" ns3:_="">
    <xsd:import namespace="fbaab695-97a0-43ff-91db-5e1437894b4d"/>
    <xsd:import namespace="4e1aeb04-98ca-4b3a-9622-5b7a7c11dbb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3:SharedWithUsers" minOccurs="0"/>
                <xsd:element ref="ns3:SharedWithDetail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_dlc_DocId" minOccurs="0"/>
                <xsd:element ref="ns3:_dlc_DocIdUrl" minOccurs="0"/>
                <xsd:element ref="ns3:_dlc_DocIdPersistId"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aab695-97a0-43ff-91db-5e1437894b4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91aaa02-a1d2-41ee-84e5-e1ba65e869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1aeb04-98ca-4b3a-9622-5b7a7c11dbb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_dlc_DocId" ma:index="21" nillable="true" ma:displayName="Document ID Value" ma:description="The value of the document ID assigned to this item."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element name="TaxCatchAll" ma:index="24" nillable="true" ma:displayName="Taxonomy Catch All Column" ma:hidden="true" ma:list="{fa7da83f-ad21-45b6-9594-d567e5ffd679}" ma:internalName="TaxCatchAll" ma:showField="CatchAllData" ma:web="4e1aeb04-98ca-4b3a-9622-5b7a7c11db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baab695-97a0-43ff-91db-5e1437894b4d">
      <Terms xmlns="http://schemas.microsoft.com/office/infopath/2007/PartnerControls"/>
    </lcf76f155ced4ddcb4097134ff3c332f>
    <TaxCatchAll xmlns="4e1aeb04-98ca-4b3a-9622-5b7a7c11dbbe" xsi:nil="true"/>
    <_dlc_DocId xmlns="4e1aeb04-98ca-4b3a-9622-5b7a7c11dbbe">7FRRCN6DAHJU-2102554853-50306</_dlc_DocId>
    <_dlc_DocIdUrl xmlns="4e1aeb04-98ca-4b3a-9622-5b7a7c11dbbe">
      <Url>https://luqman.sharepoint.com/_layouts/15/DocIdRedir.aspx?ID=7FRRCN6DAHJU-2102554853-50306</Url>
      <Description>7FRRCN6DAHJU-2102554853-50306</Description>
    </_dlc_DocIdUrl>
  </documentManagement>
</p:properties>
</file>

<file path=customXml/itemProps1.xml><?xml version="1.0" encoding="utf-8"?>
<ds:datastoreItem xmlns:ds="http://schemas.openxmlformats.org/officeDocument/2006/customXml" ds:itemID="{26C39386-D20E-4EB6-AE94-FE7BAD5E19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aab695-97a0-43ff-91db-5e1437894b4d"/>
    <ds:schemaRef ds:uri="4e1aeb04-98ca-4b3a-9622-5b7a7c11db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59A12C-40A9-446E-9775-E03312EB825D}">
  <ds:schemaRefs>
    <ds:schemaRef ds:uri="http://schemas.microsoft.com/sharepoint/events"/>
  </ds:schemaRefs>
</ds:datastoreItem>
</file>

<file path=customXml/itemProps3.xml><?xml version="1.0" encoding="utf-8"?>
<ds:datastoreItem xmlns:ds="http://schemas.openxmlformats.org/officeDocument/2006/customXml" ds:itemID="{35BC91D6-A893-4977-8167-0801BA1C37A0}">
  <ds:schemaRefs>
    <ds:schemaRef ds:uri="http://schemas.microsoft.com/sharepoint/v3/contenttype/forms"/>
  </ds:schemaRefs>
</ds:datastoreItem>
</file>

<file path=customXml/itemProps4.xml><?xml version="1.0" encoding="utf-8"?>
<ds:datastoreItem xmlns:ds="http://schemas.openxmlformats.org/officeDocument/2006/customXml" ds:itemID="{A7D64DFF-D8D0-4DAE-B068-20B8B00842B4}">
  <ds:schemaRefs>
    <ds:schemaRef ds:uri="http://schemas.microsoft.com/office/2006/metadata/properties"/>
    <ds:schemaRef ds:uri="fbaab695-97a0-43ff-91db-5e1437894b4d"/>
    <ds:schemaRef ds:uri="http://schemas.microsoft.com/office/2006/documentManagement/types"/>
    <ds:schemaRef ds:uri="http://purl.org/dc/terms/"/>
    <ds:schemaRef ds:uri="http://schemas.microsoft.com/office/infopath/2007/PartnerControls"/>
    <ds:schemaRef ds:uri="http://www.w3.org/XML/1998/namespace"/>
    <ds:schemaRef ds:uri="http://purl.org/dc/elements/1.1/"/>
    <ds:schemaRef ds:uri="http://schemas.openxmlformats.org/package/2006/metadata/core-properties"/>
    <ds:schemaRef ds:uri="4e1aeb04-98ca-4b3a-9622-5b7a7c11dbb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Document Title</vt:lpstr>
      <vt:lpstr>Legal Notice</vt:lpstr>
      <vt:lpstr>Guideline</vt:lpstr>
      <vt:lpstr>HBB Servie Assurance</vt:lpstr>
      <vt:lpstr>Scoring</vt:lpstr>
      <vt:lpstr>E2E Automation Ratio Checklist</vt:lpstr>
      <vt:lpstr>Acknowledgements</vt:lpstr>
      <vt:lpstr>'Legal Notice'!Print_Area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Home Broadband Service Assurance</dc:title>
  <dc:subject>High Value Scenario ANLET GB1059F</dc:subject>
  <dc:creator/>
  <cp:keywords>ANLET, GB1059F</cp:keywords>
  <dc:description/>
  <cp:lastModifiedBy/>
  <cp:revision/>
  <cp:lastPrinted>2024-11-16T00:23:06Z</cp:lastPrinted>
  <dcterms:created xsi:type="dcterms:W3CDTF">2023-04-19T05:45:01Z</dcterms:created>
  <dcterms:modified xsi:type="dcterms:W3CDTF">2026-03-27T21:02:09Z</dcterms:modified>
  <cp:category>Questionnaire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(3)ueqc0RHyXrkcTQRDvxq0y6ZFjhTX2hf8lK29l30GJUR8jL4OYhE5rr8ul/OwIYyWxE8klkwj
lrkxsH/QUzILrjiWh9mC6oAQxbHXoapuoayj+bW12l2Xl/eE223jCSU6P2oikvEcXhvJ5i+R
tQvvzZglPpOCZj2+8bGpuOTC2iJzRwVqDZYyLN8UoP3Vc7AxBe/V9zLKMpeOBMsU9u5D9Tyy
gY284U6/4zq2YamLTH</vt:lpwstr>
  </property>
  <property fmtid="{D5CDD505-2E9C-101B-9397-08002B2CF9AE}" pid="3" name="_2015_ms_pID_7253431">
    <vt:lpwstr>Yt4DEQ8sCUaTSpkaRjHAJmL0yyeX+1hE/Kfrhh9m1BmmBkiqBXWs0r
hMlpvSON6alpcRzCUc2AeizUqBDELpEQQkUrWJ23NtmuRlEcPhwmBI0aanrI5gw1UgMo1v/l
oTGa0T/MSAApllSZOet/O0TN48kUVc6sXl8Ll6XSJSna2EpBo0Hm4l0P0CyJU6FLofkstqOg
V8IiGOlpgTdBpLJECGMq6nNi8kGt8tC4C1sw</vt:lpwstr>
  </property>
  <property fmtid="{D5CDD505-2E9C-101B-9397-08002B2CF9AE}" pid="4" name="_2015_ms_pID_7253432">
    <vt:lpwstr>obioa3t5hqzUgoiaIvyrzyc=</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1690169917</vt:lpwstr>
  </property>
  <property fmtid="{D5CDD505-2E9C-101B-9397-08002B2CF9AE}" pid="9" name="ContentTypeId">
    <vt:lpwstr>0x010100594F4A1041950842937C05E4FE20F32D</vt:lpwstr>
  </property>
  <property fmtid="{D5CDD505-2E9C-101B-9397-08002B2CF9AE}" pid="10" name="MediaServiceImageTags">
    <vt:lpwstr/>
  </property>
  <property fmtid="{D5CDD505-2E9C-101B-9397-08002B2CF9AE}" pid="11" name="_dlc_DocIdItemGuid">
    <vt:lpwstr>23a04a5b-6fe5-4d9e-bcae-a17356921149</vt:lpwstr>
  </property>
</Properties>
</file>