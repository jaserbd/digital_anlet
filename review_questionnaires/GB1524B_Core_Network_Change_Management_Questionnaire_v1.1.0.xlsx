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tmf365-my.sharepoint.com/personal/awhite_tmforum_org/Documents/Desktop/AN Levels/"/>
    </mc:Choice>
  </mc:AlternateContent>
  <xr:revisionPtr revIDLastSave="0" documentId="8_{9D355F79-F5F5-4431-82D9-D54B0AB8B4FA}" xr6:coauthVersionLast="47" xr6:coauthVersionMax="47" xr10:uidLastSave="{00000000-0000-0000-0000-000000000000}"/>
  <bookViews>
    <workbookView xWindow="-110" yWindow="-110" windowWidth="19420" windowHeight="11500" tabRatio="709" firstSheet="1" activeTab="1" xr2:uid="{00000000-000D-0000-FFFF-FFFF00000000}"/>
  </bookViews>
  <sheets>
    <sheet name="Guideline_Orange" sheetId="22" state="hidden" r:id="rId1"/>
    <sheet name="Document Title" sheetId="35" r:id="rId2"/>
    <sheet name="Notice" sheetId="36" r:id="rId3"/>
    <sheet name="Guideline" sheetId="38" r:id="rId4"/>
    <sheet name="Core Network Change Management" sheetId="33" r:id="rId5"/>
    <sheet name="Scoring" sheetId="26" r:id="rId6"/>
    <sheet name="Administrative Appendix" sheetId="37" r:id="rId7"/>
    <sheet name="Change Management_Orange" sheetId="13" state="hidden" r:id="rId8"/>
    <sheet name="Scoring_Orange" sheetId="15" state="hidden" r:id="rId9"/>
    <sheet name="Change Management-tracking_Oran" sheetId="24" state="hidden" r:id="rId10"/>
  </sheets>
  <externalReferences>
    <externalReference r:id="rId11"/>
  </externalReferences>
  <definedNames>
    <definedName name="_xlnm.Print_Area" localSheetId="6">'Administrative Appendix'!$A$1:$E$44</definedName>
    <definedName name="_xlnm.Print_Area" localSheetId="1">'Document Title'!$A$1:$B$27</definedName>
    <definedName name="_xlnm.Print_Area" localSheetId="2">Notice!$A$1:$A$24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8" l="1"/>
  <c r="C23" i="38"/>
  <c r="C22" i="38"/>
  <c r="C21" i="38"/>
  <c r="C20" i="38"/>
  <c r="C19" i="38"/>
  <c r="C18" i="38"/>
  <c r="C17" i="38"/>
  <c r="C16" i="38"/>
  <c r="D11" i="24" l="1"/>
  <c r="M10" i="24"/>
  <c r="L10" i="24"/>
  <c r="K10" i="24"/>
  <c r="J10" i="24"/>
  <c r="M9" i="24"/>
  <c r="L9" i="24"/>
  <c r="K9" i="24"/>
  <c r="J9" i="24"/>
  <c r="M8" i="24"/>
  <c r="L8" i="24"/>
  <c r="K8" i="24"/>
  <c r="J8" i="24"/>
  <c r="M7" i="24"/>
  <c r="L7" i="24"/>
  <c r="K7" i="24"/>
  <c r="J7" i="24"/>
  <c r="M6" i="24"/>
  <c r="L6" i="24"/>
  <c r="K6" i="24"/>
  <c r="J6" i="24"/>
  <c r="M5" i="24"/>
  <c r="L5" i="24"/>
  <c r="K5" i="24"/>
  <c r="J5" i="24"/>
  <c r="M4" i="24"/>
  <c r="L4" i="24"/>
  <c r="K4" i="24"/>
  <c r="J4" i="24"/>
  <c r="M3" i="24"/>
  <c r="L3" i="24"/>
  <c r="K3" i="24"/>
  <c r="J3" i="24"/>
  <c r="M2" i="24"/>
  <c r="L2" i="24"/>
  <c r="K2" i="24"/>
  <c r="J2" i="24"/>
  <c r="D13" i="15"/>
  <c r="Z12" i="15" a="1"/>
  <c r="Z12" i="15"/>
  <c r="Y12" i="15" a="1"/>
  <c r="Y12" i="15"/>
  <c r="W12" i="15"/>
  <c r="V12" i="15"/>
  <c r="U12" i="15"/>
  <c r="T12" i="15"/>
  <c r="S12" i="15"/>
  <c r="L12" i="15"/>
  <c r="K12" i="15"/>
  <c r="J12" i="15"/>
  <c r="I12" i="15"/>
  <c r="H12" i="15"/>
  <c r="G12" i="15"/>
  <c r="F12" i="15"/>
  <c r="Z11" i="15" a="1"/>
  <c r="Z11" i="15"/>
  <c r="Y11" i="15" a="1"/>
  <c r="Y11" i="15"/>
  <c r="W11" i="15"/>
  <c r="V11" i="15"/>
  <c r="U11" i="15"/>
  <c r="T11" i="15"/>
  <c r="S11" i="15"/>
  <c r="L11" i="15"/>
  <c r="K11" i="15"/>
  <c r="J11" i="15"/>
  <c r="I11" i="15"/>
  <c r="H11" i="15"/>
  <c r="G11" i="15"/>
  <c r="F11" i="15"/>
  <c r="Z10" i="15" a="1"/>
  <c r="Z10" i="15"/>
  <c r="Y10" i="15" a="1"/>
  <c r="Y10" i="15"/>
  <c r="W10" i="15"/>
  <c r="V10" i="15"/>
  <c r="U10" i="15"/>
  <c r="T10" i="15"/>
  <c r="S10" i="15"/>
  <c r="L10" i="15"/>
  <c r="K10" i="15"/>
  <c r="J10" i="15"/>
  <c r="I10" i="15"/>
  <c r="H10" i="15"/>
  <c r="G10" i="15"/>
  <c r="F10" i="15"/>
  <c r="Z9" i="15" a="1"/>
  <c r="Z9" i="15"/>
  <c r="Y9" i="15" a="1"/>
  <c r="Y9" i="15"/>
  <c r="W9" i="15"/>
  <c r="V9" i="15"/>
  <c r="U9" i="15"/>
  <c r="T9" i="15"/>
  <c r="S9" i="15"/>
  <c r="L9" i="15"/>
  <c r="K9" i="15"/>
  <c r="J9" i="15"/>
  <c r="I9" i="15"/>
  <c r="H9" i="15"/>
  <c r="G9" i="15"/>
  <c r="F9" i="15"/>
  <c r="Z8" i="15" a="1"/>
  <c r="Z8" i="15"/>
  <c r="Y8" i="15" a="1"/>
  <c r="Y8" i="15"/>
  <c r="W8" i="15"/>
  <c r="V8" i="15"/>
  <c r="U8" i="15"/>
  <c r="T8" i="15"/>
  <c r="S8" i="15"/>
  <c r="L8" i="15"/>
  <c r="K8" i="15"/>
  <c r="J8" i="15"/>
  <c r="I8" i="15"/>
  <c r="H8" i="15"/>
  <c r="G8" i="15"/>
  <c r="F8" i="15"/>
  <c r="Z7" i="15" a="1"/>
  <c r="Z7" i="15"/>
  <c r="Y7" i="15" a="1"/>
  <c r="Y7" i="15"/>
  <c r="W7" i="15"/>
  <c r="V7" i="15"/>
  <c r="U7" i="15"/>
  <c r="T7" i="15"/>
  <c r="S7" i="15"/>
  <c r="L7" i="15"/>
  <c r="K7" i="15"/>
  <c r="J7" i="15"/>
  <c r="I7" i="15"/>
  <c r="H7" i="15"/>
  <c r="G7" i="15"/>
  <c r="F7" i="15"/>
  <c r="Z6" i="15" a="1"/>
  <c r="Z6" i="15"/>
  <c r="Y6" i="15" a="1"/>
  <c r="Y6" i="15"/>
  <c r="W6" i="15"/>
  <c r="V6" i="15"/>
  <c r="U6" i="15"/>
  <c r="T6" i="15"/>
  <c r="S6" i="15"/>
  <c r="L6" i="15"/>
  <c r="K6" i="15"/>
  <c r="J6" i="15"/>
  <c r="I6" i="15"/>
  <c r="H6" i="15"/>
  <c r="G6" i="15"/>
  <c r="F6" i="15"/>
  <c r="Z5" i="15" a="1"/>
  <c r="Z5" i="15"/>
  <c r="Y5" i="15" a="1"/>
  <c r="Y5" i="15"/>
  <c r="W5" i="15"/>
  <c r="V5" i="15"/>
  <c r="U5" i="15"/>
  <c r="T5" i="15"/>
  <c r="S5" i="15"/>
  <c r="L5" i="15"/>
  <c r="K5" i="15"/>
  <c r="J5" i="15"/>
  <c r="I5" i="15"/>
  <c r="H5" i="15"/>
  <c r="G5" i="15"/>
  <c r="F5" i="15"/>
  <c r="AB4" i="15"/>
  <c r="AA4" i="15"/>
  <c r="Z4" i="15" a="1"/>
  <c r="Z4" i="15"/>
  <c r="Y4" i="15" a="1"/>
  <c r="Y4" i="15"/>
  <c r="X4" i="15"/>
  <c r="W4" i="15"/>
  <c r="V4" i="15"/>
  <c r="U4" i="15"/>
  <c r="T4" i="15"/>
  <c r="S4" i="15"/>
  <c r="M4" i="15"/>
  <c r="L4" i="15"/>
  <c r="K4" i="15"/>
  <c r="J4" i="15"/>
  <c r="I4" i="15"/>
  <c r="H4" i="15"/>
  <c r="G4" i="15"/>
  <c r="F4" i="15"/>
  <c r="D11" i="13"/>
  <c r="D14" i="26"/>
  <c r="X13" i="26"/>
  <c r="W13" i="26"/>
  <c r="U13" i="26"/>
  <c r="T13" i="26"/>
  <c r="R13" i="26"/>
  <c r="Q13" i="26"/>
  <c r="O13" i="26"/>
  <c r="N13" i="26"/>
  <c r="M13" i="26"/>
  <c r="L13" i="26"/>
  <c r="K13" i="26"/>
  <c r="J13" i="26"/>
  <c r="X12" i="26"/>
  <c r="W12" i="26"/>
  <c r="U12" i="26"/>
  <c r="T12" i="26"/>
  <c r="R12" i="26"/>
  <c r="Q12" i="26"/>
  <c r="O12" i="26"/>
  <c r="N12" i="26"/>
  <c r="M12" i="26"/>
  <c r="L12" i="26"/>
  <c r="K12" i="26"/>
  <c r="J12" i="26"/>
  <c r="X11" i="26"/>
  <c r="W11" i="26"/>
  <c r="U11" i="26"/>
  <c r="T11" i="26"/>
  <c r="R11" i="26"/>
  <c r="Q11" i="26"/>
  <c r="O11" i="26"/>
  <c r="N11" i="26"/>
  <c r="M11" i="26"/>
  <c r="L11" i="26"/>
  <c r="K11" i="26"/>
  <c r="J11" i="26"/>
  <c r="X10" i="26"/>
  <c r="W10" i="26"/>
  <c r="U10" i="26"/>
  <c r="T10" i="26"/>
  <c r="R10" i="26"/>
  <c r="Q10" i="26"/>
  <c r="O10" i="26"/>
  <c r="N10" i="26"/>
  <c r="M10" i="26"/>
  <c r="L10" i="26"/>
  <c r="K10" i="26"/>
  <c r="J10" i="26"/>
  <c r="X9" i="26"/>
  <c r="W9" i="26"/>
  <c r="U9" i="26"/>
  <c r="T9" i="26"/>
  <c r="R9" i="26"/>
  <c r="Q9" i="26"/>
  <c r="O9" i="26"/>
  <c r="N9" i="26"/>
  <c r="M9" i="26"/>
  <c r="L9" i="26"/>
  <c r="K9" i="26"/>
  <c r="J9" i="26"/>
  <c r="X8" i="26"/>
  <c r="W8" i="26"/>
  <c r="U8" i="26"/>
  <c r="T8" i="26"/>
  <c r="R8" i="26"/>
  <c r="Q8" i="26"/>
  <c r="O8" i="26"/>
  <c r="N8" i="26"/>
  <c r="M8" i="26"/>
  <c r="L8" i="26"/>
  <c r="K8" i="26"/>
  <c r="J8" i="26"/>
  <c r="X7" i="26"/>
  <c r="W7" i="26"/>
  <c r="U7" i="26"/>
  <c r="T7" i="26"/>
  <c r="R7" i="26"/>
  <c r="Q7" i="26"/>
  <c r="O7" i="26"/>
  <c r="N7" i="26"/>
  <c r="M7" i="26"/>
  <c r="L7" i="26"/>
  <c r="K7" i="26"/>
  <c r="J7" i="26"/>
  <c r="X6" i="26"/>
  <c r="W6" i="26"/>
  <c r="U6" i="26"/>
  <c r="T6" i="26"/>
  <c r="R6" i="26"/>
  <c r="Q6" i="26"/>
  <c r="O6" i="26"/>
  <c r="N6" i="26"/>
  <c r="M6" i="26"/>
  <c r="L6" i="26"/>
  <c r="K6" i="26"/>
  <c r="J6" i="26"/>
  <c r="Z5" i="26"/>
  <c r="Y5" i="26"/>
  <c r="X5" i="26"/>
  <c r="W5" i="26"/>
  <c r="V5" i="26"/>
  <c r="U5" i="26"/>
  <c r="T5" i="26"/>
  <c r="S5" i="26"/>
  <c r="R5" i="26"/>
  <c r="Q5" i="26"/>
  <c r="P5" i="26"/>
  <c r="O5" i="26"/>
  <c r="N5" i="26"/>
  <c r="M5" i="26"/>
  <c r="L5" i="26"/>
  <c r="K5" i="26"/>
  <c r="J5" i="26"/>
  <c r="D13" i="33"/>
</calcChain>
</file>

<file path=xl/sharedStrings.xml><?xml version="1.0" encoding="utf-8"?>
<sst xmlns="http://schemas.openxmlformats.org/spreadsheetml/2006/main" count="701" uniqueCount="343">
  <si>
    <t>I. Introduction</t>
  </si>
  <si>
    <t>The scope of this questionnaire is to assess CHANGE MANAGEMENT scenario</t>
  </si>
  <si>
    <t xml:space="preserve">The assessment is process-based and intended to be vendor-independent and where possible technology independent. 
</t>
  </si>
  <si>
    <t>This questionnaire aims to be network layer agnostic, although different evaluations of the same questionnaire are recommended (one per network layer)</t>
  </si>
  <si>
    <t>Change management  comprises the processes of software release management &amp; configuration change management</t>
  </si>
  <si>
    <t>Configuration changes can be triggered by any process that can change the network equipment configuration (from service provisioning to network evolution). Such changes must include testing before &amp; after the execution. 
The whole lifecycle of each change must be taken into account: config, delete, modify
Some examples: capacity upgrade, network function performance optimization, new parameters or settings configuration, new features activation,…</t>
  </si>
  <si>
    <t>Software-Release change: takes into account major &amp; minor software updates (including  'patches', for instance, for security)</t>
  </si>
  <si>
    <t>Such changes must include testing before &amp; after the execution. 
The whole lifecycle of each change must be taken into account: config, delete, modify</t>
  </si>
  <si>
    <t>We recommend you have the participation of relevant SMEs to complete the assessment (Engineers as well as automation experts)</t>
  </si>
  <si>
    <t>Each question is answered by selecting one of four options, A-D, option A being the highest level of autonomy and option D being the lowest</t>
  </si>
  <si>
    <t>More detailed guidelines per question are provided in the guideline section below</t>
  </si>
  <si>
    <t>II. Guideline for Answering ANL questionnaire - Version 2</t>
  </si>
  <si>
    <t>Cognitive Activity (IAADE)</t>
  </si>
  <si>
    <t>Service Capability</t>
  </si>
  <si>
    <t>Question</t>
  </si>
  <si>
    <t>Answering Guideline</t>
  </si>
  <si>
    <t>Intent</t>
  </si>
  <si>
    <t>Intent-driven</t>
  </si>
  <si>
    <t>How are change management activities (any kind of configuration change over the network elements, software upgrades) defined? Intents input can be: new service requirements, resolution of network incident, network performance optimization…</t>
  </si>
  <si>
    <r>
      <rPr>
        <sz val="10"/>
        <color theme="1"/>
        <rFont val="Arial"/>
        <charset val="134"/>
      </rPr>
      <t>"</t>
    </r>
    <r>
      <rPr>
        <i/>
        <sz val="10"/>
        <color theme="8" tint="-0.499984740745262"/>
        <rFont val="Arial"/>
        <charset val="134"/>
      </rPr>
      <t>The role of intent in autonomous networks is to communicate requirements, goals, constraints, and preferences to an autonomous system. This knowledge enables the system to evaluate the state of the controlled infrastructure and the utility of actions. It enables a level of autonomy where the system can adapt its behavior and generate new solutions instead of just following human-defined recipes and policies</t>
    </r>
    <r>
      <rPr>
        <sz val="10"/>
        <color theme="1"/>
        <rFont val="Arial"/>
        <charset val="134"/>
      </rPr>
      <t xml:space="preserve">." IG 1253 Intent in autonomous networks
(A) The system reacts to intent or change of intent and generates associated targets and policies autonomously.
(B) Same as A  but without autonomous reconciliation. No reconciliation or manual confirmation needed in the best scenario
(B) </t>
    </r>
    <r>
      <rPr>
        <sz val="10"/>
        <rFont val="Arial"/>
        <charset val="134"/>
      </rPr>
      <t>The system co</t>
    </r>
    <r>
      <rPr>
        <sz val="10"/>
        <color theme="1"/>
        <rFont val="Arial"/>
        <charset val="134"/>
      </rPr>
      <t>ntains prioritization and SLA information. This data is manually defined.
(C) Intent is a fully manual process and targets &amp; policies are defined by a Person,</t>
    </r>
    <r>
      <rPr>
        <sz val="10"/>
        <rFont val="Arial"/>
        <charset val="134"/>
      </rPr>
      <t xml:space="preserve"> not in a System
(D) No intent concept is supported</t>
    </r>
  </si>
  <si>
    <t>Awareness</t>
  </si>
  <si>
    <t>Data collection</t>
  </si>
  <si>
    <t>How are the inputs for the change management process collected?</t>
  </si>
  <si>
    <r>
      <rPr>
        <sz val="10"/>
        <color theme="1"/>
        <rFont val="Arial"/>
        <charset val="134"/>
      </rPr>
      <t xml:space="preserve">(A) The daily operation of the system is fully automatic and requires no human intervention to collect data or perform filtering. </t>
    </r>
    <r>
      <rPr>
        <sz val="10"/>
        <rFont val="Arial"/>
        <charset val="134"/>
      </rPr>
      <t>The initial set-up activity of the system is considered to be part of Intent.
(B) Intermediate state, where the acquisition of part of the systems is autonomous but others require manual intervention.</t>
    </r>
    <r>
      <rPr>
        <sz val="10"/>
        <color theme="1"/>
        <rFont val="Arial"/>
        <charset val="134"/>
      </rPr>
      <t xml:space="preserve">
(C) Some level of regular manual intervention to the system is required to collect data (e.g. interrogate the EMS for certain data, select values in combos) 
(D) Fully manual data collection </t>
    </r>
  </si>
  <si>
    <t>Analysis</t>
  </si>
  <si>
    <t>How collected information is analyzed and transform it into knowledge (the input for the decision phase)?</t>
  </si>
  <si>
    <t>(A) ML or Analytical model correlates multiple data sources automatically to derive knowledge from it. The system is not limited to a set of fixed rules
(B) Basic static correlation to analyze data and get some knowledge (fixed rules, user defined)
(C) Manual correlation of multiple data sources</t>
  </si>
  <si>
    <t>Prediction</t>
  </si>
  <si>
    <t>Which level of prediction capabilities does the change management process support?
For instance, for scenarios which can require such capabilities are capacity upgrade (to ensure the Hardware acquisition process is launched in advanced)</t>
  </si>
  <si>
    <t>(A) or (B) If the scenario involves use of a predictive system, then score A or B according to its capabilities in the specific scenario
(C) If the scenario does not use a predictive system, then C is applicable</t>
  </si>
  <si>
    <t>Decision</t>
  </si>
  <si>
    <t>Solution evaluation and decision-making</t>
  </si>
  <si>
    <t>Which level of self-evaluation and self-decision is supported by the change management process?</t>
  </si>
  <si>
    <t>(A) The system evaluates and decides the solution to be implemented (may be only one possible solution in some cases)
(B) Human-guided Automation: a person define a set of solutions to be triggered based on a set of rules based on a predefined list of scenarios.
(C) Fully manual evaluation and decision-making by a person</t>
  </si>
  <si>
    <t>Execution</t>
  </si>
  <si>
    <t>Remark common to any execution capability</t>
  </si>
  <si>
    <t xml:space="preserve"> Any automated change (software or configuration) that impact other processes (like crisis management and Disaster Recovery Plan) implies also verification of those processes in an automated way, except when physical aspects are required.</t>
  </si>
  <si>
    <t>Verification</t>
  </si>
  <si>
    <t>How are the executions of the change management process tested to ensure no problem has arisen due to the change?</t>
  </si>
  <si>
    <t>(A) The system evaluates and decides the result of the change based on autonomous service test. System can implement an autonomous roll-back if service test are KO
(B) Mix of autonomous and manual tests
(C) All tests launched by a person (although automated)
(D) All tests are executed manually</t>
  </si>
  <si>
    <t>Hardware integration</t>
  </si>
  <si>
    <t>How is new hardware integrated and configured?</t>
  </si>
  <si>
    <t>(A) Full Plug &amp; play process
(B) Some level of automation but not plug &amp; play
(C) Fully manual process</t>
  </si>
  <si>
    <t>Software integration</t>
  </si>
  <si>
    <t>How is software change management process executed?</t>
  </si>
  <si>
    <t>(A) System automatically runs software upgrade without any service impact
(B) Some automation tools, not for the whole process
(C) some level of automation, based on scripts mainly
(D) Full manual process</t>
  </si>
  <si>
    <t>Configuration integration</t>
  </si>
  <si>
    <t>How are configuration changes executed?</t>
  </si>
  <si>
    <t>(A) Full autonomous configuration process
(B) Automated configuration, human triggered
(C) Intermediate: some automated configurations, some still manual, for the same process
(D) Full manual process</t>
  </si>
  <si>
    <t>TM Forum Best Practice</t>
  </si>
  <si>
    <t xml:space="preserve">Core Network Change Management Questionnaire </t>
  </si>
  <si>
    <t>GB1524B</t>
  </si>
  <si>
    <t>Release Status</t>
  </si>
  <si>
    <t>Pre-production</t>
  </si>
  <si>
    <t>1.0.0</t>
  </si>
  <si>
    <t>Notice</t>
  </si>
  <si>
    <t>Copyright © TM Forum 2025. All Rights Reserved.</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</si>
  <si>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</si>
  <si>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</si>
  <si>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</si>
  <si>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Tel No.  +1 862 227 1648</t>
  </si>
  <si>
    <t>TM Forum Web Page: www.tmforum.org</t>
  </si>
  <si>
    <t>The questionnaire is aligned with the principles described in IG1252 and ETSI GR ENI 035 5.3.3 Network Change. Service Capabilities who are not available, require consensus.</t>
  </si>
  <si>
    <t>The participation of relevant Subject Matter Experts and automation experts involved in the Change management is required to complete the assessment</t>
  </si>
  <si>
    <t>Each question is answered by selecting one of the four options: A, B, C or D. Option A being the highest level of autonomy and option D being the lowest</t>
  </si>
  <si>
    <t xml:space="preserve">Change management comprises the processes of configuration changes. Configuration changes can be triggered by any process that can change the network equipment configuration (from service provisioning to network evolution). Such changes must include evaluation before &amp; after the execution. </t>
  </si>
  <si>
    <t>Dynamically Programable Rules: implies that the system uses rules that can be adjusted or modified in real-time based on changing conditions or requirements</t>
  </si>
  <si>
    <t>Sub-scenarios and related weighting are specific to the Communication Service Provider (CSP) and should be selected according to CSP priority and business objectives. Sub-scenarios are domain specific</t>
  </si>
  <si>
    <t xml:space="preserve">II. Guideline for Answering ANL Questionnaire </t>
  </si>
  <si>
    <t>How does the system handle intent translation, record change requests, and ensure successful intent fulfillment?
Note: intent includes but not limited to NEs upgrade、NEs parameter adjustment，one-click disaster recovery for NEs.</t>
  </si>
  <si>
    <t>(A) Change management Intent is entered by Human. The System translates the Intent to task targets. The System verifies Intent fulfillment based on Human confirmation
(B) Intent is expressed through predefined Rules and Policies. Intent fulfilment is manually verified.
(C) Change management activities are manually defined through basic templates.
Prior to set the Intent, the user should: Understand the end goal of the change, understand the change category and applicable CM policies (lead time for CR, node information/domains, severity/urgency, date/time, impact &amp; risk, fall back, evaluation criteria, approvals and Service Verification duration...)</t>
  </si>
  <si>
    <t xml:space="preserve">How are the inputs for the change management validated and accepted? </t>
  </si>
  <si>
    <t>(A) The System automatically validates and accepts the change request, without human intervention
(B) The System validates the change request but the change acceptance is manually done.
(C) Both change request validation and acceptance are done based on manually defined rules
(D) Both validation and acceptance are manually done.
Note1: It is assumed that the individual Change Request is recorded in the System and made available to be processed by the Change Management System
Note2: Change Request Acceptance (Feasibility) according to Network Policies.</t>
  </si>
  <si>
    <t>How does the System collect necessary information for change request?
Note: Necessary information includes but not limited to the NEs /associated NEs to be changed, the change scene and the change time.</t>
  </si>
  <si>
    <t>(A)  The System automatically collects change request information without human intervention. The System can intelligently require and collect the change request information, when key information is incomplete.
(B) The System collects change request information but needs human intervention
(C) The system collects change request information based on manually defined rules
(D) Change request information is collected manually.</t>
  </si>
  <si>
    <t>How does the System support network change requirements impact and risk analysis?</t>
  </si>
  <si>
    <t>(A) The System identifies requirements impacts and evaluate subsequent risk based on AI models without the need for Human intervention.
(B) The System identifies requirements impacts and evaluates subsequent risk based on Dynamically Programmable Rules/ML and may require Human confirmation.
(C) The System identifies requirements impacts and evaluates subsequent risk based on manually defined rules and templates..
(D) Change impact and risk analysis need to be manually evaluated based on Human expertise or through the execution of manual written procedures.</t>
  </si>
  <si>
    <t>How does the System generate the solution that supports the Change Request?</t>
  </si>
  <si>
    <t>(A) The System generates the solution based on AI models, without the need for Human intervention.
(B) The System generates the solution based on Dynamically Programmable Rules/ML and may require Human confirmation.
(C) The System generates the solution based on manually defined rules.
(D) Solutions are generated manually.</t>
  </si>
  <si>
    <t>How does the System support evaluating the solution, taking decision on the optimal solution and initiating approval for the submitted change request?
Note: Solution evaluation includes feasibility, alignment with change requests and potential network impact.</t>
  </si>
  <si>
    <t>(A) The System supports solution evaluation and decision for change request based on AI models, without the need for Human intervention.
(B) The System supports decision for change request based on Dynamically Programmable Rules/ML and may require Human confirmation (approval).
(C) The System supports solution evaluation and decision for change request based on manually defined rules.
(D) The solution evaluation and decision for change request is based on Human approval.</t>
  </si>
  <si>
    <t>How does the System evaluate the normality of the network before the change (including: backup, dial-up and inspection).E.g.: automatic health check
Note: Dial-up means simulating a call test to verify network connectivity.</t>
  </si>
  <si>
    <t>(A) The System verifies the normality of the network based on AI models, without the need for Human intervention.
(B) The System verifies the normality of the network based on Dynamically Programmable Rules/ML and may require Human confirmation.
(C) The System verifies the normality of the network based on manually defined rules
(D) The normality of the network is verified by Human.
Note3: Network Change Implementation requires that nothing is broken, before applying the change (claim the outcome  of the change implementation)</t>
  </si>
  <si>
    <t>How does the System implement the change in the network and roll-back in case of failure?</t>
  </si>
  <si>
    <t>(A)  The System automatically executes changes without Human intervention. If any issue is detected, an automated roll-back will be executed without Human intervention, and the issue report will be provided. If the roll-back fails, the automatic disaster recovery will be activated and excuted without Human intervention.
(B) The System executes changes based on manually defined rules. If any issue is detected, roll-back is executed based on Human intervention. If the roll-back fails, the disaster recovery will be activated and executed based on Human intervention
(C) Change implementation and roll-back (if necessary) are manually executed.</t>
  </si>
  <si>
    <t xml:space="preserve">How does the System verify and confirm the implementation results, and execute roll-back if the change requirement is not fulfilled? 
</t>
  </si>
  <si>
    <t>(A) The System automatically verifies change implementation, and ensures the alarms are cleared and no deterioration of performance, without Human intervention. If the change requirment is not fulfilled, the roll-back will be automatically activated and executed without Human intervention.
(B) The System verifies change implementation and checks the corresponding alarms but performance indicators are verified based on Human intervention. If the change requirment is not fulfilled, a roll-back will be activated by Human intervention and automatically executed.
(C) The system verifies change implementation but performance indicators and core network element alarms are verified based on manually defines rules. If the change requirment is not fulfilled, a roll-back will be manually executed.
(D) Change verification, alarms and performance indicators are manually verified. If the change requirment is not fulfilled, a roll-back will be manually executed.
Note4:  The Service Verification occurs within the lead time specified for the change request type and policies (After the execution is successfully verified, the standard preventive maintenance checks are in place to manage any deviation outside the maintenance window)
Note5: The cognitive loop is closed by Intent Fulfilment verification</t>
  </si>
  <si>
    <t>Process Flow</t>
  </si>
  <si>
    <t>Weight</t>
  </si>
  <si>
    <t>Option A</t>
  </si>
  <si>
    <t>Option B</t>
  </si>
  <si>
    <t>Option C</t>
  </si>
  <si>
    <t>Option D</t>
  </si>
  <si>
    <t>Answer</t>
  </si>
  <si>
    <t>Understanding of selecting the option</t>
  </si>
  <si>
    <t>Interpretating on question</t>
  </si>
  <si>
    <t>Standard Reference</t>
  </si>
  <si>
    <t>Configuration Change</t>
  </si>
  <si>
    <t>Service Lifecycle Management Changes</t>
  </si>
  <si>
    <t>Software Upgrade</t>
  </si>
  <si>
    <t>Other sub-scenarios to be defined by CSP</t>
  </si>
  <si>
    <t>Core Network Change Management</t>
  </si>
  <si>
    <t>Intent Translation, Change Request Record &amp; Intent Fulfilment</t>
  </si>
  <si>
    <t>Change management Intent is entered by Human. The System translates the Intent to task targets. The System verifies Intent fulfillment based on Human confirmation</t>
  </si>
  <si>
    <t xml:space="preserve">Intent is expressed through predefined Rules and Policies. Intent fulfilment is manually verified.  </t>
  </si>
  <si>
    <t>Change management activities are manually defined through basic templates.</t>
  </si>
  <si>
    <t xml:space="preserve">ETSI GR ENI 035 5.3.3 Network change- Task: Intent-management </t>
  </si>
  <si>
    <t>A</t>
  </si>
  <si>
    <t xml:space="preserve">Change Request Validation &amp; Acceptance </t>
  </si>
  <si>
    <t xml:space="preserve">The System automatically validates and accepts change requests without human intervention. </t>
  </si>
  <si>
    <t>The System validates the change request but the change acceptance is manually done.</t>
  </si>
  <si>
    <t>Both validation and acceptance are done based on manually defined rules.</t>
  </si>
  <si>
    <t>Both validation and acceptance are manually done.</t>
  </si>
  <si>
    <t xml:space="preserve">Change Request Information Collection </t>
  </si>
  <si>
    <t xml:space="preserve"> The System automatically collects change request information without human intervention. The System can intelligently require and collect the change request information, when key information is incomplete.</t>
  </si>
  <si>
    <t>The System collects change request information but needs human intervention</t>
  </si>
  <si>
    <t>The System collects change request information based on manually defined rules.</t>
  </si>
  <si>
    <t>Change request information is collected manually.</t>
  </si>
  <si>
    <t>ETSI GR ENI 035 5.3.3 Network change- Task: Resource survey</t>
  </si>
  <si>
    <t>Requirements Impact &amp; Risk Analysis</t>
  </si>
  <si>
    <t>The System identifies requirements impacts and evaluate subsequent risk based on AI models without the need for Human intervention.</t>
  </si>
  <si>
    <t>The System identifies requirements impacts and evaluate subsequent risk based on Dynamically Programmable Rules/ML, and may need Human confirmation</t>
  </si>
  <si>
    <t>The System identifies requirements impacts and evaluate subsequent risk based on manually defined rules and templates.</t>
  </si>
  <si>
    <t>Change impact and risk analysis need to be manually evaluated based on Human expertise or through the execution of manual written procedures.</t>
  </si>
  <si>
    <t>Network change Solution Generation</t>
  </si>
  <si>
    <t>The System generates the solution based on AI models without the need for Human intervention.</t>
  </si>
  <si>
    <t>The System generates the solution based on Dynamically Programmable Rules/ML, and may need Human confirmation</t>
  </si>
  <si>
    <t xml:space="preserve">The System generates the solution based on manually defined rules.
</t>
  </si>
  <si>
    <t>Solutions are generated manually.</t>
  </si>
  <si>
    <t>ETSI GR ENI 035 5.3.3 Network change- Task: Change analysis</t>
  </si>
  <si>
    <t>Network Change solution Evaluation &amp; Decision</t>
  </si>
  <si>
    <t>The System supports solution evaluation and decision for change request based on AI models, without the need for Human intervention.</t>
  </si>
  <si>
    <t>The System supports solution evaluation and decision for change request based on Dynamically Programmable Rules/ML and my need Human confirmation (approval)</t>
  </si>
  <si>
    <t>The System supports solution evaluation and decision for change request based on manually defined rules.</t>
  </si>
  <si>
    <t>The solution evaluation and decision for change request is based on Human approval.</t>
  </si>
  <si>
    <t>ETSI GR ENI 035 5.3.3 Network change- Task: Evaluation and Decision</t>
  </si>
  <si>
    <t>Network Normality  Verification</t>
  </si>
  <si>
    <t>The System verifies the normality of the network based on AI models, without the need for Human intervention.</t>
  </si>
  <si>
    <t>The System verifies the normality of the network based on Dynamically Programmable Rules/ML and may require Human confirmation.</t>
  </si>
  <si>
    <t>The System verifies the normality of the network based on manually defined rules.</t>
  </si>
  <si>
    <t>The normality of the network is verified by Human.</t>
  </si>
  <si>
    <t>Network Change Implementation</t>
  </si>
  <si>
    <t xml:space="preserve"> The System automatically executes changes without Human intervention. If any issue is detected, an automated roll-back will be executed without Human intervention, and the issue report will be provided. If the roll-back fails, the automatic disaster recovery will be activated and excuted without Human intervention.
Note: Disaster recovery for the core network  enables rapid service switching of the core network in the event of faults or disasters through automated technologies, ensuring the continuity of communication services.
</t>
  </si>
  <si>
    <t>The System executes changes based on manually defined rules. If any issue is detected, roll-back is executed based on Human intervention. If the roll-back fails, the disaster recovery will be activated and executed based on Human intervention</t>
  </si>
  <si>
    <t>Change implementation, roll-back and disaster recovery (if necessary) are manually executed.</t>
  </si>
  <si>
    <t>ETSI GR ENI 035 5.3.3 Network change- Task: Change implementation and service verification</t>
  </si>
  <si>
    <t>Service Verification</t>
  </si>
  <si>
    <t>The System automatically verifies change implementation, and ensures the alarms are cleared and no deterioration of performance, without Human intervention. If the change requirment is not fulfilled, the roll-back will be automatically activated and executed without Human intervention.
Note： For the core network, it is not enough to rely solely on KPI. It is necessary to ensure the normal overall operation of the system, and the performance of software and hardware has not decreased.</t>
  </si>
  <si>
    <t>The System verifies change implementation and checks the corresponding alarms but performance indicators are verified based on Human intervention. If the change requirment is not fulfilled, a roll-back will be activated by Human intervention and automatically executed.</t>
  </si>
  <si>
    <t>The system verifies change implementation but performance indicators and core network element alarms are verified based on manually defines rules. If the change requirment is not fulfilled, a roll-back will be manually executed.</t>
  </si>
  <si>
    <t>Change verification, alarms and performance indicators are manually verified. If the change requirment is not fulfilled, a roll-back will be manually executed.</t>
  </si>
  <si>
    <t>Note: Configuration change denotes modifications to parameters, policies, routing, or logical relationships of NEs</t>
  </si>
  <si>
    <t>Note: Service lifecycle management changes include new service provisioning, function deployment changes and decommissioning and coordinated with surrounding changes</t>
  </si>
  <si>
    <t>Note：Software change involves changes for version upgrades, and patch installations.</t>
  </si>
  <si>
    <t>Scoring Method - Average</t>
  </si>
  <si>
    <t>Scoring Method of Subscenarios</t>
  </si>
  <si>
    <t>Criteria</t>
  </si>
  <si>
    <t>Other sub-scenarios defined by CSP</t>
  </si>
  <si>
    <t>Final Score</t>
  </si>
  <si>
    <t>Service Change</t>
  </si>
  <si>
    <t>Original 
score</t>
  </si>
  <si>
    <t>Compensated score</t>
  </si>
  <si>
    <t>Overall
Score</t>
  </si>
  <si>
    <t>How does the System support evaluating the solution, taking decision on the optimal solution and initiating approval for the submitted change request?</t>
  </si>
  <si>
    <t>Network Normality Evaluation</t>
  </si>
  <si>
    <t>How does the System evaluate the normality of the network before the change (including: automatic backup, automatic dial-up and automatic inspection)</t>
  </si>
  <si>
    <t xml:space="preserve">How does the System verify and confirm the implementation results? </t>
  </si>
  <si>
    <t>Kevin McDonnell</t>
  </si>
  <si>
    <t>Huawei</t>
  </si>
  <si>
    <t>Project Chair</t>
  </si>
  <si>
    <t>Pedro Garcia Parra</t>
  </si>
  <si>
    <t>Telefónica</t>
  </si>
  <si>
    <t>Project Co-Chair</t>
  </si>
  <si>
    <t xml:space="preserve">Fernando Camacho </t>
  </si>
  <si>
    <t>Meng You</t>
  </si>
  <si>
    <t>China Mobile</t>
  </si>
  <si>
    <t>Author</t>
  </si>
  <si>
    <t>Yu He</t>
  </si>
  <si>
    <t>Jiayi Cai</t>
  </si>
  <si>
    <t>Xin Gao</t>
  </si>
  <si>
    <t>Ruowei Yin</t>
  </si>
  <si>
    <t>China Mobile Group Design Institute Co., Ltd.</t>
  </si>
  <si>
    <t>Nan Cheng</t>
  </si>
  <si>
    <t>Xuefeng Han</t>
  </si>
  <si>
    <t>Ruopei Guo</t>
  </si>
  <si>
    <t>Mengshu Zhang</t>
  </si>
  <si>
    <t>Xini Wang</t>
  </si>
  <si>
    <t>Hai Wang</t>
  </si>
  <si>
    <t>Xiaojie Feng</t>
  </si>
  <si>
    <t>Key Contributor</t>
  </si>
  <si>
    <t>Ligen Sun</t>
  </si>
  <si>
    <t>Yifu Liu</t>
  </si>
  <si>
    <t>Siyu Chen</t>
  </si>
  <si>
    <t>Fan Liu</t>
  </si>
  <si>
    <t>Xinyan He</t>
  </si>
  <si>
    <t>Bo Zhao</t>
  </si>
  <si>
    <t>Ao Shen</t>
  </si>
  <si>
    <t>Tong Liang</t>
  </si>
  <si>
    <t>Menghong Cheng</t>
  </si>
  <si>
    <t>Shouzhi Li</t>
  </si>
  <si>
    <t>Xiao Dong</t>
  </si>
  <si>
    <t>Yuling Chao</t>
  </si>
  <si>
    <t>Yi Fang</t>
  </si>
  <si>
    <t>Zhongliang Zhou</t>
  </si>
  <si>
    <t>China Mobile Henan</t>
  </si>
  <si>
    <t>Juan Luis Mulas</t>
  </si>
  <si>
    <t>Orange</t>
  </si>
  <si>
    <t>Eric LEVRARD</t>
  </si>
  <si>
    <t>Frederique Corbel</t>
  </si>
  <si>
    <t>Hussain H. Harboosh</t>
  </si>
  <si>
    <t>Saudi Telecom Company</t>
  </si>
  <si>
    <t>Tony Salim</t>
  </si>
  <si>
    <t>Ericsson</t>
  </si>
  <si>
    <t>David Condon</t>
  </si>
  <si>
    <t>Guoli Shi</t>
  </si>
  <si>
    <t>ZTE</t>
  </si>
  <si>
    <t>Wei He</t>
  </si>
  <si>
    <t>*Selected from: Project Chair, Project Co-Chair, Author, Editor, Key Contributor, Additional Input, Reviewer</t>
  </si>
  <si>
    <t>High-Value Scenario</t>
  </si>
  <si>
    <t>Change management</t>
  </si>
  <si>
    <t>Change management is requested through intent-based (declarative) API, which are able to translate high-level intents into task targets and policies. As an intent, there's a continuous reconciliation to ensure that the intent is always respected.</t>
  </si>
  <si>
    <t>Change management is requested through intent-based (declarative) APIs, which are able to translate high-level intents into task targets and policies. There's no continuous control to ensure the intent is respected.</t>
  </si>
  <si>
    <t>Change management activities are defined in imperative way through workflows and/or basic "templates".</t>
  </si>
  <si>
    <t>Neither intent nor imperative APIs are used. Every change management task requires a specific design (‘Low Level Design)</t>
  </si>
  <si>
    <t>B</t>
  </si>
  <si>
    <t>All the inputs are automatically collected (from OSS tools, inventories, network reconciliation process, supplier artifacts repositories…)</t>
  </si>
  <si>
    <t>Some inputs are collected automatically but others require human intervention.</t>
  </si>
  <si>
    <t>The inputs require manual selection from a portal or similar tool (simplifying data acquisition)</t>
  </si>
  <si>
    <t>Fully manual acquisition process of the inputs</t>
  </si>
  <si>
    <t>C</t>
  </si>
  <si>
    <t>Information is translated into knowledge thanks to dynamic (intelligent) rules</t>
  </si>
  <si>
    <t>The system can automatically make an analysis of the situation based on statically defined rules</t>
  </si>
  <si>
    <t>Fully human-driven analysis process</t>
  </si>
  <si>
    <t>The system is able to inform of future events (based on dynamic / intelligent rules) to ensure that actions (mainly non-automated ones) can be executed before they are needed.</t>
  </si>
  <si>
    <t>The system can identify potential future change management events based on manually defined (static) rules</t>
  </si>
  <si>
    <t>Prediction of future change management events must be human-driven</t>
  </si>
  <si>
    <t>The system automatically evaluates and determines the optimal action to fulfill the intent, based on dynamic rules.</t>
  </si>
  <si>
    <t>The system automatically evaluates and decides the action to execute based on static policy rules.</t>
  </si>
  <si>
    <t>The optimal solution needs to be manually evaluated and decided.</t>
  </si>
  <si>
    <t>Changes are tested automatically during the change execution. If any issue is detected (with the service or with any other related service that could be impacted by the change), an automated roll-back is executed</t>
  </si>
  <si>
    <t>Some automated tests are available and are automatically triggered during the execution. If an error is detected, automated roll-back is executed. Other tests remain to be human-triggered</t>
  </si>
  <si>
    <t>Only some automated tests are available but need to be triggered by human operator to check the execution result. No automated roll-back</t>
  </si>
  <si>
    <t>Manual tests are executed to check the result of the change</t>
  </si>
  <si>
    <t>Hardware installation is done through a zero-touch process (fully plug and play)</t>
  </si>
  <si>
    <t>Some of the process is automated but not zero-touch level is reached.</t>
  </si>
  <si>
    <t>Full manual process.</t>
  </si>
  <si>
    <t>Software upgrade/update can be done continuously with no human intervention and none or limited service impact.</t>
  </si>
  <si>
    <t>Software upgrade process is automated but in different steps that require human intervention to execute all the different steps. Some automation developments are intent-based; most of the automation are just simple scripts</t>
  </si>
  <si>
    <t>Some automation tools, and some software change/Release done remotely without any physical presence on the site</t>
  </si>
  <si>
    <t>Full manual process, with possible vendor tool assistance.</t>
  </si>
  <si>
    <t>The system can autonomously execute the configurations (and service/resource inventory) with no human intervention during the execution (not even to report the execution result). Intent-based execution.</t>
  </si>
  <si>
    <t>Humans use the system to trigger an automated execution of the configuration, through intent-based orchestrators.</t>
  </si>
  <si>
    <t>Humans are involved in the configuration change process. Part of the process is automated (although mainly with scripts) but other parts are still manual.</t>
  </si>
  <si>
    <t>Note: 1) The questionnaire is intended for pilot use and will serve as input for future standardization efforts. 2) It is subject to change as the pilot progresses.</t>
  </si>
  <si>
    <r>
      <rPr>
        <b/>
        <sz val="11"/>
        <color theme="1"/>
        <rFont val="Arial"/>
        <charset val="134"/>
      </rPr>
      <t>High-Value Scenario</t>
    </r>
  </si>
  <si>
    <r>
      <rPr>
        <b/>
        <sz val="11"/>
        <color theme="1"/>
        <rFont val="Arial"/>
        <charset val="134"/>
      </rPr>
      <t>Cognitive Activity (IAADE)</t>
    </r>
  </si>
  <si>
    <r>
      <rPr>
        <b/>
        <sz val="11"/>
        <color theme="1"/>
        <rFont val="Arial"/>
        <charset val="134"/>
      </rPr>
      <t>Service Capability</t>
    </r>
  </si>
  <si>
    <r>
      <rPr>
        <b/>
        <sz val="11"/>
        <color theme="1"/>
        <rFont val="Arial"/>
        <charset val="134"/>
      </rPr>
      <t>Weight</t>
    </r>
  </si>
  <si>
    <r>
      <rPr>
        <b/>
        <sz val="11"/>
        <color theme="1"/>
        <rFont val="Arial"/>
        <charset val="134"/>
      </rPr>
      <t>Question</t>
    </r>
  </si>
  <si>
    <t>Method 1: Average</t>
  </si>
  <si>
    <t>Method 2: Climbing</t>
  </si>
  <si>
    <t>Calculate</t>
  </si>
  <si>
    <r>
      <rPr>
        <b/>
        <sz val="11"/>
        <color theme="1"/>
        <rFont val="Arial"/>
        <charset val="134"/>
      </rPr>
      <t>Option A</t>
    </r>
  </si>
  <si>
    <r>
      <rPr>
        <b/>
        <sz val="11"/>
        <color theme="1"/>
        <rFont val="Arial"/>
        <charset val="134"/>
      </rPr>
      <t>Option B</t>
    </r>
  </si>
  <si>
    <r>
      <rPr>
        <b/>
        <sz val="11"/>
        <color theme="1"/>
        <rFont val="Arial"/>
        <charset val="134"/>
      </rPr>
      <t>Option C</t>
    </r>
  </si>
  <si>
    <r>
      <rPr>
        <b/>
        <sz val="11"/>
        <color theme="1"/>
        <rFont val="Arial"/>
        <charset val="134"/>
      </rPr>
      <t>Option D</t>
    </r>
  </si>
  <si>
    <t>Level 0</t>
  </si>
  <si>
    <t>Level 1</t>
  </si>
  <si>
    <t>Level 2</t>
  </si>
  <si>
    <t>Level 3</t>
  </si>
  <si>
    <t>Level 4</t>
  </si>
  <si>
    <t>Meet
Level1
Criteria?</t>
  </si>
  <si>
    <t>Meet
Level2
Criteria?</t>
  </si>
  <si>
    <t>Meet
Level3
Criteria?</t>
  </si>
  <si>
    <t>Meet
Level4
Criteria?</t>
  </si>
  <si>
    <t>Level
Base</t>
  </si>
  <si>
    <t>Next
Level
Require</t>
  </si>
  <si>
    <t>Meet Next
Level Require</t>
  </si>
  <si>
    <t>Level
Extra</t>
  </si>
  <si>
    <t>D</t>
  </si>
  <si>
    <t>Testing</t>
  </si>
  <si>
    <t>Hardware</t>
  </si>
  <si>
    <t>Software</t>
  </si>
  <si>
    <t>Configuration</t>
  </si>
  <si>
    <t>Note: Automatic formula calculation. Do not modify it.</t>
  </si>
  <si>
    <r>
      <rPr>
        <sz val="10"/>
        <color rgb="FF000000"/>
        <rFont val="Arial"/>
        <charset val="134"/>
      </rPr>
      <t>Change management is requested through intent-based (declarative) APIs</t>
    </r>
    <r>
      <rPr>
        <strike/>
        <sz val="10"/>
        <color rgb="FF000000"/>
        <rFont val="Arial"/>
        <charset val="134"/>
      </rPr>
      <t xml:space="preserve"> (TMF921 intent APIs when defined and specific intent APIs when not defined by TMF)</t>
    </r>
    <r>
      <rPr>
        <sz val="10"/>
        <color rgb="FF000000"/>
        <rFont val="Arial"/>
        <charset val="134"/>
      </rPr>
      <t xml:space="preserve">, which are able to translate high-level intents into task targets and policies </t>
    </r>
    <r>
      <rPr>
        <strike/>
        <sz val="10"/>
        <color rgb="FF000000"/>
        <rFont val="Arial"/>
        <charset val="134"/>
      </rPr>
      <t>and specific configurations of final network equipment</t>
    </r>
    <r>
      <rPr>
        <sz val="10"/>
        <color rgb="FF000000"/>
        <rFont val="Arial"/>
        <charset val="134"/>
      </rPr>
      <t>. As an intent, there's a continuous reconciliation to ensure that the intent is always respected.</t>
    </r>
  </si>
  <si>
    <r>
      <rPr>
        <sz val="10"/>
        <color rgb="FF000000"/>
        <rFont val="Arial"/>
        <charset val="134"/>
      </rPr>
      <t>Change management is requested through intent-based (declarative) APIs, which are able to translate high-level intents into task targets and policies</t>
    </r>
    <r>
      <rPr>
        <strike/>
        <sz val="10"/>
        <color rgb="FF000000"/>
        <rFont val="Arial"/>
        <charset val="134"/>
      </rPr>
      <t xml:space="preserve"> and specific configurations of final network equipment</t>
    </r>
    <r>
      <rPr>
        <sz val="10"/>
        <color rgb="FF000000"/>
        <rFont val="Arial"/>
        <charset val="134"/>
      </rPr>
      <t>. There's no continuous control to ensure the intent is respected.</t>
    </r>
  </si>
  <si>
    <t>Neither intent nor imperative APIs are used. Every change management task requires a specific design ( ‘Low Level Design)</t>
  </si>
  <si>
    <r>
      <rPr>
        <strike/>
        <sz val="10"/>
        <color rgb="FF000000"/>
        <rFont val="Arial"/>
        <charset val="134"/>
      </rPr>
      <t>Total</t>
    </r>
    <r>
      <rPr>
        <sz val="10"/>
        <color rgb="FF000000"/>
        <rFont val="Arial"/>
        <charset val="134"/>
      </rPr>
      <t>. Information is translated into knowledge thanks to dynamic (intelligent) rules</t>
    </r>
  </si>
  <si>
    <r>
      <rPr>
        <strike/>
        <sz val="10"/>
        <color rgb="FF000000"/>
        <rFont val="Arial"/>
        <charset val="134"/>
      </rPr>
      <t>Partially</t>
    </r>
    <r>
      <rPr>
        <sz val="10"/>
        <color rgb="FF000000"/>
        <rFont val="Arial"/>
        <charset val="134"/>
      </rPr>
      <t>. The system can automatically make an analysis of the situation based on statically defined rules</t>
    </r>
  </si>
  <si>
    <r>
      <rPr>
        <strike/>
        <sz val="10"/>
        <color rgb="FF000000"/>
        <rFont val="Arial"/>
        <charset val="134"/>
      </rPr>
      <t xml:space="preserve">No. </t>
    </r>
    <r>
      <rPr>
        <sz val="10"/>
        <color rgb="FF000000"/>
        <rFont val="Arial"/>
        <charset val="134"/>
      </rPr>
      <t>Fully human-driven analysis process</t>
    </r>
  </si>
  <si>
    <r>
      <rPr>
        <strike/>
        <sz val="10"/>
        <color rgb="FF000000"/>
        <rFont val="Arial"/>
        <charset val="134"/>
      </rPr>
      <t>Total. Based on intents,</t>
    </r>
    <r>
      <rPr>
        <sz val="10"/>
        <color rgb="FF000000"/>
        <rFont val="Arial"/>
        <charset val="134"/>
      </rPr>
      <t xml:space="preserve"> The system is able to inform of future events (based on dynamic / intelligent rules) to ensure that actions (mainly non-automated ones) can be executed before they are needed.</t>
    </r>
  </si>
  <si>
    <r>
      <rPr>
        <strike/>
        <sz val="10"/>
        <color rgb="FF000000"/>
        <rFont val="Arial"/>
        <charset val="134"/>
      </rPr>
      <t xml:space="preserve">Partial. </t>
    </r>
    <r>
      <rPr>
        <sz val="10"/>
        <color rgb="FF000000"/>
        <rFont val="Arial"/>
        <charset val="134"/>
      </rPr>
      <t>The system can identify potential future change management events based on manually defined (static) rules</t>
    </r>
  </si>
  <si>
    <r>
      <rPr>
        <strike/>
        <sz val="10"/>
        <color rgb="FF000000"/>
        <rFont val="Arial"/>
        <charset val="134"/>
      </rPr>
      <t xml:space="preserve">None. </t>
    </r>
    <r>
      <rPr>
        <sz val="10"/>
        <color rgb="FF000000"/>
        <rFont val="Arial"/>
        <charset val="134"/>
      </rPr>
      <t>Prediction of future change management events must be human-driven</t>
    </r>
  </si>
  <si>
    <r>
      <rPr>
        <strike/>
        <sz val="10"/>
        <color rgb="FF000000"/>
        <rFont val="Arial"/>
        <charset val="134"/>
      </rPr>
      <t>Total.</t>
    </r>
    <r>
      <rPr>
        <sz val="10"/>
        <color rgb="FF000000"/>
        <rFont val="Arial"/>
        <charset val="134"/>
      </rPr>
      <t xml:space="preserve"> The system automatically evaluates and determines the optimal action to fulfill the intent, based on dynamic rules.</t>
    </r>
  </si>
  <si>
    <r>
      <rPr>
        <strike/>
        <sz val="10"/>
        <color rgb="FF000000"/>
        <rFont val="Arial"/>
        <charset val="134"/>
      </rPr>
      <t>Partial.</t>
    </r>
    <r>
      <rPr>
        <sz val="10"/>
        <color rgb="FF000000"/>
        <rFont val="Arial"/>
        <charset val="134"/>
      </rPr>
      <t xml:space="preserve"> The system automatically evaluates and decides the action to execute based on static policy rules.</t>
    </r>
  </si>
  <si>
    <r>
      <rPr>
        <strike/>
        <sz val="10"/>
        <color rgb="FF000000"/>
        <rFont val="Arial"/>
        <charset val="134"/>
      </rPr>
      <t xml:space="preserve">None. </t>
    </r>
    <r>
      <rPr>
        <sz val="10"/>
        <color rgb="FF000000"/>
        <rFont val="Arial"/>
        <charset val="134"/>
      </rPr>
      <t>The optimal solution needs to be manually evaluated and decided.</t>
    </r>
  </si>
  <si>
    <r>
      <rPr>
        <strike/>
        <sz val="10"/>
        <color rgb="FF000000"/>
        <rFont val="Arial"/>
        <charset val="134"/>
      </rPr>
      <t>Total.</t>
    </r>
    <r>
      <rPr>
        <sz val="10"/>
        <color rgb="FF000000"/>
        <rFont val="Arial"/>
        <charset val="134"/>
      </rPr>
      <t xml:space="preserve"> Changes are tested automatically during the change execution. If any issue is detected (with the service or with any other related service that could be impacted by the change), an automated roll-back is executed</t>
    </r>
  </si>
  <si>
    <r>
      <rPr>
        <strike/>
        <sz val="10"/>
        <color rgb="FF000000"/>
        <rFont val="Arial"/>
        <charset val="134"/>
      </rPr>
      <t xml:space="preserve">Partial. </t>
    </r>
    <r>
      <rPr>
        <sz val="10"/>
        <color rgb="FF000000"/>
        <rFont val="Arial"/>
        <charset val="134"/>
      </rPr>
      <t>Some automated tests are available and are automatically triggered during the execution. If an error is detected, automated roll-back is executed. Other tests remain to be human-triggered</t>
    </r>
  </si>
  <si>
    <r>
      <rPr>
        <strike/>
        <sz val="10"/>
        <color rgb="FF000000"/>
        <rFont val="Arial"/>
        <charset val="134"/>
      </rPr>
      <t xml:space="preserve">Partial. </t>
    </r>
    <r>
      <rPr>
        <sz val="10"/>
        <color rgb="FF000000"/>
        <rFont val="Arial"/>
        <charset val="134"/>
      </rPr>
      <t>Only some automated tests are available but need to be triggered by human operator to check the execution result. No automated roll-back</t>
    </r>
  </si>
  <si>
    <r>
      <rPr>
        <strike/>
        <sz val="10"/>
        <color rgb="FF000000"/>
        <rFont val="Arial"/>
        <charset val="134"/>
      </rPr>
      <t>Total.</t>
    </r>
    <r>
      <rPr>
        <sz val="10"/>
        <color rgb="FF000000"/>
        <rFont val="Arial"/>
        <charset val="134"/>
      </rPr>
      <t xml:space="preserve"> Hardware installation is done through a zero-touch process (fully plug and play)</t>
    </r>
  </si>
  <si>
    <r>
      <rPr>
        <strike/>
        <sz val="10"/>
        <color rgb="FF000000"/>
        <rFont val="Arial"/>
        <charset val="134"/>
      </rPr>
      <t>Partial.</t>
    </r>
    <r>
      <rPr>
        <sz val="10"/>
        <color rgb="FF000000"/>
        <rFont val="Arial"/>
        <charset val="134"/>
      </rPr>
      <t xml:space="preserve"> Some of the process is automated but not zero-touch level is reached.</t>
    </r>
  </si>
  <si>
    <r>
      <rPr>
        <strike/>
        <sz val="10"/>
        <color rgb="FF000000"/>
        <rFont val="Arial"/>
        <charset val="134"/>
      </rPr>
      <t>None.</t>
    </r>
    <r>
      <rPr>
        <sz val="10"/>
        <color rgb="FF000000"/>
        <rFont val="Arial"/>
        <charset val="134"/>
      </rPr>
      <t xml:space="preserve"> Full manual process.</t>
    </r>
  </si>
  <si>
    <r>
      <rPr>
        <strike/>
        <sz val="10"/>
        <color rgb="FF000000"/>
        <rFont val="Arial"/>
        <charset val="134"/>
      </rPr>
      <t>Fully automated</t>
    </r>
    <r>
      <rPr>
        <sz val="10"/>
        <color rgb="FF000000"/>
        <rFont val="Arial"/>
        <charset val="134"/>
      </rPr>
      <t>. Software upgrade/update can be done continuously with no human intervention and none or limited service impact.*</t>
    </r>
  </si>
  <si>
    <r>
      <rPr>
        <strike/>
        <sz val="10"/>
        <color rgb="FF000000"/>
        <rFont val="Arial"/>
        <charset val="134"/>
      </rPr>
      <t>Partial.</t>
    </r>
    <r>
      <rPr>
        <sz val="10"/>
        <color rgb="FF000000"/>
        <rFont val="Arial"/>
        <charset val="134"/>
      </rPr>
      <t xml:space="preserve"> Software upgrade process is automated but in different steps that require human intervention to execute all the different steps. Some automation developments are intent-based; most of the automation are just simple scripts</t>
    </r>
  </si>
  <si>
    <r>
      <rPr>
        <strike/>
        <sz val="10"/>
        <color rgb="FF000000"/>
        <rFont val="Arial"/>
        <charset val="134"/>
      </rPr>
      <t>Total.</t>
    </r>
    <r>
      <rPr>
        <sz val="10"/>
        <color rgb="FF000000"/>
        <rFont val="Arial"/>
        <charset val="134"/>
      </rPr>
      <t xml:space="preserve"> The system can autonomously execute the configurations (and service/resource inventory) with no human intervention during the execution (not even to report the execution result). Intent-based execution,*</t>
    </r>
  </si>
  <si>
    <r>
      <rPr>
        <strike/>
        <sz val="10"/>
        <color rgb="FF000000"/>
        <rFont val="Arial"/>
        <charset val="134"/>
      </rPr>
      <t>Partial.</t>
    </r>
    <r>
      <rPr>
        <sz val="10"/>
        <color rgb="FF000000"/>
        <rFont val="Arial"/>
        <charset val="134"/>
      </rPr>
      <t xml:space="preserve"> Humans use the system to trigger an automated execution of the configuration, through intent-based orchestrators.</t>
    </r>
  </si>
  <si>
    <r>
      <rPr>
        <strike/>
        <sz val="10"/>
        <color rgb="FF000000"/>
        <rFont val="Arial"/>
        <charset val="134"/>
      </rPr>
      <t xml:space="preserve">Partial. </t>
    </r>
    <r>
      <rPr>
        <sz val="10"/>
        <color rgb="FF000000"/>
        <rFont val="Arial"/>
        <charset val="134"/>
      </rPr>
      <t>Humans are involved in the configuration change process. Part of the process is automated (although mainly with scripts) but other parts are still manual.</t>
    </r>
  </si>
  <si>
    <r>
      <rPr>
        <strike/>
        <sz val="10"/>
        <color rgb="FF000000"/>
        <rFont val="Arial"/>
        <charset val="134"/>
      </rPr>
      <t>None</t>
    </r>
    <r>
      <rPr>
        <sz val="10"/>
        <color rgb="FF000000"/>
        <rFont val="Arial"/>
        <charset val="134"/>
      </rPr>
      <t>. Full manual process.</t>
    </r>
  </si>
  <si>
    <t>Release Status:  Pre-production</t>
  </si>
  <si>
    <t>Approval Status:  Team Approved</t>
  </si>
  <si>
    <t>IPR Mode: RAND</t>
  </si>
  <si>
    <t xml:space="preserve">©TM Forum 2025. All Rights Reserved. </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</si>
  <si>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
        <rFont val="Aptos"/>
        <family val="2"/>
      </rPr>
      <t>TM FORUM IPR Policy</t>
    </r>
    <r>
      <rPr>
        <sz val="12"/>
        <color theme="1"/>
        <rFont val="Aptos"/>
        <family val="2"/>
      </rPr>
      <t>, must be followed) or as required to translate it into languages other than English.</t>
    </r>
  </si>
  <si>
    <t>100 Enterprise Drive</t>
  </si>
  <si>
    <t>Suite 301 #1649</t>
  </si>
  <si>
    <t>Rockaway, NJ 07866 USA</t>
  </si>
  <si>
    <t>©TM Forum 2025. All Rights Reserved.</t>
  </si>
  <si>
    <t>Administrative Appendix</t>
  </si>
  <si>
    <t>Document History</t>
  </si>
  <si>
    <t>Version History</t>
  </si>
  <si>
    <t>Version Number</t>
  </si>
  <si>
    <t>Date Modified</t>
  </si>
  <si>
    <t>Modified by:</t>
  </si>
  <si>
    <t>Description of Change</t>
  </si>
  <si>
    <t>Alan Pope</t>
  </si>
  <si>
    <t>Final edits prior to publication</t>
  </si>
  <si>
    <t>Release History</t>
  </si>
  <si>
    <t>Initial Release</t>
  </si>
  <si>
    <t>Acknowledgements</t>
  </si>
  <si>
    <t>This document was prepared by the members of the Autonomous Networks Project team.</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</si>
  <si>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</si>
  <si>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</si>
  <si>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</si>
  <si>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Asser El Nahas</t>
  </si>
  <si>
    <t>TM Forum</t>
  </si>
  <si>
    <t>Reviewer, Editor</t>
  </si>
  <si>
    <t>The purpose of this questionnaire is to assess the autonomy level of Change Management scenarios for Core Networks. The assessment is intended to be vendor-independent</t>
  </si>
  <si>
    <t xml:space="preserve">The whole lifecycle of each change management must be taken into account from change submission, until service validation. </t>
  </si>
  <si>
    <t>On the "Scoring" sheet, the assessor should manually link the Option selection on column "J", to the relevant sub-scenario on "Core Network Change Management" sheet.</t>
  </si>
  <si>
    <t>Team Approved Date: 25-Mar-2026</t>
  </si>
  <si>
    <t>Version 1.1.0</t>
  </si>
  <si>
    <t>Maturity Level: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</si>
</sst>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dd\-mmm\-yyyy"/>
  </numFmts>
  <fonts count="74">
    <font>
      <sz val="11"/>
      <color theme="1"/>
      <name val="Calibri"/>
      <charset val="134"/>
      <scheme val="minor"/>
    </font>
    <font>
      <sz val="11"/>
      <color theme="1"/>
      <name val="Calibri"/>
      <family val="2"/>
      <scheme val="minor"/>
    </font>
    <font>
      <sz val="10"/>
      <color theme="1"/>
      <name val="Arial"/>
      <charset val="134"/>
    </font>
    <font>
      <b/>
      <sz val="10"/>
      <color theme="1"/>
      <name val="Arial"/>
      <charset val="134"/>
    </font>
    <font>
      <sz val="10"/>
      <color rgb="FF000000"/>
      <name val="Arial"/>
      <charset val="134"/>
    </font>
    <font>
      <b/>
      <sz val="11"/>
      <color theme="1"/>
      <name val="Arial"/>
      <charset val="134"/>
    </font>
    <font>
      <sz val="10"/>
      <color rgb="FF0070C0"/>
      <name val="Arial"/>
      <charset val="134"/>
    </font>
    <font>
      <sz val="10"/>
      <name val="Arial"/>
      <charset val="134"/>
    </font>
    <font>
      <sz val="11"/>
      <color theme="1"/>
      <name val="Arial"/>
      <charset val="134"/>
    </font>
    <font>
      <b/>
      <sz val="11"/>
      <color rgb="FF0070C0"/>
      <name val="Arial"/>
      <charset val="134"/>
    </font>
    <font>
      <b/>
      <sz val="10"/>
      <color rgb="FF0070C0"/>
      <name val="Arial"/>
      <charset val="134"/>
    </font>
    <font>
      <sz val="8"/>
      <name val="Arial"/>
      <charset val="134"/>
    </font>
    <font>
      <sz val="11"/>
      <name val="Arial"/>
      <charset val="134"/>
    </font>
    <font>
      <sz val="9"/>
      <color theme="1"/>
      <name val="Arial"/>
      <charset val="134"/>
    </font>
    <font>
      <b/>
      <sz val="9"/>
      <color theme="1"/>
      <name val="Arial"/>
      <charset val="134"/>
    </font>
    <font>
      <sz val="9"/>
      <color rgb="FF000000"/>
      <name val="Arial"/>
      <charset val="134"/>
    </font>
    <font>
      <b/>
      <sz val="9"/>
      <name val="Arial"/>
      <charset val="134"/>
    </font>
    <font>
      <b/>
      <sz val="10"/>
      <name val="Arial"/>
      <charset val="134"/>
    </font>
    <font>
      <sz val="9"/>
      <color theme="1"/>
      <name val="Calibri"/>
      <charset val="134"/>
      <scheme val="minor"/>
    </font>
    <font>
      <b/>
      <sz val="9"/>
      <color theme="1"/>
      <name val="Calibri"/>
      <charset val="134"/>
      <scheme val="minor"/>
    </font>
    <font>
      <b/>
      <sz val="9"/>
      <color rgb="FF000000"/>
      <name val="Calibri"/>
      <charset val="134"/>
      <scheme val="minor"/>
    </font>
    <font>
      <sz val="9"/>
      <color rgb="FF000000"/>
      <name val="Calibri"/>
      <charset val="134"/>
      <scheme val="minor"/>
    </font>
    <font>
      <sz val="9"/>
      <name val="Calibri"/>
      <charset val="134"/>
      <scheme val="minor"/>
    </font>
    <font>
      <b/>
      <sz val="9"/>
      <color rgb="FF0070C0"/>
      <name val="Calibri"/>
      <charset val="134"/>
      <scheme val="minor"/>
    </font>
    <font>
      <sz val="9"/>
      <name val="Calibri"/>
      <charset val="134"/>
      <scheme val="minor"/>
    </font>
    <font>
      <sz val="9"/>
      <color theme="1"/>
      <name val="Calibri"/>
      <charset val="134"/>
      <scheme val="minor"/>
    </font>
    <font>
      <b/>
      <sz val="11"/>
      <color theme="1"/>
      <name val="Calibri"/>
      <charset val="134"/>
      <scheme val="minor"/>
    </font>
    <font>
      <b/>
      <sz val="9"/>
      <color theme="1"/>
      <name val="Calibri"/>
      <charset val="134"/>
      <scheme val="minor"/>
    </font>
    <font>
      <sz val="9"/>
      <color rgb="FF000000"/>
      <name val="Calibri"/>
      <charset val="134"/>
      <scheme val="minor"/>
    </font>
    <font>
      <sz val="9"/>
      <color theme="1"/>
      <name val="Calibri"/>
      <charset val="134"/>
      <scheme val="minor"/>
    </font>
    <font>
      <b/>
      <sz val="12"/>
      <color theme="1"/>
      <name val="Arial"/>
      <charset val="134"/>
    </font>
    <font>
      <sz val="11"/>
      <name val="宋体"/>
      <charset val="134"/>
    </font>
    <font>
      <i/>
      <sz val="10"/>
      <color theme="8" tint="-0.499984740745262"/>
      <name val="Arial"/>
      <charset val="134"/>
    </font>
    <font>
      <strike/>
      <sz val="10"/>
      <color rgb="FF000000"/>
      <name val="Arial"/>
      <charset val="134"/>
    </font>
    <font>
      <sz val="11"/>
      <color theme="1"/>
      <name val="Calibri"/>
      <charset val="134"/>
      <scheme val="minor"/>
    </font>
    <font>
      <sz val="10"/>
      <color rgb="FF000000"/>
      <name val="Calibri"/>
      <family val="2"/>
      <scheme val="minor"/>
    </font>
    <font>
      <sz val="10"/>
      <color theme="1"/>
      <name val="Arial"/>
      <family val="2"/>
    </font>
    <font>
      <b/>
      <sz val="28"/>
      <color rgb="FFC00000"/>
      <name val="Georgia"/>
      <family val="1"/>
    </font>
    <font>
      <b/>
      <sz val="28"/>
      <color rgb="FFD91241"/>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11"/>
      <color rgb="FF000000"/>
      <name val="Aptos"/>
      <family val="2"/>
    </font>
    <font>
      <u/>
      <sz val="11"/>
      <color theme="10"/>
      <name val="Verdana"/>
      <family val="2"/>
    </font>
    <font>
      <sz val="12"/>
      <color theme="1"/>
      <name val="Aptos"/>
      <family val="2"/>
    </font>
    <font>
      <u/>
      <sz val="12"/>
      <color theme="1"/>
      <name val="Aptos"/>
      <family val="2"/>
    </font>
    <font>
      <sz val="11"/>
      <color theme="1"/>
      <name val="Aptos"/>
      <family val="2"/>
    </font>
    <font>
      <sz val="12"/>
      <color rgb="FF000000"/>
      <name val="Aptos"/>
      <family val="2"/>
    </font>
    <font>
      <u/>
      <sz val="12"/>
      <color theme="10"/>
      <name val="Aptos"/>
      <family val="2"/>
    </font>
    <font>
      <u/>
      <sz val="11"/>
      <color theme="10"/>
      <name val="Aptos"/>
      <family val="2"/>
    </font>
    <font>
      <b/>
      <sz val="10"/>
      <color rgb="FF000000"/>
      <name val="Aptos"/>
      <family val="2"/>
    </font>
    <font>
      <b/>
      <sz val="20"/>
      <color rgb="FFD91241"/>
      <name val="Aptos"/>
      <family val="2"/>
    </font>
    <font>
      <sz val="10"/>
      <color rgb="FFD91241"/>
      <name val="Aptos"/>
      <family val="2"/>
    </font>
    <font>
      <b/>
      <sz val="12"/>
      <color rgb="FFD91241"/>
      <name val="Aptos"/>
      <family val="2"/>
    </font>
    <font>
      <b/>
      <sz val="12"/>
      <color rgb="FF000000"/>
      <name val="Aptos"/>
      <family val="2"/>
    </font>
    <font>
      <sz val="12"/>
      <color rgb="FFD91241"/>
      <name val="Aptos"/>
      <family val="2"/>
    </font>
    <font>
      <sz val="11"/>
      <color rgb="FF000000"/>
      <name val="Verdana"/>
      <family val="2"/>
    </font>
    <font>
      <b/>
      <sz val="11"/>
      <color rgb="FF000000"/>
      <name val="Aptos"/>
      <family val="2"/>
    </font>
    <font>
      <i/>
      <sz val="11"/>
      <color rgb="FF172B4D"/>
      <name val="Aptos"/>
      <family val="2"/>
    </font>
    <font>
      <sz val="9"/>
      <name val="Calibri"/>
      <family val="2"/>
    </font>
    <font>
      <b/>
      <sz val="9"/>
      <color rgb="FF0070C0"/>
      <name val="Calibri"/>
      <family val="2"/>
    </font>
    <font>
      <sz val="9"/>
      <color rgb="FF000000"/>
      <name val="Calibri"/>
      <family val="2"/>
    </font>
    <font>
      <b/>
      <sz val="9"/>
      <color rgb="FF000000"/>
      <name val="Calibri"/>
      <family val="2"/>
    </font>
    <font>
      <sz val="11"/>
      <name val="Calibri"/>
      <family val="2"/>
      <scheme val="minor"/>
    </font>
    <font>
      <sz val="9"/>
      <color theme="1"/>
      <name val="Calibri"/>
      <family val="2"/>
      <scheme val="minor"/>
    </font>
    <font>
      <b/>
      <sz val="9"/>
      <color theme="0"/>
      <name val="Calibri"/>
      <family val="2"/>
      <scheme val="minor"/>
    </font>
    <font>
      <b/>
      <sz val="9"/>
      <color theme="1"/>
      <name val="Arial"/>
      <family val="2"/>
    </font>
    <font>
      <b/>
      <sz val="9"/>
      <color theme="0"/>
      <name val="Arial"/>
      <family val="2"/>
    </font>
    <font>
      <b/>
      <sz val="9"/>
      <color theme="1"/>
      <name val="Calibri"/>
      <family val="2"/>
      <scheme val="minor"/>
    </font>
    <font>
      <sz val="9"/>
      <color rgb="FF000000"/>
      <name val="Calibri"/>
      <family val="2"/>
      <scheme val="minor"/>
    </font>
    <font>
      <sz val="9"/>
      <name val="Calibri"/>
      <family val="2"/>
      <scheme val="minor"/>
    </font>
  </fonts>
  <fills count="28">
    <fill>
      <patternFill patternType="none"/>
    </fill>
    <fill>
      <patternFill patternType="gray125"/>
    </fill>
    <fill>
      <patternFill patternType="solid">
        <fgColor theme="8" tint="0.59999389629810485"/>
        <bgColor indexed="64"/>
      </patternFill>
    </fill>
    <fill>
      <patternFill patternType="solid">
        <fgColor rgb="FFD9E1F2"/>
        <bgColor indexed="64"/>
      </patternFill>
    </fill>
    <fill>
      <patternFill patternType="solid">
        <fgColor theme="0"/>
        <bgColor indexed="64"/>
      </patternFill>
    </fill>
    <fill>
      <patternFill patternType="solid">
        <fgColor theme="9" tint="0.79958494827112647"/>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8" tint="0.79961546678060247"/>
        <bgColor indexed="64"/>
      </patternFill>
    </fill>
    <fill>
      <patternFill patternType="solid">
        <fgColor theme="7" tint="0.79961546678060247"/>
        <bgColor indexed="64"/>
      </patternFill>
    </fill>
    <fill>
      <patternFill patternType="solid">
        <fgColor theme="9" tint="0.79961546678060247"/>
        <bgColor indexed="64"/>
      </patternFill>
    </fill>
    <fill>
      <patternFill patternType="solid">
        <fgColor theme="3" tint="0.79970702230903046"/>
        <bgColor indexed="64"/>
      </patternFill>
    </fill>
    <fill>
      <patternFill patternType="solid">
        <fgColor theme="8" tint="0.79970702230903046"/>
        <bgColor indexed="64"/>
      </patternFill>
    </fill>
    <fill>
      <patternFill patternType="solid">
        <fgColor theme="7" tint="0.59999389629810485"/>
        <bgColor rgb="FF000000"/>
      </patternFill>
    </fill>
    <fill>
      <patternFill patternType="solid">
        <fgColor theme="7" tint="0.59999389629810485"/>
        <bgColor indexed="64"/>
      </patternFill>
    </fill>
    <fill>
      <patternFill patternType="solid">
        <fgColor theme="8" tint="0.59999389629810485"/>
        <bgColor rgb="FF000000"/>
      </patternFill>
    </fill>
    <fill>
      <patternFill patternType="solid">
        <fgColor theme="9" tint="0.59999389629810485"/>
        <bgColor rgb="FF000000"/>
      </patternFill>
    </fill>
    <fill>
      <patternFill patternType="solid">
        <fgColor theme="9" tint="0.59999389629810485"/>
        <bgColor indexed="64"/>
      </patternFill>
    </fill>
    <fill>
      <patternFill patternType="solid">
        <fgColor theme="6" tint="0.59999389629810485"/>
        <bgColor rgb="FF000000"/>
      </patternFill>
    </fill>
    <fill>
      <patternFill patternType="solid">
        <fgColor theme="6" tint="0.59999389629810485"/>
        <bgColor indexed="64"/>
      </patternFill>
    </fill>
    <fill>
      <patternFill patternType="solid">
        <fgColor rgb="FFFDE9D9"/>
        <bgColor rgb="FF000000"/>
      </patternFill>
    </fill>
    <fill>
      <patternFill patternType="solid">
        <fgColor theme="9" tint="0.79967650379955446"/>
        <bgColor indexed="64"/>
      </patternFill>
    </fill>
    <fill>
      <patternFill patternType="solid">
        <fgColor theme="9" tint="0.79992065187536243"/>
        <bgColor indexed="64"/>
      </patternFill>
    </fill>
    <fill>
      <patternFill patternType="solid">
        <fgColor theme="9" tint="0.79992065187536243"/>
        <bgColor indexed="64"/>
      </patternFill>
    </fill>
    <fill>
      <patternFill patternType="solid">
        <fgColor theme="7" tint="0.79970702230903046"/>
        <bgColor indexed="64"/>
      </patternFill>
    </fill>
    <fill>
      <patternFill patternType="solid">
        <fgColor theme="4"/>
        <bgColor indexed="64"/>
      </patternFill>
    </fill>
    <fill>
      <patternFill patternType="solid">
        <fgColor theme="3" tint="0.79995117038483843"/>
        <bgColor indexed="64"/>
      </patternFill>
    </fill>
    <fill>
      <patternFill patternType="solid">
        <fgColor rgb="FFF4F5F7"/>
        <bgColor indexed="64"/>
      </patternFill>
    </fill>
  </fills>
  <borders count="74">
    <border>
      <left/>
      <right/>
      <top/>
      <bottom/>
      <diagonal/>
    </border>
    <border>
      <left style="thin">
        <color auto="1"/>
      </left>
      <right style="thin">
        <color auto="1"/>
      </right>
      <top style="thin">
        <color auto="1"/>
      </top>
      <bottom style="thin">
        <color auto="1"/>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auto="1"/>
      </left>
      <right style="medium">
        <color rgb="FF000000"/>
      </right>
      <top style="medium">
        <color rgb="FF000000"/>
      </top>
      <bottom/>
      <diagonal/>
    </border>
    <border>
      <left style="thin">
        <color auto="1"/>
      </left>
      <right style="medium">
        <color rgb="FF000000"/>
      </right>
      <top/>
      <bottom/>
      <diagonal/>
    </border>
    <border>
      <left style="medium">
        <color rgb="FF000000"/>
      </left>
      <right style="medium">
        <color rgb="FF000000"/>
      </right>
      <top style="medium">
        <color rgb="FF000000"/>
      </top>
      <bottom/>
      <diagonal/>
    </border>
    <border>
      <left style="thin">
        <color auto="1"/>
      </left>
      <right style="medium">
        <color rgb="FF000000"/>
      </right>
      <top/>
      <bottom style="thin">
        <color auto="1"/>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style="medium">
        <color auto="1"/>
      </bottom>
      <diagonal/>
    </border>
    <border>
      <left style="medium">
        <color rgb="FF000000"/>
      </left>
      <right/>
      <top/>
      <bottom style="medium">
        <color rgb="FF000000"/>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bottom/>
      <diagonal/>
    </border>
    <border>
      <left style="thin">
        <color auto="1"/>
      </left>
      <right style="thin">
        <color auto="1"/>
      </right>
      <top style="medium">
        <color auto="1"/>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rgb="FF000000"/>
      </right>
      <top style="medium">
        <color rgb="FF000000"/>
      </top>
      <bottom/>
      <diagonal/>
    </border>
    <border>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top/>
      <bottom style="medium">
        <color auto="1"/>
      </bottom>
      <diagonal/>
    </border>
    <border>
      <left style="medium">
        <color auto="1"/>
      </left>
      <right style="medium">
        <color auto="1"/>
      </right>
      <top style="thin">
        <color auto="1"/>
      </top>
      <bottom/>
      <diagonal/>
    </border>
    <border>
      <left/>
      <right style="medium">
        <color auto="1"/>
      </right>
      <top/>
      <bottom style="medium">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medium">
        <color auto="1"/>
      </top>
      <bottom/>
      <diagonal/>
    </border>
    <border>
      <left style="thin">
        <color auto="1"/>
      </left>
      <right style="thin">
        <color auto="1"/>
      </right>
      <top/>
      <bottom style="medium">
        <color auto="1"/>
      </bottom>
      <diagonal/>
    </border>
    <border>
      <left style="medium">
        <color auto="1"/>
      </left>
      <right/>
      <top/>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rgb="FF000000"/>
      </bottom>
      <diagonal/>
    </border>
    <border>
      <left style="medium">
        <color auto="1"/>
      </left>
      <right style="medium">
        <color auto="1"/>
      </right>
      <top style="medium">
        <color rgb="FF000000"/>
      </top>
      <bottom style="medium">
        <color rgb="FF000000"/>
      </bottom>
      <diagonal/>
    </border>
    <border>
      <left style="medium">
        <color auto="1"/>
      </left>
      <right style="medium">
        <color auto="1"/>
      </right>
      <top style="medium">
        <color rgb="FF000000"/>
      </top>
      <bottom/>
      <diagonal/>
    </border>
    <border>
      <left style="medium">
        <color auto="1"/>
      </left>
      <right/>
      <top style="medium">
        <color rgb="FF000000"/>
      </top>
      <bottom/>
      <diagonal/>
    </border>
    <border>
      <left style="thin">
        <color auto="1"/>
      </left>
      <right style="medium">
        <color auto="1"/>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s>
  <cellStyleXfs count="16">
    <xf numFmtId="0" fontId="0" fillId="0" borderId="0"/>
    <xf numFmtId="9" fontId="34" fillId="0" borderId="0" applyFont="0" applyFill="0" applyBorder="0" applyAlignment="0" applyProtection="0">
      <alignment vertical="center"/>
    </xf>
    <xf numFmtId="0" fontId="34" fillId="0" borderId="0"/>
    <xf numFmtId="0" fontId="34" fillId="0" borderId="0">
      <alignment vertical="center"/>
    </xf>
    <xf numFmtId="0" fontId="7" fillId="0" borderId="0"/>
    <xf numFmtId="0" fontId="34" fillId="0" borderId="0">
      <alignment vertical="center"/>
    </xf>
    <xf numFmtId="0" fontId="34" fillId="0" borderId="0">
      <alignment vertical="top"/>
    </xf>
    <xf numFmtId="0" fontId="34" fillId="0" borderId="0"/>
    <xf numFmtId="0" fontId="34" fillId="0" borderId="0"/>
    <xf numFmtId="9" fontId="34" fillId="0" borderId="0" applyFont="0" applyFill="0" applyBorder="0" applyAlignment="0" applyProtection="0"/>
    <xf numFmtId="0" fontId="31" fillId="0" borderId="0">
      <alignment vertical="center"/>
    </xf>
    <xf numFmtId="0" fontId="35" fillId="0" borderId="0"/>
    <xf numFmtId="0" fontId="46" fillId="0" borderId="0" applyNumberFormat="0" applyFill="0" applyBorder="0" applyAlignment="0" applyProtection="0">
      <alignment horizontal="left" vertical="center" indent="1"/>
    </xf>
    <xf numFmtId="0" fontId="59" fillId="0" borderId="0">
      <alignment horizontal="left" vertical="center" indent="1"/>
    </xf>
    <xf numFmtId="0" fontId="1" fillId="0" borderId="0">
      <alignment vertical="center"/>
    </xf>
    <xf numFmtId="0" fontId="1" fillId="0" borderId="0"/>
  </cellStyleXfs>
  <cellXfs count="369">
    <xf numFmtId="0" fontId="0" fillId="0" borderId="0" xfId="0"/>
    <xf numFmtId="0" fontId="2" fillId="0" borderId="0" xfId="0" applyFont="1" applyAlignment="1">
      <alignment horizontal="left" wrapText="1"/>
    </xf>
    <xf numFmtId="0" fontId="2" fillId="0" borderId="0" xfId="0" applyFont="1" applyAlignment="1">
      <alignment horizontal="center" wrapText="1"/>
    </xf>
    <xf numFmtId="0" fontId="2" fillId="0" borderId="0" xfId="0" applyFont="1"/>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readingOrder="1"/>
    </xf>
    <xf numFmtId="0" fontId="4" fillId="3" borderId="3" xfId="0" applyFont="1" applyFill="1" applyBorder="1" applyAlignment="1">
      <alignment horizontal="left" vertical="center" wrapText="1" readingOrder="1"/>
    </xf>
    <xf numFmtId="9" fontId="2" fillId="4" borderId="1" xfId="1" applyFont="1" applyFill="1" applyBorder="1" applyAlignment="1">
      <alignment horizontal="center" vertical="center" wrapText="1"/>
    </xf>
    <xf numFmtId="9" fontId="4" fillId="0" borderId="3" xfId="0" applyNumberFormat="1" applyFont="1" applyBorder="1" applyAlignment="1">
      <alignment horizontal="center" vertical="center" wrapText="1" readingOrder="1"/>
    </xf>
    <xf numFmtId="0" fontId="4" fillId="3" borderId="6" xfId="0" applyFont="1" applyFill="1" applyBorder="1" applyAlignment="1">
      <alignment horizontal="left" vertical="center" wrapText="1" readingOrder="1"/>
    </xf>
    <xf numFmtId="9" fontId="4" fillId="0" borderId="6" xfId="0" applyNumberFormat="1" applyFont="1" applyBorder="1" applyAlignment="1">
      <alignment horizontal="center" vertical="center" wrapText="1" readingOrder="1"/>
    </xf>
    <xf numFmtId="9" fontId="2" fillId="0" borderId="0" xfId="0" applyNumberFormat="1" applyFont="1" applyAlignment="1">
      <alignment horizontal="center" vertical="center" wrapText="1"/>
    </xf>
    <xf numFmtId="0" fontId="2" fillId="0" borderId="0" xfId="0" applyFont="1" applyAlignment="1">
      <alignment horizontal="left" vertical="center"/>
    </xf>
    <xf numFmtId="0" fontId="5"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3" xfId="0" applyFont="1" applyBorder="1" applyAlignment="1">
      <alignment horizontal="left" vertical="center" wrapText="1" readingOrder="1"/>
    </xf>
    <xf numFmtId="0" fontId="4" fillId="6" borderId="3" xfId="0" applyFont="1" applyFill="1" applyBorder="1" applyAlignment="1">
      <alignment horizontal="center" vertical="center" wrapText="1" readingOrder="1"/>
    </xf>
    <xf numFmtId="0" fontId="4" fillId="6" borderId="3" xfId="0" applyFont="1" applyFill="1" applyBorder="1" applyAlignment="1">
      <alignment horizontal="left" vertical="center" wrapText="1" readingOrder="1"/>
    </xf>
    <xf numFmtId="0" fontId="4" fillId="6" borderId="8" xfId="0" applyFont="1" applyFill="1" applyBorder="1" applyAlignment="1">
      <alignment horizontal="left" vertical="center" wrapText="1" readingOrder="1"/>
    </xf>
    <xf numFmtId="0" fontId="4" fillId="0" borderId="6" xfId="0" applyFont="1" applyBorder="1" applyAlignment="1">
      <alignment horizontal="left" vertical="center" wrapText="1" readingOrder="1"/>
    </xf>
    <xf numFmtId="0" fontId="4" fillId="6" borderId="6" xfId="0" applyFont="1" applyFill="1" applyBorder="1" applyAlignment="1">
      <alignment horizontal="left" vertical="center" wrapText="1" readingOrder="1"/>
    </xf>
    <xf numFmtId="0" fontId="4" fillId="6" borderId="9" xfId="0" applyFont="1" applyFill="1" applyBorder="1" applyAlignment="1">
      <alignment horizontal="left" vertical="center" wrapText="1" readingOrder="1"/>
    </xf>
    <xf numFmtId="0" fontId="3" fillId="5" borderId="10" xfId="0" applyFont="1" applyFill="1" applyBorder="1" applyAlignment="1">
      <alignment horizontal="center" vertical="center"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7" borderId="13" xfId="0" applyFont="1" applyFill="1" applyBorder="1" applyAlignment="1">
      <alignment horizontal="left" vertical="center" wrapText="1"/>
    </xf>
    <xf numFmtId="0" fontId="6" fillId="7" borderId="13" xfId="0" applyFont="1" applyFill="1" applyBorder="1" applyAlignment="1">
      <alignment horizontal="left" vertical="center" wrapText="1"/>
    </xf>
    <xf numFmtId="0" fontId="7" fillId="7" borderId="13" xfId="0" applyFont="1" applyFill="1" applyBorder="1" applyAlignment="1">
      <alignment horizontal="left" vertical="center" wrapText="1"/>
    </xf>
    <xf numFmtId="0" fontId="4" fillId="6" borderId="14" xfId="0" applyFont="1" applyFill="1" applyBorder="1" applyAlignment="1">
      <alignment horizontal="left" vertical="center" wrapText="1" readingOrder="1"/>
    </xf>
    <xf numFmtId="0" fontId="2" fillId="0" borderId="15" xfId="0" applyFont="1" applyBorder="1" applyAlignment="1">
      <alignment horizontal="center" vertical="center"/>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pplyProtection="1">
      <alignment horizontal="center" vertical="center"/>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8" fillId="0" borderId="0" xfId="0" applyFont="1"/>
    <xf numFmtId="0" fontId="3" fillId="2" borderId="11"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7" fillId="0" borderId="25" xfId="0" applyFont="1" applyBorder="1" applyAlignment="1">
      <alignment horizontal="center" vertical="center" wrapText="1"/>
    </xf>
    <xf numFmtId="0" fontId="4" fillId="3" borderId="2" xfId="0" applyFont="1" applyFill="1" applyBorder="1" applyAlignment="1">
      <alignment horizontal="center" vertical="center" wrapText="1" readingOrder="1"/>
    </xf>
    <xf numFmtId="0" fontId="7" fillId="0" borderId="26" xfId="0" applyFont="1" applyBorder="1" applyAlignment="1">
      <alignment horizontal="center" vertical="center" wrapText="1"/>
    </xf>
    <xf numFmtId="0" fontId="4" fillId="3" borderId="29" xfId="0" applyFont="1" applyFill="1" applyBorder="1" applyAlignment="1">
      <alignment horizontal="center" vertical="center" wrapText="1" readingOrder="1"/>
    </xf>
    <xf numFmtId="9" fontId="8" fillId="0" borderId="0" xfId="0" applyNumberFormat="1" applyFont="1" applyAlignment="1">
      <alignment horizontal="center" vertical="center"/>
    </xf>
    <xf numFmtId="0" fontId="3" fillId="10" borderId="34" xfId="0" applyFont="1" applyFill="1" applyBorder="1" applyAlignment="1">
      <alignment horizontal="center" vertical="center" wrapText="1"/>
    </xf>
    <xf numFmtId="0" fontId="3" fillId="10" borderId="35" xfId="0" applyFont="1" applyFill="1" applyBorder="1" applyAlignment="1">
      <alignment horizontal="center" vertical="center" wrapText="1"/>
    </xf>
    <xf numFmtId="0" fontId="4" fillId="0" borderId="8" xfId="0" applyFont="1" applyBorder="1" applyAlignment="1">
      <alignment horizontal="left" vertical="center" wrapText="1" readingOrder="1"/>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4" fillId="0" borderId="9" xfId="0" applyFont="1" applyBorder="1" applyAlignment="1">
      <alignment horizontal="left" vertical="center" wrapText="1" readingOrder="1"/>
    </xf>
    <xf numFmtId="0" fontId="7" fillId="0" borderId="15" xfId="0" applyFont="1" applyBorder="1" applyAlignment="1">
      <alignment horizontal="center" vertical="center"/>
    </xf>
    <xf numFmtId="0" fontId="3" fillId="10" borderId="37"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11" fillId="4" borderId="21" xfId="0" applyFont="1" applyFill="1" applyBorder="1" applyAlignment="1">
      <alignment horizontal="center" vertical="center"/>
    </xf>
    <xf numFmtId="0" fontId="12" fillId="0" borderId="11" xfId="0" applyFont="1" applyBorder="1" applyAlignment="1">
      <alignment horizontal="center" vertical="center"/>
    </xf>
    <xf numFmtId="0" fontId="12" fillId="0" borderId="21" xfId="0" applyFont="1" applyBorder="1" applyAlignment="1">
      <alignment horizontal="center" vertical="center"/>
    </xf>
    <xf numFmtId="0" fontId="11" fillId="4" borderId="1" xfId="0" applyFont="1" applyFill="1" applyBorder="1" applyAlignment="1">
      <alignment horizontal="center" vertical="center"/>
    </xf>
    <xf numFmtId="0" fontId="12" fillId="0" borderId="12" xfId="0" applyFont="1" applyBorder="1" applyAlignment="1">
      <alignment horizontal="center" vertical="center"/>
    </xf>
    <xf numFmtId="0" fontId="12" fillId="0" borderId="1" xfId="0" applyFont="1" applyBorder="1" applyAlignment="1">
      <alignment horizontal="center" vertical="center"/>
    </xf>
    <xf numFmtId="0" fontId="11" fillId="4" borderId="38" xfId="0" applyFont="1" applyFill="1" applyBorder="1" applyAlignment="1">
      <alignment horizontal="center" vertical="center"/>
    </xf>
    <xf numFmtId="0" fontId="12" fillId="0" borderId="15" xfId="0" applyFont="1" applyBorder="1" applyAlignment="1">
      <alignment horizontal="center" vertical="center"/>
    </xf>
    <xf numFmtId="0" fontId="12" fillId="0" borderId="38" xfId="0" applyFont="1" applyBorder="1" applyAlignment="1">
      <alignment horizontal="center" vertical="center"/>
    </xf>
    <xf numFmtId="0" fontId="3" fillId="10" borderId="41" xfId="0" applyFont="1" applyFill="1" applyBorder="1" applyAlignment="1">
      <alignment horizontal="center" vertical="center" wrapText="1"/>
    </xf>
    <xf numFmtId="0" fontId="3" fillId="9" borderId="12" xfId="0" applyFont="1" applyFill="1" applyBorder="1" applyAlignment="1">
      <alignment horizontal="center" vertical="center" wrapText="1"/>
    </xf>
    <xf numFmtId="164" fontId="8" fillId="0" borderId="12" xfId="0" applyNumberFormat="1" applyFont="1" applyBorder="1" applyAlignment="1">
      <alignment horizontal="center" vertical="center"/>
    </xf>
    <xf numFmtId="0" fontId="8" fillId="0" borderId="1" xfId="0" applyFont="1" applyBorder="1" applyAlignment="1">
      <alignment horizontal="center" vertical="center"/>
    </xf>
    <xf numFmtId="164" fontId="12" fillId="0" borderId="15" xfId="0" applyNumberFormat="1" applyFont="1" applyBorder="1" applyAlignment="1">
      <alignment horizontal="center" vertical="center"/>
    </xf>
    <xf numFmtId="0" fontId="8" fillId="0" borderId="38" xfId="0" applyFont="1" applyBorder="1" applyAlignment="1">
      <alignment horizontal="center" vertical="center"/>
    </xf>
    <xf numFmtId="0" fontId="3" fillId="9" borderId="43" xfId="0" applyFont="1" applyFill="1" applyBorder="1" applyAlignment="1">
      <alignment horizontal="center" vertical="center" wrapText="1"/>
    </xf>
    <xf numFmtId="0" fontId="3" fillId="9" borderId="11" xfId="0" applyFont="1" applyFill="1" applyBorder="1" applyAlignment="1">
      <alignment horizontal="center" vertical="center" wrapText="1"/>
    </xf>
    <xf numFmtId="0" fontId="8" fillId="0" borderId="43" xfId="0" applyFont="1" applyBorder="1" applyAlignment="1">
      <alignment horizontal="center" vertical="center"/>
    </xf>
    <xf numFmtId="0" fontId="8" fillId="0" borderId="18" xfId="0" applyFont="1" applyBorder="1" applyAlignment="1">
      <alignment horizontal="center" vertical="center"/>
    </xf>
    <xf numFmtId="0" fontId="8" fillId="0" borderId="45" xfId="0" applyFont="1" applyBorder="1" applyAlignment="1">
      <alignment horizontal="center" vertical="center"/>
    </xf>
    <xf numFmtId="0" fontId="8" fillId="0" borderId="19" xfId="0" applyFont="1" applyBorder="1" applyAlignment="1">
      <alignment horizontal="center" vertical="center"/>
    </xf>
    <xf numFmtId="0" fontId="3" fillId="9" borderId="21" xfId="0" applyFont="1" applyFill="1" applyBorder="1" applyAlignment="1">
      <alignment horizontal="center" vertical="center" wrapText="1"/>
    </xf>
    <xf numFmtId="0" fontId="3" fillId="9" borderId="42"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12" fillId="0" borderId="43" xfId="0" applyFont="1" applyBorder="1" applyAlignment="1">
      <alignment horizontal="center" vertical="center"/>
    </xf>
    <xf numFmtId="0" fontId="12" fillId="0" borderId="45" xfId="0" applyFont="1" applyBorder="1" applyAlignment="1">
      <alignment horizontal="center" vertical="center"/>
    </xf>
    <xf numFmtId="0" fontId="3" fillId="9" borderId="34"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8" fillId="0" borderId="11" xfId="0" applyFont="1" applyBorder="1" applyAlignment="1">
      <alignment horizontal="center" vertical="center"/>
    </xf>
    <xf numFmtId="0" fontId="8" fillId="0" borderId="42"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xf>
    <xf numFmtId="0" fontId="13" fillId="0" borderId="0" xfId="0" applyFont="1"/>
    <xf numFmtId="0" fontId="7" fillId="0" borderId="0" xfId="0" applyFont="1"/>
    <xf numFmtId="0" fontId="14" fillId="2" borderId="1" xfId="0" applyFont="1" applyFill="1" applyBorder="1" applyAlignment="1">
      <alignment horizontal="center" vertical="center" wrapText="1"/>
    </xf>
    <xf numFmtId="9" fontId="13" fillId="4" borderId="1" xfId="1" applyFont="1" applyFill="1" applyBorder="1" applyAlignment="1">
      <alignment horizontal="center" vertical="center" wrapText="1"/>
    </xf>
    <xf numFmtId="9" fontId="15" fillId="0" borderId="3" xfId="0" applyNumberFormat="1" applyFont="1" applyBorder="1" applyAlignment="1">
      <alignment horizontal="center" vertical="center" wrapText="1" readingOrder="1"/>
    </xf>
    <xf numFmtId="9" fontId="15" fillId="0" borderId="6" xfId="0" applyNumberFormat="1" applyFont="1" applyBorder="1" applyAlignment="1">
      <alignment horizontal="center" vertical="center" wrapText="1" readingOrder="1"/>
    </xf>
    <xf numFmtId="0" fontId="7" fillId="3" borderId="3" xfId="0" applyFont="1" applyFill="1" applyBorder="1" applyAlignment="1">
      <alignment horizontal="left" vertical="center" wrapText="1" readingOrder="1"/>
    </xf>
    <xf numFmtId="0" fontId="14"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7" fillId="0" borderId="1" xfId="0" applyFont="1" applyBorder="1" applyAlignment="1">
      <alignment horizontal="center" vertical="center"/>
    </xf>
    <xf numFmtId="0" fontId="2" fillId="7" borderId="25" xfId="0" applyFont="1" applyFill="1" applyBorder="1" applyAlignment="1">
      <alignment horizontal="left" vertical="center" wrapText="1"/>
    </xf>
    <xf numFmtId="0" fontId="6" fillId="7" borderId="25" xfId="0" applyFont="1" applyFill="1" applyBorder="1" applyAlignment="1">
      <alignment horizontal="left" vertical="center" wrapText="1"/>
    </xf>
    <xf numFmtId="0" fontId="7" fillId="7" borderId="25" xfId="0" applyFont="1" applyFill="1" applyBorder="1" applyAlignment="1">
      <alignment horizontal="left" vertical="center" wrapText="1"/>
    </xf>
    <xf numFmtId="0" fontId="4" fillId="6" borderId="56" xfId="0" applyFont="1" applyFill="1" applyBorder="1" applyAlignment="1">
      <alignment horizontal="left" vertical="center" wrapText="1" readingOrder="1"/>
    </xf>
    <xf numFmtId="0" fontId="17" fillId="0" borderId="12" xfId="0" applyFont="1" applyBorder="1" applyAlignment="1">
      <alignment horizontal="center" vertical="center"/>
    </xf>
    <xf numFmtId="0" fontId="17" fillId="0" borderId="1" xfId="0" applyFont="1" applyBorder="1" applyAlignment="1">
      <alignment horizontal="center" vertical="center"/>
    </xf>
    <xf numFmtId="0" fontId="17" fillId="0" borderId="23" xfId="0" applyFont="1" applyBorder="1" applyAlignment="1">
      <alignment horizontal="center" vertical="center"/>
    </xf>
    <xf numFmtId="0" fontId="17" fillId="0" borderId="10" xfId="0" applyFont="1" applyBorder="1" applyAlignment="1">
      <alignment horizontal="center" vertical="center"/>
    </xf>
    <xf numFmtId="0" fontId="17" fillId="0" borderId="15" xfId="0" applyFont="1" applyBorder="1" applyAlignment="1">
      <alignment horizontal="center" vertical="center"/>
    </xf>
    <xf numFmtId="0" fontId="17" fillId="0" borderId="38" xfId="0" applyFont="1" applyBorder="1" applyAlignment="1">
      <alignment horizontal="center" vertical="center"/>
    </xf>
    <xf numFmtId="0" fontId="14"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7" fillId="0" borderId="43" xfId="0" applyFont="1" applyBorder="1" applyAlignment="1">
      <alignment horizontal="center" vertical="center"/>
    </xf>
    <xf numFmtId="0" fontId="2" fillId="0" borderId="1" xfId="0" applyFont="1" applyBorder="1" applyAlignment="1" applyProtection="1">
      <alignment horizontal="center" vertical="center"/>
      <protection locked="0"/>
    </xf>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17" fillId="0" borderId="45" xfId="0" applyFont="1" applyBorder="1" applyAlignment="1">
      <alignment horizontal="center" vertical="center"/>
    </xf>
    <xf numFmtId="0" fontId="18" fillId="0" borderId="0" xfId="0" applyFont="1"/>
    <xf numFmtId="0" fontId="20" fillId="11" borderId="1" xfId="0" applyFont="1" applyFill="1" applyBorder="1" applyAlignment="1">
      <alignment horizontal="center" vertical="center" wrapText="1" readingOrder="1"/>
    </xf>
    <xf numFmtId="0" fontId="21" fillId="11" borderId="1" xfId="0" applyFont="1" applyFill="1" applyBorder="1" applyAlignment="1">
      <alignment horizontal="left" vertical="center" wrapText="1" readingOrder="1"/>
    </xf>
    <xf numFmtId="9" fontId="18" fillId="4" borderId="1" xfId="1" applyFont="1" applyFill="1" applyBorder="1" applyAlignment="1">
      <alignment horizontal="center" vertical="center" wrapText="1"/>
    </xf>
    <xf numFmtId="0" fontId="22" fillId="11" borderId="1" xfId="0" applyFont="1" applyFill="1" applyBorder="1" applyAlignment="1">
      <alignment horizontal="left" vertical="center" wrapText="1" readingOrder="1"/>
    </xf>
    <xf numFmtId="9" fontId="21" fillId="0" borderId="1" xfId="0" applyNumberFormat="1" applyFont="1" applyBorder="1" applyAlignment="1">
      <alignment horizontal="center" vertical="center" wrapText="1" readingOrder="1"/>
    </xf>
    <xf numFmtId="0" fontId="22" fillId="0" borderId="1" xfId="0" applyFont="1" applyBorder="1" applyAlignment="1">
      <alignment horizontal="left" vertical="center" wrapText="1" readingOrder="1"/>
    </xf>
    <xf numFmtId="0" fontId="24" fillId="0" borderId="1" xfId="0" applyFont="1" applyBorder="1" applyAlignment="1">
      <alignment horizontal="center" vertical="center"/>
    </xf>
    <xf numFmtId="0" fontId="21" fillId="0" borderId="1" xfId="0" applyFont="1" applyBorder="1" applyAlignment="1">
      <alignment horizontal="left" vertical="center" wrapText="1" readingOrder="1"/>
    </xf>
    <xf numFmtId="0" fontId="18" fillId="0" borderId="0" xfId="0" applyFont="1" applyAlignment="1">
      <alignment horizontal="left" wrapText="1"/>
    </xf>
    <xf numFmtId="0" fontId="18" fillId="0" borderId="0" xfId="0" applyFont="1" applyAlignment="1">
      <alignment horizontal="center" wrapText="1"/>
    </xf>
    <xf numFmtId="0" fontId="25" fillId="0" borderId="0" xfId="0" applyFont="1" applyAlignment="1">
      <alignment horizontal="left" wrapText="1"/>
    </xf>
    <xf numFmtId="0" fontId="22" fillId="0" borderId="0" xfId="0" applyFont="1"/>
    <xf numFmtId="0" fontId="20" fillId="11" borderId="21" xfId="0" applyFont="1" applyFill="1" applyBorder="1" applyAlignment="1">
      <alignment horizontal="center" vertical="center" wrapText="1" readingOrder="1"/>
    </xf>
    <xf numFmtId="0" fontId="22" fillId="11" borderId="21" xfId="0" applyFont="1" applyFill="1" applyBorder="1" applyAlignment="1">
      <alignment horizontal="left" vertical="center" wrapText="1" readingOrder="1"/>
    </xf>
    <xf numFmtId="9" fontId="22" fillId="4" borderId="21" xfId="1" applyFont="1" applyFill="1" applyBorder="1" applyAlignment="1">
      <alignment horizontal="center" vertical="center" wrapText="1"/>
    </xf>
    <xf numFmtId="9" fontId="22" fillId="0" borderId="1" xfId="0" applyNumberFormat="1" applyFont="1" applyBorder="1" applyAlignment="1">
      <alignment horizontal="center" vertical="center" wrapText="1" readingOrder="1"/>
    </xf>
    <xf numFmtId="0" fontId="22" fillId="0" borderId="21" xfId="0" applyFont="1" applyBorder="1" applyAlignment="1">
      <alignment horizontal="left" vertical="center" wrapText="1" readingOrder="1"/>
    </xf>
    <xf numFmtId="0" fontId="22" fillId="6" borderId="21" xfId="0" applyFont="1" applyFill="1" applyBorder="1" applyAlignment="1">
      <alignment horizontal="left" vertical="center" wrapText="1" readingOrder="1"/>
    </xf>
    <xf numFmtId="0" fontId="18" fillId="6" borderId="21" xfId="0" applyFont="1" applyFill="1" applyBorder="1" applyAlignment="1">
      <alignment horizontal="left" vertical="center" wrapText="1" readingOrder="1"/>
    </xf>
    <xf numFmtId="0" fontId="22" fillId="6" borderId="1" xfId="0" applyFont="1" applyFill="1" applyBorder="1" applyAlignment="1">
      <alignment horizontal="left" vertical="center" wrapText="1" readingOrder="1"/>
    </xf>
    <xf numFmtId="0" fontId="21" fillId="6" borderId="1" xfId="0" applyFont="1" applyFill="1" applyBorder="1" applyAlignment="1">
      <alignment horizontal="left" vertical="center" wrapText="1" readingOrder="1"/>
    </xf>
    <xf numFmtId="0" fontId="18" fillId="6" borderId="1" xfId="0" applyFont="1" applyFill="1" applyBorder="1" applyAlignment="1">
      <alignment horizontal="left" vertical="center" wrapText="1" readingOrder="1"/>
    </xf>
    <xf numFmtId="0" fontId="18" fillId="6" borderId="38" xfId="0" applyFont="1" applyFill="1" applyBorder="1" applyAlignment="1">
      <alignment horizontal="left" vertical="center" wrapText="1" readingOrder="1"/>
    </xf>
    <xf numFmtId="0" fontId="26" fillId="0" borderId="0" xfId="0" applyFont="1" applyAlignment="1">
      <alignment horizontal="center" vertical="center" wrapText="1"/>
    </xf>
    <xf numFmtId="0" fontId="27" fillId="23" borderId="62" xfId="0" applyFont="1" applyFill="1" applyBorder="1" applyAlignment="1">
      <alignment horizontal="center" vertical="center" wrapText="1"/>
    </xf>
    <xf numFmtId="0" fontId="19" fillId="12" borderId="25" xfId="0" applyFont="1" applyFill="1" applyBorder="1" applyAlignment="1">
      <alignment horizontal="center" vertical="center" wrapText="1"/>
    </xf>
    <xf numFmtId="9" fontId="19" fillId="12" borderId="25" xfId="0" applyNumberFormat="1" applyFont="1" applyFill="1" applyBorder="1" applyAlignment="1">
      <alignment horizontal="center" vertical="center" wrapText="1"/>
    </xf>
    <xf numFmtId="0" fontId="28" fillId="4" borderId="21" xfId="0" applyFont="1" applyFill="1" applyBorder="1" applyAlignment="1">
      <alignment horizontal="left" vertical="center" wrapText="1" readingOrder="1"/>
    </xf>
    <xf numFmtId="0" fontId="25" fillId="0" borderId="21" xfId="0" applyFont="1" applyBorder="1" applyAlignment="1" applyProtection="1">
      <alignment horizontal="center" vertical="center"/>
      <protection locked="0"/>
    </xf>
    <xf numFmtId="0" fontId="28" fillId="4" borderId="1" xfId="0" applyFont="1" applyFill="1" applyBorder="1" applyAlignment="1">
      <alignment horizontal="left" vertical="center" wrapText="1" readingOrder="1"/>
    </xf>
    <xf numFmtId="0" fontId="25" fillId="0" borderId="1" xfId="0" applyFont="1" applyBorder="1" applyAlignment="1" applyProtection="1">
      <alignment horizontal="center" vertical="center"/>
      <protection locked="0"/>
    </xf>
    <xf numFmtId="0" fontId="25" fillId="4" borderId="1" xfId="0" applyFont="1" applyFill="1" applyBorder="1" applyAlignment="1">
      <alignment horizontal="left" vertical="center" wrapText="1" readingOrder="1"/>
    </xf>
    <xf numFmtId="0" fontId="29" fillId="0" borderId="1" xfId="0" applyFont="1" applyBorder="1" applyAlignment="1">
      <alignment horizontal="left" vertical="center" wrapText="1" readingOrder="1"/>
    </xf>
    <xf numFmtId="0" fontId="29" fillId="0" borderId="38" xfId="0" applyFont="1" applyBorder="1" applyAlignment="1">
      <alignment horizontal="left" vertical="center" wrapText="1" readingOrder="1"/>
    </xf>
    <xf numFmtId="0" fontId="25" fillId="0" borderId="38" xfId="0" applyFont="1" applyBorder="1" applyAlignment="1" applyProtection="1">
      <alignment horizontal="center" vertical="center"/>
      <protection locked="0"/>
    </xf>
    <xf numFmtId="0" fontId="22" fillId="0" borderId="0" xfId="0" applyFont="1" applyAlignment="1">
      <alignment vertical="center" wrapText="1"/>
    </xf>
    <xf numFmtId="0" fontId="18" fillId="0" borderId="21" xfId="0" applyFont="1" applyBorder="1"/>
    <xf numFmtId="0" fontId="18" fillId="0" borderId="42" xfId="0" applyFont="1" applyBorder="1"/>
    <xf numFmtId="0" fontId="18" fillId="0" borderId="1" xfId="0" applyFont="1" applyBorder="1"/>
    <xf numFmtId="0" fontId="18" fillId="0" borderId="43" xfId="0" applyFont="1" applyBorder="1"/>
    <xf numFmtId="0" fontId="8" fillId="0" borderId="0" xfId="0" applyFont="1" applyAlignment="1">
      <alignment wrapText="1"/>
    </xf>
    <xf numFmtId="0" fontId="3" fillId="2" borderId="34" xfId="0" applyFont="1" applyFill="1" applyBorder="1" applyAlignment="1">
      <alignment horizontal="center" vertical="center" wrapText="1"/>
    </xf>
    <xf numFmtId="0" fontId="4" fillId="0" borderId="66" xfId="0" applyFont="1" applyBorder="1" applyAlignment="1">
      <alignment horizontal="center" vertical="center" wrapText="1" readingOrder="1"/>
    </xf>
    <xf numFmtId="0" fontId="4" fillId="3" borderId="2" xfId="0" applyFont="1" applyFill="1" applyBorder="1" applyAlignment="1">
      <alignment horizontal="left" vertical="center" wrapText="1" readingOrder="1"/>
    </xf>
    <xf numFmtId="0" fontId="4" fillId="0" borderId="67" xfId="0" applyFont="1" applyBorder="1" applyAlignment="1">
      <alignment horizontal="center" vertical="center" wrapText="1" readingOrder="1"/>
    </xf>
    <xf numFmtId="0" fontId="4" fillId="3" borderId="29" xfId="0" applyFont="1" applyFill="1" applyBorder="1" applyAlignment="1">
      <alignment horizontal="left" vertical="center" wrapText="1" readingOrder="1"/>
    </xf>
    <xf numFmtId="0" fontId="3" fillId="2" borderId="37" xfId="0" applyFont="1" applyFill="1" applyBorder="1" applyAlignment="1">
      <alignment horizontal="center" vertical="center" wrapText="1"/>
    </xf>
    <xf numFmtId="0" fontId="2" fillId="0" borderId="25" xfId="0" applyFont="1" applyBorder="1" applyAlignment="1">
      <alignment horizontal="left" vertical="center" wrapText="1"/>
    </xf>
    <xf numFmtId="0" fontId="2" fillId="0" borderId="70" xfId="0" applyFont="1" applyBorder="1" applyAlignment="1">
      <alignment horizontal="left" vertical="center" wrapText="1"/>
    </xf>
    <xf numFmtId="0" fontId="7" fillId="0" borderId="25" xfId="0" applyFont="1" applyBorder="1" applyAlignment="1">
      <alignment horizontal="left" vertical="center" wrapText="1"/>
    </xf>
    <xf numFmtId="0" fontId="2" fillId="0" borderId="45" xfId="0" applyFont="1" applyBorder="1" applyAlignment="1">
      <alignment horizontal="left" vertical="center" wrapText="1"/>
    </xf>
    <xf numFmtId="0" fontId="36" fillId="0" borderId="0" xfId="11" applyFont="1"/>
    <xf numFmtId="0" fontId="35" fillId="0" borderId="0" xfId="11"/>
    <xf numFmtId="0" fontId="37" fillId="0" borderId="0" xfId="11" applyFont="1" applyAlignment="1">
      <alignment vertical="center" wrapText="1"/>
    </xf>
    <xf numFmtId="0" fontId="39" fillId="0" borderId="0" xfId="11" applyFont="1"/>
    <xf numFmtId="0" fontId="40" fillId="0" borderId="0" xfId="11" applyFont="1"/>
    <xf numFmtId="0" fontId="42" fillId="0" borderId="0" xfId="11" applyFont="1"/>
    <xf numFmtId="0" fontId="43" fillId="0" borderId="8" xfId="11" applyFont="1" applyBorder="1" applyAlignment="1">
      <alignment vertical="top"/>
    </xf>
    <xf numFmtId="0" fontId="44" fillId="0" borderId="3" xfId="11" applyFont="1" applyBorder="1" applyAlignment="1">
      <alignment vertical="top"/>
    </xf>
    <xf numFmtId="0" fontId="43" fillId="0" borderId="56" xfId="11" applyFont="1" applyBorder="1" applyAlignment="1">
      <alignment horizontal="left" vertical="top" wrapText="1"/>
    </xf>
    <xf numFmtId="0" fontId="43" fillId="0" borderId="71" xfId="11" applyFont="1" applyBorder="1" applyAlignment="1">
      <alignment horizontal="left" vertical="top" wrapText="1"/>
    </xf>
    <xf numFmtId="0" fontId="39" fillId="0" borderId="0" xfId="11" applyFont="1" applyAlignment="1">
      <alignment horizontal="left"/>
    </xf>
    <xf numFmtId="0" fontId="39" fillId="0" borderId="0" xfId="11" applyFont="1" applyAlignment="1">
      <alignment vertical="top" wrapText="1"/>
    </xf>
    <xf numFmtId="0" fontId="38" fillId="0" borderId="0" xfId="11" applyFont="1" applyAlignment="1">
      <alignment vertical="top" wrapText="1"/>
    </xf>
    <xf numFmtId="0" fontId="45" fillId="0" borderId="0" xfId="11" applyFont="1" applyAlignment="1">
      <alignment vertical="top" wrapText="1"/>
    </xf>
    <xf numFmtId="0" fontId="39" fillId="0" borderId="0" xfId="11" applyFont="1" applyAlignment="1">
      <alignment wrapText="1"/>
    </xf>
    <xf numFmtId="0" fontId="47" fillId="0" borderId="0" xfId="12" applyFont="1" applyBorder="1" applyAlignment="1">
      <alignment vertical="top" wrapText="1"/>
    </xf>
    <xf numFmtId="0" fontId="49" fillId="0" borderId="0" xfId="11" applyFont="1" applyAlignment="1">
      <alignment vertical="top" wrapText="1"/>
    </xf>
    <xf numFmtId="0" fontId="50" fillId="0" borderId="0" xfId="11" applyFont="1" applyAlignment="1">
      <alignment vertical="top" wrapText="1"/>
    </xf>
    <xf numFmtId="0" fontId="47" fillId="0" borderId="0" xfId="11" applyFont="1" applyAlignment="1">
      <alignment wrapText="1"/>
    </xf>
    <xf numFmtId="0" fontId="50" fillId="0" borderId="0" xfId="11" applyFont="1"/>
    <xf numFmtId="0" fontId="47" fillId="0" borderId="0" xfId="11" applyFont="1" applyAlignment="1">
      <alignment vertical="top" wrapText="1"/>
    </xf>
    <xf numFmtId="0" fontId="50" fillId="0" borderId="0" xfId="11" applyFont="1" applyAlignment="1">
      <alignment vertical="top"/>
    </xf>
    <xf numFmtId="0" fontId="51" fillId="0" borderId="0" xfId="11" applyFont="1" applyAlignment="1">
      <alignment vertical="top"/>
    </xf>
    <xf numFmtId="0" fontId="52" fillId="0" borderId="0" xfId="11" applyFont="1" applyAlignment="1">
      <alignment vertical="top"/>
    </xf>
    <xf numFmtId="0" fontId="53" fillId="0" borderId="0" xfId="11" applyFont="1" applyAlignment="1">
      <alignment vertical="center"/>
    </xf>
    <xf numFmtId="0" fontId="40" fillId="0" borderId="0" xfId="11" applyFont="1" applyAlignment="1">
      <alignment vertical="center"/>
    </xf>
    <xf numFmtId="0" fontId="44" fillId="0" borderId="0" xfId="11" applyFont="1" applyAlignment="1">
      <alignment vertical="center" wrapText="1"/>
    </xf>
    <xf numFmtId="0" fontId="40" fillId="0" borderId="0" xfId="11" applyFont="1" applyAlignment="1">
      <alignment vertical="center" wrapText="1"/>
    </xf>
    <xf numFmtId="0" fontId="57" fillId="7" borderId="1" xfId="11" applyFont="1" applyFill="1" applyBorder="1" applyAlignment="1">
      <alignment vertical="center" wrapText="1"/>
    </xf>
    <xf numFmtId="0" fontId="50" fillId="0" borderId="0" xfId="11" applyFont="1" applyAlignment="1">
      <alignment vertical="center"/>
    </xf>
    <xf numFmtId="0" fontId="50" fillId="0" borderId="1" xfId="11" applyFont="1" applyBorder="1" applyAlignment="1">
      <alignment vertical="center" wrapText="1"/>
    </xf>
    <xf numFmtId="165" fontId="50" fillId="0" borderId="1" xfId="11" applyNumberFormat="1" applyFont="1" applyBorder="1" applyAlignment="1">
      <alignment horizontal="left" vertical="center" wrapText="1"/>
    </xf>
    <xf numFmtId="0" fontId="50" fillId="0" borderId="0" xfId="11" applyFont="1" applyAlignment="1">
      <alignment vertical="center" wrapText="1"/>
    </xf>
    <xf numFmtId="15" fontId="50" fillId="0" borderId="0" xfId="11" applyNumberFormat="1" applyFont="1" applyAlignment="1">
      <alignment vertical="center" wrapText="1"/>
    </xf>
    <xf numFmtId="0" fontId="57" fillId="7" borderId="72" xfId="11" applyFont="1" applyFill="1" applyBorder="1" applyAlignment="1">
      <alignment vertical="center" wrapText="1"/>
    </xf>
    <xf numFmtId="0" fontId="50" fillId="0" borderId="72" xfId="11" applyFont="1" applyBorder="1" applyAlignment="1">
      <alignment vertical="center" wrapText="1"/>
    </xf>
    <xf numFmtId="0" fontId="50" fillId="0" borderId="0" xfId="13" applyFont="1" applyAlignment="1">
      <alignment vertical="center"/>
    </xf>
    <xf numFmtId="0" fontId="59" fillId="0" borderId="0" xfId="13" applyAlignment="1">
      <alignment horizontal="left" vertical="center"/>
    </xf>
    <xf numFmtId="0" fontId="60" fillId="27" borderId="1" xfId="13" applyFont="1" applyFill="1" applyBorder="1" applyAlignment="1">
      <alignment horizontal="left" vertical="center" wrapText="1"/>
    </xf>
    <xf numFmtId="0" fontId="49" fillId="0" borderId="1" xfId="14" applyFont="1" applyBorder="1">
      <alignment vertical="center"/>
    </xf>
    <xf numFmtId="0" fontId="45" fillId="0" borderId="1" xfId="14" applyFont="1" applyBorder="1">
      <alignment vertical="center"/>
    </xf>
    <xf numFmtId="0" fontId="49" fillId="0" borderId="0" xfId="14" applyFont="1">
      <alignment vertical="center"/>
    </xf>
    <xf numFmtId="0" fontId="61" fillId="0" borderId="0" xfId="14" applyFont="1">
      <alignment vertical="center"/>
    </xf>
    <xf numFmtId="0" fontId="24" fillId="4" borderId="1" xfId="0" applyFont="1" applyFill="1" applyBorder="1" applyAlignment="1">
      <alignment horizontal="center" vertical="center"/>
    </xf>
    <xf numFmtId="0" fontId="64" fillId="13" borderId="1" xfId="0" applyFont="1" applyFill="1" applyBorder="1" applyAlignment="1">
      <alignment horizontal="center" vertical="center" wrapText="1"/>
    </xf>
    <xf numFmtId="0" fontId="64" fillId="15" borderId="1" xfId="0" applyFont="1" applyFill="1" applyBorder="1" applyAlignment="1">
      <alignment horizontal="center" vertical="center" wrapText="1"/>
    </xf>
    <xf numFmtId="0" fontId="64" fillId="16" borderId="1" xfId="0" applyFont="1" applyFill="1" applyBorder="1" applyAlignment="1">
      <alignment horizontal="center" vertical="center" wrapText="1"/>
    </xf>
    <xf numFmtId="0" fontId="64" fillId="18" borderId="1" xfId="0" applyFont="1" applyFill="1" applyBorder="1" applyAlignment="1">
      <alignment horizontal="center" vertical="center" wrapText="1"/>
    </xf>
    <xf numFmtId="0" fontId="64" fillId="14" borderId="1" xfId="0" applyFont="1" applyFill="1" applyBorder="1" applyAlignment="1">
      <alignment horizontal="center" vertical="center"/>
    </xf>
    <xf numFmtId="0" fontId="64" fillId="2" borderId="1" xfId="0" applyFont="1" applyFill="1" applyBorder="1" applyAlignment="1">
      <alignment horizontal="center" vertical="center"/>
    </xf>
    <xf numFmtId="0" fontId="64" fillId="17" borderId="1" xfId="0" applyFont="1" applyFill="1" applyBorder="1" applyAlignment="1">
      <alignment horizontal="center" vertical="center"/>
    </xf>
    <xf numFmtId="0" fontId="64" fillId="19" borderId="1" xfId="0" applyFont="1" applyFill="1" applyBorder="1" applyAlignment="1">
      <alignment horizontal="center" vertical="center"/>
    </xf>
    <xf numFmtId="0" fontId="67" fillId="4" borderId="0" xfId="15" applyFont="1" applyFill="1"/>
    <xf numFmtId="0" fontId="1" fillId="0" borderId="0" xfId="15"/>
    <xf numFmtId="0" fontId="67" fillId="4" borderId="0" xfId="15" applyFont="1" applyFill="1" applyAlignment="1">
      <alignment wrapText="1"/>
    </xf>
    <xf numFmtId="0" fontId="69" fillId="25" borderId="34" xfId="15" applyFont="1" applyFill="1" applyBorder="1" applyAlignment="1">
      <alignment horizontal="center" vertical="center" wrapText="1"/>
    </xf>
    <xf numFmtId="0" fontId="71" fillId="26" borderId="11" xfId="15" applyFont="1" applyFill="1" applyBorder="1" applyAlignment="1">
      <alignment horizontal="center" vertical="center" wrapText="1"/>
    </xf>
    <xf numFmtId="0" fontId="71" fillId="26" borderId="21" xfId="15" applyFont="1" applyFill="1" applyBorder="1" applyAlignment="1">
      <alignment horizontal="center" vertical="center" wrapText="1"/>
    </xf>
    <xf numFmtId="0" fontId="71" fillId="26" borderId="42" xfId="15" applyFont="1" applyFill="1" applyBorder="1" applyAlignment="1">
      <alignment horizontal="center" vertical="center" wrapText="1"/>
    </xf>
    <xf numFmtId="0" fontId="67" fillId="26" borderId="12" xfId="15" applyFont="1" applyFill="1" applyBorder="1" applyAlignment="1">
      <alignment horizontal="center" vertical="center" wrapText="1"/>
    </xf>
    <xf numFmtId="0" fontId="72" fillId="26" borderId="1" xfId="15" applyFont="1" applyFill="1" applyBorder="1" applyAlignment="1">
      <alignment horizontal="left" vertical="center" wrapText="1" readingOrder="1"/>
    </xf>
    <xf numFmtId="0" fontId="73" fillId="0" borderId="21" xfId="15" applyFont="1" applyBorder="1" applyAlignment="1">
      <alignment horizontal="left" vertical="center" wrapText="1" readingOrder="1"/>
    </xf>
    <xf numFmtId="0" fontId="67" fillId="4" borderId="43" xfId="15" applyFont="1" applyFill="1" applyBorder="1" applyAlignment="1">
      <alignment horizontal="left" vertical="center" wrapText="1"/>
    </xf>
    <xf numFmtId="0" fontId="73" fillId="26" borderId="1" xfId="15" applyFont="1" applyFill="1" applyBorder="1" applyAlignment="1">
      <alignment horizontal="left" vertical="center" wrapText="1" readingOrder="1"/>
    </xf>
    <xf numFmtId="0" fontId="73" fillId="0" borderId="1" xfId="15" applyFont="1" applyBorder="1" applyAlignment="1">
      <alignment horizontal="left" vertical="center" wrapText="1" readingOrder="1"/>
    </xf>
    <xf numFmtId="0" fontId="73" fillId="4" borderId="43" xfId="15" applyFont="1" applyFill="1" applyBorder="1" applyAlignment="1">
      <alignment horizontal="left" vertical="center" wrapText="1"/>
    </xf>
    <xf numFmtId="0" fontId="73" fillId="26" borderId="38" xfId="15" applyFont="1" applyFill="1" applyBorder="1" applyAlignment="1">
      <alignment horizontal="left" vertical="center" wrapText="1" readingOrder="1"/>
    </xf>
    <xf numFmtId="0" fontId="38" fillId="0" borderId="0" xfId="11" applyFont="1" applyAlignment="1">
      <alignment horizontal="left" vertical="center" wrapText="1"/>
    </xf>
    <xf numFmtId="0" fontId="41" fillId="0" borderId="0" xfId="11" applyFont="1" applyAlignment="1">
      <alignment horizontal="left" wrapText="1"/>
    </xf>
    <xf numFmtId="0" fontId="8" fillId="0" borderId="47" xfId="0" applyFont="1" applyBorder="1" applyAlignment="1">
      <alignment wrapText="1"/>
    </xf>
    <xf numFmtId="0" fontId="8" fillId="0" borderId="49" xfId="0" applyFont="1" applyBorder="1" applyAlignment="1">
      <alignment wrapText="1"/>
    </xf>
    <xf numFmtId="0" fontId="8" fillId="0" borderId="51" xfId="0" applyFont="1" applyBorder="1" applyAlignment="1">
      <alignment wrapText="1"/>
    </xf>
    <xf numFmtId="0" fontId="30" fillId="2" borderId="65" xfId="0" applyFont="1" applyFill="1" applyBorder="1" applyAlignment="1">
      <alignment horizontal="center" vertical="center" wrapText="1"/>
    </xf>
    <xf numFmtId="0" fontId="30" fillId="2" borderId="33" xfId="0" applyFont="1" applyFill="1" applyBorder="1" applyAlignment="1">
      <alignment horizontal="center" vertical="center" wrapText="1"/>
    </xf>
    <xf numFmtId="0" fontId="30" fillId="2" borderId="36" xfId="0" applyFont="1" applyFill="1" applyBorder="1" applyAlignment="1">
      <alignment horizontal="center" vertical="center" wrapText="1"/>
    </xf>
    <xf numFmtId="0" fontId="2" fillId="0" borderId="0" xfId="0" applyFont="1" applyAlignment="1">
      <alignment horizontal="left"/>
    </xf>
    <xf numFmtId="0" fontId="4" fillId="0" borderId="68" xfId="0" applyFont="1" applyBorder="1" applyAlignment="1">
      <alignment horizontal="center" vertical="center" wrapText="1" readingOrder="1"/>
    </xf>
    <xf numFmtId="0" fontId="4" fillId="0" borderId="26" xfId="0" applyFont="1" applyBorder="1" applyAlignment="1">
      <alignment horizontal="center" vertical="center" wrapText="1" readingOrder="1"/>
    </xf>
    <xf numFmtId="0" fontId="2" fillId="0" borderId="69"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47" xfId="0" applyFont="1" applyBorder="1" applyAlignment="1">
      <alignment horizontal="center" vertical="center" wrapText="1"/>
    </xf>
    <xf numFmtId="0" fontId="8" fillId="0" borderId="64" xfId="0" applyFont="1" applyBorder="1" applyAlignment="1">
      <alignment wrapText="1"/>
    </xf>
    <xf numFmtId="0" fontId="8" fillId="0" borderId="0" xfId="0" applyFont="1" applyAlignment="1">
      <alignment wrapText="1"/>
    </xf>
    <xf numFmtId="0" fontId="8" fillId="0" borderId="20" xfId="0" applyFont="1" applyBorder="1" applyAlignment="1">
      <alignment wrapText="1"/>
    </xf>
    <xf numFmtId="0" fontId="30" fillId="2" borderId="13" xfId="0" applyFont="1" applyFill="1" applyBorder="1" applyAlignment="1">
      <alignment horizontal="center" vertical="center" wrapText="1"/>
    </xf>
    <xf numFmtId="0" fontId="8" fillId="0" borderId="64" xfId="0" applyFont="1" applyBorder="1" applyAlignment="1">
      <alignment horizontal="left" wrapText="1"/>
    </xf>
    <xf numFmtId="0" fontId="8" fillId="0" borderId="0" xfId="0" applyFont="1" applyAlignment="1">
      <alignment horizontal="left" wrapText="1"/>
    </xf>
    <xf numFmtId="0" fontId="8" fillId="0" borderId="20" xfId="0" applyFont="1" applyBorder="1" applyAlignment="1">
      <alignment horizontal="left" wrapText="1"/>
    </xf>
    <xf numFmtId="0" fontId="67" fillId="26" borderId="12" xfId="15" applyFont="1" applyFill="1" applyBorder="1" applyAlignment="1">
      <alignment horizontal="center" vertical="center" wrapText="1"/>
    </xf>
    <xf numFmtId="0" fontId="67" fillId="26" borderId="15" xfId="15" applyFont="1" applyFill="1" applyBorder="1" applyAlignment="1">
      <alignment horizontal="center" vertical="center" wrapText="1"/>
    </xf>
    <xf numFmtId="0" fontId="1" fillId="4" borderId="64" xfId="15" applyFill="1" applyBorder="1" applyAlignment="1">
      <alignment horizontal="left" vertical="center" wrapText="1"/>
    </xf>
    <xf numFmtId="0" fontId="1" fillId="4" borderId="0" xfId="15" applyFill="1" applyAlignment="1">
      <alignment horizontal="left" vertical="center" wrapText="1"/>
    </xf>
    <xf numFmtId="0" fontId="1" fillId="4" borderId="20" xfId="15" applyFill="1" applyBorder="1" applyAlignment="1">
      <alignment horizontal="left" vertical="center" wrapText="1"/>
    </xf>
    <xf numFmtId="0" fontId="66" fillId="4" borderId="64" xfId="15" applyFont="1" applyFill="1" applyBorder="1" applyAlignment="1">
      <alignment horizontal="left" vertical="center" wrapText="1"/>
    </xf>
    <xf numFmtId="0" fontId="66" fillId="4" borderId="0" xfId="15" applyFont="1" applyFill="1" applyAlignment="1">
      <alignment horizontal="left" vertical="center" wrapText="1"/>
    </xf>
    <xf numFmtId="0" fontId="66" fillId="4" borderId="20" xfId="15" applyFont="1" applyFill="1" applyBorder="1" applyAlignment="1">
      <alignment horizontal="left" vertical="center" wrapText="1"/>
    </xf>
    <xf numFmtId="0" fontId="66" fillId="4" borderId="47" xfId="15" applyFont="1" applyFill="1" applyBorder="1" applyAlignment="1">
      <alignment horizontal="left" vertical="center" wrapText="1"/>
    </xf>
    <xf numFmtId="0" fontId="66" fillId="4" borderId="49" xfId="15" applyFont="1" applyFill="1" applyBorder="1" applyAlignment="1">
      <alignment horizontal="left" vertical="center" wrapText="1"/>
    </xf>
    <xf numFmtId="0" fontId="66" fillId="4" borderId="51" xfId="15" applyFont="1" applyFill="1" applyBorder="1" applyAlignment="1">
      <alignment horizontal="left" vertical="center" wrapText="1"/>
    </xf>
    <xf numFmtId="0" fontId="70" fillId="25" borderId="62" xfId="15" applyFont="1" applyFill="1" applyBorder="1" applyAlignment="1">
      <alignment horizontal="center" vertical="center" wrapText="1"/>
    </xf>
    <xf numFmtId="0" fontId="70" fillId="25" borderId="32" xfId="15" applyFont="1" applyFill="1" applyBorder="1" applyAlignment="1">
      <alignment horizontal="center" vertical="center" wrapText="1"/>
    </xf>
    <xf numFmtId="0" fontId="70" fillId="25" borderId="30" xfId="15" applyFont="1" applyFill="1" applyBorder="1" applyAlignment="1">
      <alignment horizontal="center" vertical="center" wrapText="1"/>
    </xf>
    <xf numFmtId="0" fontId="68" fillId="25" borderId="13" xfId="14" applyFont="1" applyFill="1" applyBorder="1" applyAlignment="1">
      <alignment horizontal="center" vertical="center" wrapText="1"/>
    </xf>
    <xf numFmtId="0" fontId="68" fillId="25" borderId="33" xfId="14" applyFont="1" applyFill="1" applyBorder="1" applyAlignment="1">
      <alignment horizontal="center" vertical="center" wrapText="1"/>
    </xf>
    <xf numFmtId="0" fontId="68" fillId="25" borderId="36" xfId="14" applyFont="1" applyFill="1" applyBorder="1" applyAlignment="1">
      <alignment horizontal="center" vertical="center" wrapText="1"/>
    </xf>
    <xf numFmtId="0" fontId="1" fillId="4" borderId="31" xfId="15" applyFill="1" applyBorder="1" applyAlignment="1">
      <alignment horizontal="left" vertical="center" wrapText="1"/>
    </xf>
    <xf numFmtId="0" fontId="1" fillId="4" borderId="32" xfId="15" applyFill="1" applyBorder="1" applyAlignment="1">
      <alignment horizontal="left" vertical="center" wrapText="1"/>
    </xf>
    <xf numFmtId="0" fontId="1" fillId="4" borderId="30" xfId="15" applyFill="1" applyBorder="1" applyAlignment="1">
      <alignment horizontal="left" vertical="center" wrapText="1"/>
    </xf>
    <xf numFmtId="0" fontId="19" fillId="11" borderId="34" xfId="0" applyFont="1" applyFill="1" applyBorder="1" applyAlignment="1">
      <alignment horizontal="center" vertical="center" wrapText="1"/>
    </xf>
    <xf numFmtId="0" fontId="19" fillId="11" borderId="60" xfId="0" applyFont="1" applyFill="1" applyBorder="1" applyAlignment="1">
      <alignment horizontal="center" vertical="center" wrapText="1"/>
    </xf>
    <xf numFmtId="0" fontId="19" fillId="11" borderId="61"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20" fillId="11" borderId="1" xfId="0" applyFont="1" applyFill="1" applyBorder="1" applyAlignment="1">
      <alignment horizontal="center" vertical="center" wrapText="1" readingOrder="1"/>
    </xf>
    <xf numFmtId="0" fontId="19" fillId="11" borderId="10" xfId="0" applyFont="1" applyFill="1" applyBorder="1" applyAlignment="1">
      <alignment horizontal="center" vertical="center" wrapText="1"/>
    </xf>
    <xf numFmtId="0" fontId="19" fillId="11" borderId="59" xfId="0" applyFont="1" applyFill="1" applyBorder="1" applyAlignment="1">
      <alignment horizontal="center" vertical="center" wrapText="1"/>
    </xf>
    <xf numFmtId="0" fontId="19" fillId="11" borderId="57" xfId="0" applyFont="1" applyFill="1" applyBorder="1" applyAlignment="1">
      <alignment horizontal="center" vertical="center" wrapText="1"/>
    </xf>
    <xf numFmtId="0" fontId="27" fillId="23" borderId="59" xfId="0" applyFont="1" applyFill="1" applyBorder="1" applyAlignment="1">
      <alignment horizontal="center" vertical="center" wrapText="1"/>
    </xf>
    <xf numFmtId="0" fontId="27" fillId="23" borderId="63" xfId="0" applyFont="1" applyFill="1" applyBorder="1" applyAlignment="1">
      <alignment horizontal="center" vertical="center" wrapText="1"/>
    </xf>
    <xf numFmtId="0" fontId="19" fillId="24" borderId="25" xfId="0" applyFont="1" applyFill="1" applyBorder="1" applyAlignment="1">
      <alignment horizontal="center" vertical="center" wrapText="1"/>
    </xf>
    <xf numFmtId="0" fontId="19" fillId="12" borderId="25" xfId="0" applyFont="1" applyFill="1" applyBorder="1" applyAlignment="1">
      <alignment horizontal="center" vertical="center" wrapText="1"/>
    </xf>
    <xf numFmtId="0" fontId="19" fillId="21" borderId="25" xfId="0" applyFont="1" applyFill="1" applyBorder="1" applyAlignment="1">
      <alignment horizontal="center" vertical="center" wrapText="1"/>
    </xf>
    <xf numFmtId="0" fontId="19" fillId="22" borderId="35" xfId="0" applyFont="1" applyFill="1" applyBorder="1" applyAlignment="1">
      <alignment horizontal="center" vertical="center" wrapText="1"/>
    </xf>
    <xf numFmtId="0" fontId="19" fillId="22" borderId="59" xfId="0" applyFont="1" applyFill="1" applyBorder="1" applyAlignment="1">
      <alignment horizontal="center" vertical="center" wrapText="1"/>
    </xf>
    <xf numFmtId="0" fontId="65" fillId="13" borderId="1" xfId="0" applyFont="1" applyFill="1" applyBorder="1" applyAlignment="1">
      <alignment horizontal="center" vertical="center" wrapText="1"/>
    </xf>
    <xf numFmtId="0" fontId="65" fillId="15" borderId="1" xfId="0" applyFont="1" applyFill="1" applyBorder="1" applyAlignment="1">
      <alignment horizontal="center" vertical="center" wrapText="1"/>
    </xf>
    <xf numFmtId="0" fontId="65" fillId="16" borderId="1" xfId="0" applyFont="1" applyFill="1" applyBorder="1" applyAlignment="1">
      <alignment horizontal="center" vertical="center" wrapText="1"/>
    </xf>
    <xf numFmtId="0" fontId="65" fillId="18" borderId="1" xfId="0" applyFont="1" applyFill="1" applyBorder="1" applyAlignment="1">
      <alignment horizontal="center" vertical="center" wrapText="1"/>
    </xf>
    <xf numFmtId="0" fontId="63" fillId="20" borderId="1" xfId="0" applyFont="1" applyFill="1" applyBorder="1" applyAlignment="1">
      <alignment horizontal="center" vertical="center" wrapText="1"/>
    </xf>
    <xf numFmtId="9" fontId="62" fillId="13" borderId="1" xfId="0" applyNumberFormat="1" applyFont="1" applyFill="1" applyBorder="1" applyAlignment="1">
      <alignment horizontal="center" vertical="center"/>
    </xf>
    <xf numFmtId="9" fontId="62" fillId="15" borderId="1" xfId="0" applyNumberFormat="1" applyFont="1" applyFill="1" applyBorder="1" applyAlignment="1">
      <alignment horizontal="center" vertical="center"/>
    </xf>
    <xf numFmtId="9" fontId="62" fillId="16" borderId="1" xfId="0" applyNumberFormat="1" applyFont="1" applyFill="1" applyBorder="1" applyAlignment="1">
      <alignment horizontal="center" vertical="center"/>
    </xf>
    <xf numFmtId="9" fontId="62" fillId="18" borderId="1" xfId="0" applyNumberFormat="1" applyFont="1" applyFill="1" applyBorder="1" applyAlignment="1">
      <alignment horizontal="center" vertical="center"/>
    </xf>
    <xf numFmtId="0" fontId="19" fillId="11"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23" fillId="10" borderId="1" xfId="0" applyFont="1" applyFill="1" applyBorder="1" applyAlignment="1">
      <alignment horizontal="center" vertical="center"/>
    </xf>
    <xf numFmtId="0" fontId="23" fillId="10" borderId="41" xfId="0" applyFont="1" applyFill="1" applyBorder="1" applyAlignment="1">
      <alignment horizontal="center" vertical="center"/>
    </xf>
    <xf numFmtId="0" fontId="23" fillId="10" borderId="73"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17" xfId="0" applyFont="1" applyFill="1" applyBorder="1" applyAlignment="1">
      <alignment horizontal="center" vertical="center"/>
    </xf>
    <xf numFmtId="0" fontId="23" fillId="10" borderId="10" xfId="0" applyFont="1" applyFill="1" applyBorder="1" applyAlignment="1">
      <alignment horizontal="center" vertical="center"/>
    </xf>
    <xf numFmtId="9" fontId="62" fillId="13" borderId="1" xfId="0" applyNumberFormat="1" applyFont="1" applyFill="1" applyBorder="1" applyAlignment="1">
      <alignment horizontal="center" vertical="center" wrapText="1"/>
    </xf>
    <xf numFmtId="9" fontId="62" fillId="15" borderId="1" xfId="0" applyNumberFormat="1" applyFont="1" applyFill="1" applyBorder="1" applyAlignment="1">
      <alignment horizontal="center" vertical="center" wrapText="1"/>
    </xf>
    <xf numFmtId="9" fontId="62" fillId="16" borderId="1" xfId="0" applyNumberFormat="1" applyFont="1" applyFill="1" applyBorder="1" applyAlignment="1">
      <alignment horizontal="center" vertical="center" wrapText="1"/>
    </xf>
    <xf numFmtId="9" fontId="62" fillId="18" borderId="1" xfId="0" applyNumberFormat="1" applyFont="1" applyFill="1" applyBorder="1" applyAlignment="1">
      <alignment horizontal="center" vertical="center" wrapText="1"/>
    </xf>
    <xf numFmtId="0" fontId="54" fillId="0" borderId="0" xfId="11" applyFont="1" applyAlignment="1">
      <alignment vertical="center" wrapText="1"/>
    </xf>
    <xf numFmtId="0" fontId="55" fillId="0" borderId="0" xfId="11" applyFont="1" applyAlignment="1">
      <alignment vertical="center"/>
    </xf>
    <xf numFmtId="0" fontId="56" fillId="0" borderId="0" xfId="11" applyFont="1" applyAlignment="1">
      <alignment horizontal="left" vertical="center" wrapText="1"/>
    </xf>
    <xf numFmtId="0" fontId="55" fillId="0" borderId="0" xfId="11" applyFont="1" applyAlignment="1">
      <alignment horizontal="left" vertical="center"/>
    </xf>
    <xf numFmtId="0" fontId="58" fillId="0" borderId="0" xfId="11" applyFont="1" applyAlignment="1">
      <alignment horizontal="left" vertical="center"/>
    </xf>
    <xf numFmtId="0" fontId="3" fillId="0" borderId="1" xfId="0" applyFont="1" applyBorder="1" applyAlignment="1">
      <alignment horizontal="center" vertical="center" wrapText="1"/>
    </xf>
    <xf numFmtId="0" fontId="4" fillId="0" borderId="4" xfId="0" applyFont="1" applyBorder="1" applyAlignment="1">
      <alignment horizontal="center" vertical="center" wrapText="1" readingOrder="1"/>
    </xf>
    <xf numFmtId="0" fontId="4" fillId="0" borderId="55" xfId="0" applyFont="1" applyBorder="1" applyAlignment="1">
      <alignment horizontal="center" vertical="center" wrapText="1" readingOrder="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8" fillId="0" borderId="18" xfId="0" applyFont="1" applyBorder="1" applyAlignment="1">
      <alignment horizontal="center" vertical="center"/>
    </xf>
    <xf numFmtId="0" fontId="8" fillId="0" borderId="50" xfId="0" applyFont="1" applyBorder="1" applyAlignment="1">
      <alignment horizontal="center" vertical="center"/>
    </xf>
    <xf numFmtId="0" fontId="8" fillId="0" borderId="19" xfId="0" applyFont="1" applyBorder="1" applyAlignment="1">
      <alignment horizontal="center" vertical="center"/>
    </xf>
    <xf numFmtId="164" fontId="8" fillId="0" borderId="52" xfId="0" applyNumberFormat="1" applyFont="1" applyBorder="1" applyAlignment="1">
      <alignment horizontal="center" vertical="center"/>
    </xf>
    <xf numFmtId="164" fontId="8" fillId="0" borderId="53" xfId="0" applyNumberFormat="1" applyFont="1" applyBorder="1" applyAlignment="1">
      <alignment horizontal="center" vertical="center"/>
    </xf>
    <xf numFmtId="164" fontId="8" fillId="0" borderId="54" xfId="0" applyNumberFormat="1" applyFont="1" applyBorder="1" applyAlignment="1">
      <alignment horizontal="center" vertical="center"/>
    </xf>
    <xf numFmtId="164" fontId="8" fillId="0" borderId="18" xfId="0" applyNumberFormat="1" applyFont="1" applyBorder="1" applyAlignment="1">
      <alignment horizontal="center" vertical="center"/>
    </xf>
    <xf numFmtId="164" fontId="8" fillId="0" borderId="50" xfId="0" applyNumberFormat="1" applyFont="1" applyBorder="1" applyAlignment="1">
      <alignment horizontal="center" vertical="center"/>
    </xf>
    <xf numFmtId="164" fontId="8" fillId="0" borderId="19" xfId="0" applyNumberFormat="1" applyFont="1" applyBorder="1" applyAlignment="1">
      <alignment horizontal="center" vertical="center"/>
    </xf>
    <xf numFmtId="0" fontId="3" fillId="2" borderId="2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10" fillId="10" borderId="27" xfId="0" applyFont="1" applyFill="1" applyBorder="1" applyAlignment="1">
      <alignment horizontal="center" vertical="center" wrapText="1"/>
    </xf>
    <xf numFmtId="0" fontId="10" fillId="10" borderId="26" xfId="0" applyFont="1" applyFill="1" applyBorder="1" applyAlignment="1">
      <alignment horizontal="center" vertical="center" wrapText="1"/>
    </xf>
    <xf numFmtId="164" fontId="12" fillId="0" borderId="42" xfId="0" applyNumberFormat="1" applyFont="1" applyBorder="1" applyAlignment="1">
      <alignment horizontal="center" vertical="center"/>
    </xf>
    <xf numFmtId="164" fontId="12" fillId="0" borderId="43" xfId="0" applyNumberFormat="1" applyFont="1" applyBorder="1" applyAlignment="1">
      <alignment horizontal="center" vertical="center"/>
    </xf>
    <xf numFmtId="164" fontId="12" fillId="0" borderId="44" xfId="0" applyNumberFormat="1" applyFont="1" applyBorder="1" applyAlignment="1">
      <alignment horizontal="center" vertical="center"/>
    </xf>
    <xf numFmtId="164" fontId="12" fillId="0" borderId="45" xfId="0" applyNumberFormat="1" applyFont="1" applyBorder="1" applyAlignment="1">
      <alignment horizontal="center" vertical="center"/>
    </xf>
    <xf numFmtId="0" fontId="9" fillId="10" borderId="31" xfId="0" applyFont="1" applyFill="1" applyBorder="1" applyAlignment="1">
      <alignment horizontal="center" vertical="center"/>
    </xf>
    <xf numFmtId="0" fontId="9" fillId="10" borderId="32" xfId="0" applyFont="1" applyFill="1" applyBorder="1" applyAlignment="1">
      <alignment horizontal="center" vertical="center"/>
    </xf>
    <xf numFmtId="0" fontId="10" fillId="9" borderId="13" xfId="0" applyFont="1" applyFill="1" applyBorder="1" applyAlignment="1">
      <alignment horizontal="center" vertical="center" wrapText="1"/>
    </xf>
    <xf numFmtId="0" fontId="10" fillId="9" borderId="33" xfId="0" applyFont="1" applyFill="1" applyBorder="1" applyAlignment="1">
      <alignment horizontal="center" vertical="center" wrapText="1"/>
    </xf>
    <xf numFmtId="0" fontId="10" fillId="9" borderId="36" xfId="0" applyFont="1" applyFill="1" applyBorder="1" applyAlignment="1">
      <alignment horizontal="center" vertical="center" wrapText="1"/>
    </xf>
    <xf numFmtId="0" fontId="9" fillId="10" borderId="13" xfId="0" applyFont="1" applyFill="1" applyBorder="1" applyAlignment="1">
      <alignment horizontal="center" vertical="center"/>
    </xf>
    <xf numFmtId="0" fontId="9" fillId="10" borderId="33" xfId="0" applyFont="1" applyFill="1" applyBorder="1" applyAlignment="1">
      <alignment horizontal="center" vertical="center"/>
    </xf>
    <xf numFmtId="0" fontId="9" fillId="10" borderId="36" xfId="0" applyFont="1" applyFill="1" applyBorder="1" applyAlignment="1">
      <alignment horizontal="center" vertical="center"/>
    </xf>
    <xf numFmtId="0" fontId="10" fillId="9" borderId="39" xfId="0" applyFont="1" applyFill="1" applyBorder="1" applyAlignment="1">
      <alignment horizontal="center" vertical="center" wrapText="1"/>
    </xf>
    <xf numFmtId="0" fontId="10" fillId="9" borderId="40" xfId="0" applyFont="1" applyFill="1" applyBorder="1" applyAlignment="1">
      <alignment horizontal="center" vertical="center" wrapText="1"/>
    </xf>
    <xf numFmtId="0" fontId="10" fillId="9" borderId="46" xfId="0" applyFont="1" applyFill="1" applyBorder="1" applyAlignment="1">
      <alignment horizontal="center" vertical="center" wrapText="1"/>
    </xf>
    <xf numFmtId="0" fontId="10" fillId="9" borderId="47" xfId="0" applyFont="1" applyFill="1" applyBorder="1" applyAlignment="1">
      <alignment horizontal="center" vertical="center" wrapText="1"/>
    </xf>
    <xf numFmtId="0" fontId="10" fillId="9" borderId="49" xfId="0" applyFont="1" applyFill="1" applyBorder="1" applyAlignment="1">
      <alignment horizontal="center" vertical="center" wrapText="1"/>
    </xf>
    <xf numFmtId="0" fontId="10" fillId="9" borderId="51" xfId="0" applyFont="1" applyFill="1" applyBorder="1" applyAlignment="1">
      <alignment horizontal="center" vertical="center" wrapText="1"/>
    </xf>
    <xf numFmtId="0" fontId="10" fillId="9" borderId="27" xfId="0" applyFont="1" applyFill="1" applyBorder="1" applyAlignment="1">
      <alignment horizontal="center" vertical="center" wrapText="1"/>
    </xf>
    <xf numFmtId="0" fontId="10" fillId="9" borderId="48"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4" fillId="0" borderId="27" xfId="0" applyFont="1" applyBorder="1" applyAlignment="1">
      <alignment horizontal="center" vertical="center" wrapText="1" readingOrder="1"/>
    </xf>
    <xf numFmtId="0" fontId="4" fillId="0" borderId="28" xfId="0" applyFont="1" applyBorder="1" applyAlignment="1">
      <alignment horizontal="center" vertical="center" wrapText="1" readingOrder="1"/>
    </xf>
    <xf numFmtId="0" fontId="2" fillId="0" borderId="26" xfId="0" applyFont="1" applyBorder="1" applyAlignment="1">
      <alignment horizontal="center" vertical="center" wrapText="1"/>
    </xf>
    <xf numFmtId="0" fontId="2" fillId="0" borderId="28" xfId="0" applyFont="1" applyBorder="1" applyAlignment="1">
      <alignment horizontal="center" vertical="center" wrapText="1"/>
    </xf>
    <xf numFmtId="0" fontId="4" fillId="0" borderId="5" xfId="0" applyFont="1" applyBorder="1" applyAlignment="1">
      <alignment horizontal="center" vertical="center" wrapText="1" readingOrder="1"/>
    </xf>
  </cellXfs>
  <cellStyles count="16">
    <cellStyle name="Hyperlink 2" xfId="12" xr:uid="{02B0A071-259B-444A-ACCD-3189F8CEE92E}"/>
    <cellStyle name="Normal" xfId="0" builtinId="0"/>
    <cellStyle name="Normal 10" xfId="2" xr:uid="{00000000-0005-0000-0000-000031000000}"/>
    <cellStyle name="Normal 2" xfId="3" xr:uid="{00000000-0005-0000-0000-000032000000}"/>
    <cellStyle name="Normal 2 2" xfId="4" xr:uid="{00000000-0005-0000-0000-000033000000}"/>
    <cellStyle name="Normal 2 3" xfId="5" xr:uid="{00000000-0005-0000-0000-000034000000}"/>
    <cellStyle name="Normal 2 3 2" xfId="14" xr:uid="{FD0B22CC-EB49-4AAF-8568-7363BED3F222}"/>
    <cellStyle name="Normal 21" xfId="6" xr:uid="{00000000-0005-0000-0000-000035000000}"/>
    <cellStyle name="Normal 3" xfId="7" xr:uid="{00000000-0005-0000-0000-000036000000}"/>
    <cellStyle name="Normal 3 2" xfId="11" xr:uid="{E8458596-EA47-4450-8688-1AD747C7A6C7}"/>
    <cellStyle name="Normal 4" xfId="8" xr:uid="{00000000-0005-0000-0000-000037000000}"/>
    <cellStyle name="Normal 4 2" xfId="15" xr:uid="{EA0D56C6-2705-4C57-865C-2753423388D7}"/>
    <cellStyle name="Normal 5" xfId="13" xr:uid="{62710701-BF6E-491B-AA05-171F34DB0F4B}"/>
    <cellStyle name="Percent" xfId="1" builtinId="5"/>
    <cellStyle name="Percent 2" xfId="9" xr:uid="{00000000-0005-0000-0000-000038000000}"/>
    <cellStyle name="常规 2" xfId="10" xr:uid="{00000000-0005-0000-0000-000039000000}"/>
  </cellStyles>
  <dxfs count="0"/>
  <tableStyles count="0" defaultTableStyle="TableStyleMedium2" defaultPivotStyle="PivotStyleLight16"/>
  <colors>
    <mruColors>
      <color rgb="FF008000"/>
      <color rgb="FFFF3FE8"/>
      <color rgb="FFFFFF99"/>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png"/><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F7EBC459-95C4-4542-BF34-F394204D2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29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99B12B4B-734F-4EF9-A496-7CDE96994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5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5854700</xdr:colOff>
      <xdr:row>15</xdr:row>
      <xdr:rowOff>8466</xdr:rowOff>
    </xdr:from>
    <xdr:to>
      <xdr:col>6</xdr:col>
      <xdr:colOff>67733</xdr:colOff>
      <xdr:row>16</xdr:row>
      <xdr:rowOff>2540</xdr:rowOff>
    </xdr:to>
    <xdr:sp macro="" textlink="">
      <xdr:nvSpPr>
        <xdr:cNvPr id="2" name="Right Brace 8">
          <a:extLst>
            <a:ext uri="{FF2B5EF4-FFF2-40B4-BE49-F238E27FC236}">
              <a16:creationId xmlns:a16="http://schemas.microsoft.com/office/drawing/2014/main" id="{44E79628-2305-4583-BA5C-01B315FDF34B}"/>
            </a:ext>
          </a:extLst>
        </xdr:cNvPr>
        <xdr:cNvSpPr/>
      </xdr:nvSpPr>
      <xdr:spPr>
        <a:xfrm>
          <a:off x="9131300" y="4904316"/>
          <a:ext cx="956733" cy="308017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5</xdr:col>
      <xdr:colOff>8467</xdr:colOff>
      <xdr:row>18</xdr:row>
      <xdr:rowOff>0</xdr:rowOff>
    </xdr:from>
    <xdr:to>
      <xdr:col>6</xdr:col>
      <xdr:colOff>93133</xdr:colOff>
      <xdr:row>20</xdr:row>
      <xdr:rowOff>0</xdr:rowOff>
    </xdr:to>
    <xdr:sp macro="" textlink="">
      <xdr:nvSpPr>
        <xdr:cNvPr id="3" name="Right Brace 10">
          <a:extLst>
            <a:ext uri="{FF2B5EF4-FFF2-40B4-BE49-F238E27FC236}">
              <a16:creationId xmlns:a16="http://schemas.microsoft.com/office/drawing/2014/main" id="{04C5D56A-CCA2-4EC0-8DEF-1DD511903B50}"/>
            </a:ext>
          </a:extLst>
        </xdr:cNvPr>
        <xdr:cNvSpPr/>
      </xdr:nvSpPr>
      <xdr:spPr>
        <a:xfrm>
          <a:off x="9142942" y="12401550"/>
          <a:ext cx="970491" cy="428625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editAs="oneCell">
    <xdr:from>
      <xdr:col>6</xdr:col>
      <xdr:colOff>86360</xdr:colOff>
      <xdr:row>10</xdr:row>
      <xdr:rowOff>106680</xdr:rowOff>
    </xdr:from>
    <xdr:to>
      <xdr:col>10</xdr:col>
      <xdr:colOff>113030</xdr:colOff>
      <xdr:row>13</xdr:row>
      <xdr:rowOff>178435</xdr:rowOff>
    </xdr:to>
    <xdr:pic>
      <xdr:nvPicPr>
        <xdr:cNvPr id="4" name="Picture 15">
          <a:extLst>
            <a:ext uri="{FF2B5EF4-FFF2-40B4-BE49-F238E27FC236}">
              <a16:creationId xmlns:a16="http://schemas.microsoft.com/office/drawing/2014/main" id="{827CB3FD-F8C0-49F5-8B73-F7F1F53DC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106660" y="3545205"/>
          <a:ext cx="3569970" cy="1033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76200</xdr:colOff>
      <xdr:row>0</xdr:row>
      <xdr:rowOff>0</xdr:rowOff>
    </xdr:from>
    <xdr:to>
      <xdr:col>9</xdr:col>
      <xdr:colOff>843915</xdr:colOff>
      <xdr:row>5</xdr:row>
      <xdr:rowOff>209550</xdr:rowOff>
    </xdr:to>
    <xdr:pic>
      <xdr:nvPicPr>
        <xdr:cNvPr id="5" name="Picture 16">
          <a:extLst>
            <a:ext uri="{FF2B5EF4-FFF2-40B4-BE49-F238E27FC236}">
              <a16:creationId xmlns:a16="http://schemas.microsoft.com/office/drawing/2014/main" id="{58801697-24E0-4339-907C-49D1B362A462}"/>
            </a:ext>
          </a:extLst>
        </xdr:cNvPr>
        <xdr:cNvPicPr>
          <a:picLocks noChangeAspect="1"/>
        </xdr:cNvPicPr>
      </xdr:nvPicPr>
      <xdr:blipFill>
        <a:blip xmlns:r="http://schemas.openxmlformats.org/officeDocument/2006/relationships" r:embed="rId2"/>
        <a:stretch>
          <a:fillRect/>
        </a:stretch>
      </xdr:blipFill>
      <xdr:spPr>
        <a:xfrm>
          <a:off x="10096500" y="0"/>
          <a:ext cx="3425190" cy="1752600"/>
        </a:xfrm>
        <a:prstGeom prst="rect">
          <a:avLst/>
        </a:prstGeom>
      </xdr:spPr>
    </xdr:pic>
    <xdr:clientData/>
  </xdr:twoCellAnchor>
  <xdr:twoCellAnchor>
    <xdr:from>
      <xdr:col>4</xdr:col>
      <xdr:colOff>5854700</xdr:colOff>
      <xdr:row>15</xdr:row>
      <xdr:rowOff>8466</xdr:rowOff>
    </xdr:from>
    <xdr:to>
      <xdr:col>6</xdr:col>
      <xdr:colOff>67733</xdr:colOff>
      <xdr:row>16</xdr:row>
      <xdr:rowOff>2540</xdr:rowOff>
    </xdr:to>
    <xdr:sp macro="" textlink="">
      <xdr:nvSpPr>
        <xdr:cNvPr id="6" name="Right Brace 8">
          <a:extLst>
            <a:ext uri="{FF2B5EF4-FFF2-40B4-BE49-F238E27FC236}">
              <a16:creationId xmlns:a16="http://schemas.microsoft.com/office/drawing/2014/main" id="{E234869F-82BB-4CA1-81B0-86888947C0CD}"/>
            </a:ext>
          </a:extLst>
        </xdr:cNvPr>
        <xdr:cNvSpPr/>
      </xdr:nvSpPr>
      <xdr:spPr>
        <a:xfrm>
          <a:off x="9131300" y="4904316"/>
          <a:ext cx="956733" cy="308017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4</xdr:col>
      <xdr:colOff>3724275</xdr:colOff>
      <xdr:row>16</xdr:row>
      <xdr:rowOff>6985</xdr:rowOff>
    </xdr:from>
    <xdr:to>
      <xdr:col>6</xdr:col>
      <xdr:colOff>75565</xdr:colOff>
      <xdr:row>17</xdr:row>
      <xdr:rowOff>2571115</xdr:rowOff>
    </xdr:to>
    <xdr:sp macro="" textlink="">
      <xdr:nvSpPr>
        <xdr:cNvPr id="7" name="Right Brace 9">
          <a:extLst>
            <a:ext uri="{FF2B5EF4-FFF2-40B4-BE49-F238E27FC236}">
              <a16:creationId xmlns:a16="http://schemas.microsoft.com/office/drawing/2014/main" id="{C61D397E-F302-4E2F-B623-B3FE9B87B65F}"/>
            </a:ext>
          </a:extLst>
        </xdr:cNvPr>
        <xdr:cNvSpPr/>
      </xdr:nvSpPr>
      <xdr:spPr>
        <a:xfrm>
          <a:off x="9096375" y="7988935"/>
          <a:ext cx="999490" cy="439293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5</xdr:col>
      <xdr:colOff>8467</xdr:colOff>
      <xdr:row>18</xdr:row>
      <xdr:rowOff>0</xdr:rowOff>
    </xdr:from>
    <xdr:to>
      <xdr:col>6</xdr:col>
      <xdr:colOff>93133</xdr:colOff>
      <xdr:row>20</xdr:row>
      <xdr:rowOff>0</xdr:rowOff>
    </xdr:to>
    <xdr:sp macro="" textlink="">
      <xdr:nvSpPr>
        <xdr:cNvPr id="8" name="Right Brace 10">
          <a:extLst>
            <a:ext uri="{FF2B5EF4-FFF2-40B4-BE49-F238E27FC236}">
              <a16:creationId xmlns:a16="http://schemas.microsoft.com/office/drawing/2014/main" id="{396B1643-788F-4F82-91E0-63C699F401BF}"/>
            </a:ext>
          </a:extLst>
        </xdr:cNvPr>
        <xdr:cNvSpPr/>
      </xdr:nvSpPr>
      <xdr:spPr>
        <a:xfrm>
          <a:off x="9142942" y="12401550"/>
          <a:ext cx="970491" cy="428625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4</xdr:col>
      <xdr:colOff>3724275</xdr:colOff>
      <xdr:row>20</xdr:row>
      <xdr:rowOff>5715</xdr:rowOff>
    </xdr:from>
    <xdr:to>
      <xdr:col>6</xdr:col>
      <xdr:colOff>100965</xdr:colOff>
      <xdr:row>20</xdr:row>
      <xdr:rowOff>1384935</xdr:rowOff>
    </xdr:to>
    <xdr:sp macro="" textlink="">
      <xdr:nvSpPr>
        <xdr:cNvPr id="9" name="Right Brace 11">
          <a:extLst>
            <a:ext uri="{FF2B5EF4-FFF2-40B4-BE49-F238E27FC236}">
              <a16:creationId xmlns:a16="http://schemas.microsoft.com/office/drawing/2014/main" id="{E4AE94BA-C9F7-4D0D-AEBE-676552F6CAAA}"/>
            </a:ext>
          </a:extLst>
        </xdr:cNvPr>
        <xdr:cNvSpPr/>
      </xdr:nvSpPr>
      <xdr:spPr>
        <a:xfrm>
          <a:off x="9096375" y="16693515"/>
          <a:ext cx="1024890" cy="137922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4</xdr:col>
      <xdr:colOff>3724275</xdr:colOff>
      <xdr:row>20</xdr:row>
      <xdr:rowOff>1383665</xdr:rowOff>
    </xdr:from>
    <xdr:to>
      <xdr:col>6</xdr:col>
      <xdr:colOff>75565</xdr:colOff>
      <xdr:row>24</xdr:row>
      <xdr:rowOff>23495</xdr:rowOff>
    </xdr:to>
    <xdr:sp macro="" textlink="">
      <xdr:nvSpPr>
        <xdr:cNvPr id="10" name="Right Brace 12">
          <a:extLst>
            <a:ext uri="{FF2B5EF4-FFF2-40B4-BE49-F238E27FC236}">
              <a16:creationId xmlns:a16="http://schemas.microsoft.com/office/drawing/2014/main" id="{E04941EB-DB7C-49FD-9161-39D75319BE6E}"/>
            </a:ext>
          </a:extLst>
        </xdr:cNvPr>
        <xdr:cNvSpPr/>
      </xdr:nvSpPr>
      <xdr:spPr>
        <a:xfrm>
          <a:off x="9096375" y="18071465"/>
          <a:ext cx="999490" cy="870775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editAs="oneCell">
    <xdr:from>
      <xdr:col>6</xdr:col>
      <xdr:colOff>86360</xdr:colOff>
      <xdr:row>10</xdr:row>
      <xdr:rowOff>106680</xdr:rowOff>
    </xdr:from>
    <xdr:to>
      <xdr:col>10</xdr:col>
      <xdr:colOff>113030</xdr:colOff>
      <xdr:row>13</xdr:row>
      <xdr:rowOff>178435</xdr:rowOff>
    </xdr:to>
    <xdr:pic>
      <xdr:nvPicPr>
        <xdr:cNvPr id="11" name="Picture 15">
          <a:extLst>
            <a:ext uri="{FF2B5EF4-FFF2-40B4-BE49-F238E27FC236}">
              <a16:creationId xmlns:a16="http://schemas.microsoft.com/office/drawing/2014/main" id="{5B9F8C37-89F8-4B53-8C0C-9502B4E82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106660" y="3545205"/>
          <a:ext cx="3569970" cy="1033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76200</xdr:colOff>
      <xdr:row>0</xdr:row>
      <xdr:rowOff>0</xdr:rowOff>
    </xdr:from>
    <xdr:to>
      <xdr:col>9</xdr:col>
      <xdr:colOff>843915</xdr:colOff>
      <xdr:row>5</xdr:row>
      <xdr:rowOff>209550</xdr:rowOff>
    </xdr:to>
    <xdr:pic>
      <xdr:nvPicPr>
        <xdr:cNvPr id="12" name="Picture 16">
          <a:extLst>
            <a:ext uri="{FF2B5EF4-FFF2-40B4-BE49-F238E27FC236}">
              <a16:creationId xmlns:a16="http://schemas.microsoft.com/office/drawing/2014/main" id="{E7BFDF15-A3F1-4D61-8772-0F9675FDA26D}"/>
            </a:ext>
          </a:extLst>
        </xdr:cNvPr>
        <xdr:cNvPicPr>
          <a:picLocks noChangeAspect="1"/>
        </xdr:cNvPicPr>
      </xdr:nvPicPr>
      <xdr:blipFill>
        <a:blip xmlns:r="http://schemas.openxmlformats.org/officeDocument/2006/relationships" r:embed="rId2"/>
        <a:stretch>
          <a:fillRect/>
        </a:stretch>
      </xdr:blipFill>
      <xdr:spPr>
        <a:xfrm>
          <a:off x="10096500" y="0"/>
          <a:ext cx="3425190" cy="1752600"/>
        </a:xfrm>
        <a:prstGeom prst="rect">
          <a:avLst/>
        </a:prstGeom>
      </xdr:spPr>
    </xdr:pic>
    <xdr:clientData/>
  </xdr:twoCellAnchor>
  <xdr:twoCellAnchor editAs="oneCell">
    <xdr:from>
      <xdr:col>6</xdr:col>
      <xdr:colOff>114300</xdr:colOff>
      <xdr:row>15</xdr:row>
      <xdr:rowOff>1257300</xdr:rowOff>
    </xdr:from>
    <xdr:to>
      <xdr:col>10</xdr:col>
      <xdr:colOff>160867</xdr:colOff>
      <xdr:row>15</xdr:row>
      <xdr:rowOff>1816011</xdr:rowOff>
    </xdr:to>
    <xdr:pic>
      <xdr:nvPicPr>
        <xdr:cNvPr id="13" name="Picture 12">
          <a:extLst>
            <a:ext uri="{FF2B5EF4-FFF2-40B4-BE49-F238E27FC236}">
              <a16:creationId xmlns:a16="http://schemas.microsoft.com/office/drawing/2014/main" id="{1A195139-54E6-4CB7-AE30-1B2FACCB5B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34600" y="6153150"/>
          <a:ext cx="3589867"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133350</xdr:colOff>
      <xdr:row>17</xdr:row>
      <xdr:rowOff>85725</xdr:rowOff>
    </xdr:from>
    <xdr:to>
      <xdr:col>10</xdr:col>
      <xdr:colOff>171450</xdr:colOff>
      <xdr:row>17</xdr:row>
      <xdr:rowOff>634365</xdr:rowOff>
    </xdr:to>
    <xdr:pic>
      <xdr:nvPicPr>
        <xdr:cNvPr id="14" name="Picture 13">
          <a:extLst>
            <a:ext uri="{FF2B5EF4-FFF2-40B4-BE49-F238E27FC236}">
              <a16:creationId xmlns:a16="http://schemas.microsoft.com/office/drawing/2014/main" id="{BE852B90-9251-4593-BC7A-64B038039A5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53650" y="9896475"/>
          <a:ext cx="358140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161925</xdr:colOff>
      <xdr:row>19</xdr:row>
      <xdr:rowOff>152400</xdr:rowOff>
    </xdr:from>
    <xdr:to>
      <xdr:col>10</xdr:col>
      <xdr:colOff>200025</xdr:colOff>
      <xdr:row>19</xdr:row>
      <xdr:rowOff>709295</xdr:rowOff>
    </xdr:to>
    <xdr:pic>
      <xdr:nvPicPr>
        <xdr:cNvPr id="15" name="Picture 14">
          <a:extLst>
            <a:ext uri="{FF2B5EF4-FFF2-40B4-BE49-F238E27FC236}">
              <a16:creationId xmlns:a16="http://schemas.microsoft.com/office/drawing/2014/main" id="{C74ECB01-C709-416B-B5A2-C37F043CB80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182225" y="14230350"/>
          <a:ext cx="3581400" cy="556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142875</xdr:colOff>
      <xdr:row>20</xdr:row>
      <xdr:rowOff>371475</xdr:rowOff>
    </xdr:from>
    <xdr:to>
      <xdr:col>10</xdr:col>
      <xdr:colOff>123825</xdr:colOff>
      <xdr:row>20</xdr:row>
      <xdr:rowOff>956101</xdr:rowOff>
    </xdr:to>
    <xdr:pic>
      <xdr:nvPicPr>
        <xdr:cNvPr id="16" name="Picture 15">
          <a:extLst>
            <a:ext uri="{FF2B5EF4-FFF2-40B4-BE49-F238E27FC236}">
              <a16:creationId xmlns:a16="http://schemas.microsoft.com/office/drawing/2014/main" id="{3D4A1544-4C77-46CE-B358-CC8B2ABE20A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163175" y="17059275"/>
          <a:ext cx="3524250" cy="58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161925</xdr:colOff>
      <xdr:row>22</xdr:row>
      <xdr:rowOff>590550</xdr:rowOff>
    </xdr:from>
    <xdr:to>
      <xdr:col>10</xdr:col>
      <xdr:colOff>142875</xdr:colOff>
      <xdr:row>22</xdr:row>
      <xdr:rowOff>1175176</xdr:rowOff>
    </xdr:to>
    <xdr:pic>
      <xdr:nvPicPr>
        <xdr:cNvPr id="17" name="Picture 15">
          <a:extLst>
            <a:ext uri="{FF2B5EF4-FFF2-40B4-BE49-F238E27FC236}">
              <a16:creationId xmlns:a16="http://schemas.microsoft.com/office/drawing/2014/main" id="{A7408B88-0E6C-41E9-BC7D-8F65A1067F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182225" y="22117050"/>
          <a:ext cx="3524250" cy="58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2" name="Picture 1" descr="A black background with red and blue text&#10;&#10;AI-generated content may be incorrect.">
          <a:extLst>
            <a:ext uri="{FF2B5EF4-FFF2-40B4-BE49-F238E27FC236}">
              <a16:creationId xmlns:a16="http://schemas.microsoft.com/office/drawing/2014/main" id="{09E945B5-3FC0-402A-915A-86121664C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48325" y="9525"/>
          <a:ext cx="1207135" cy="9328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_y\Downloads\GB1524_Change_Management_Template_v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_Orange"/>
      <sheetName val="Document Title"/>
      <sheetName val="Notice"/>
      <sheetName val="Guideline"/>
      <sheetName val="Change Management"/>
      <sheetName val="Scoring"/>
      <sheetName val="Administrative Appendix"/>
      <sheetName val="Change Management_Orange"/>
      <sheetName val="Scoring_Orange"/>
      <sheetName val="Change Management-tracking_Oran"/>
    </sheetNames>
    <sheetDataSet>
      <sheetData sheetId="0"/>
      <sheetData sheetId="1"/>
      <sheetData sheetId="2"/>
      <sheetData sheetId="3"/>
      <sheetData sheetId="4">
        <row r="4">
          <cell r="C4" t="str">
            <v>Intent Translation, &amp; Intent Fulfilment</v>
          </cell>
        </row>
        <row r="5">
          <cell r="C5" t="str">
            <v>Change Request Validation &amp; Acceptance</v>
          </cell>
        </row>
        <row r="6">
          <cell r="C6" t="str">
            <v>Change Request Information Collection</v>
          </cell>
        </row>
        <row r="7">
          <cell r="C7" t="str">
            <v>Requirements Impact &amp; Risk Analysis</v>
          </cell>
        </row>
        <row r="8">
          <cell r="C8" t="str">
            <v>Network change Solution Generation</v>
          </cell>
        </row>
        <row r="9">
          <cell r="C9" t="str">
            <v>Network Change solution Evaluation &amp; Decision</v>
          </cell>
        </row>
        <row r="10">
          <cell r="C10" t="str">
            <v>Network Normality Verification</v>
          </cell>
        </row>
        <row r="11">
          <cell r="C11" t="str">
            <v>Network Change Implementation</v>
          </cell>
        </row>
        <row r="12">
          <cell r="C12" t="str">
            <v>Service Verification</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6"/>
  <sheetViews>
    <sheetView topLeftCell="A16" zoomScale="80" zoomScaleNormal="80" workbookViewId="0">
      <selection activeCell="B21" sqref="B21:B25"/>
    </sheetView>
  </sheetViews>
  <sheetFormatPr defaultColWidth="8.453125" defaultRowHeight="12.5"/>
  <cols>
    <col min="1" max="1" width="3.7265625" style="3" customWidth="1"/>
    <col min="2" max="2" width="11.7265625" style="3" customWidth="1"/>
    <col min="3" max="3" width="14.26953125" style="3" customWidth="1"/>
    <col min="4" max="4" width="50.7265625" style="3" customWidth="1"/>
    <col min="5" max="5" width="126.26953125" style="3" customWidth="1"/>
    <col min="6" max="16384" width="8.453125" style="3"/>
  </cols>
  <sheetData>
    <row r="2" spans="2:5" s="156" customFormat="1" ht="15.5">
      <c r="B2" s="251" t="s">
        <v>0</v>
      </c>
      <c r="C2" s="240"/>
      <c r="D2" s="240"/>
      <c r="E2" s="241"/>
    </row>
    <row r="3" spans="2:5" s="156" customFormat="1" ht="14">
      <c r="B3" s="252" t="s">
        <v>1</v>
      </c>
      <c r="C3" s="253"/>
      <c r="D3" s="253"/>
      <c r="E3" s="254"/>
    </row>
    <row r="4" spans="2:5" s="156" customFormat="1" ht="14">
      <c r="B4" s="248" t="s">
        <v>2</v>
      </c>
      <c r="C4" s="249"/>
      <c r="D4" s="249"/>
      <c r="E4" s="250"/>
    </row>
    <row r="5" spans="2:5" s="156" customFormat="1" ht="14">
      <c r="B5" s="248" t="s">
        <v>3</v>
      </c>
      <c r="C5" s="249"/>
      <c r="D5" s="249"/>
      <c r="E5" s="250"/>
    </row>
    <row r="6" spans="2:5" s="156" customFormat="1" ht="14">
      <c r="B6" s="248" t="s">
        <v>4</v>
      </c>
      <c r="C6" s="249"/>
      <c r="D6" s="249"/>
      <c r="E6" s="250"/>
    </row>
    <row r="7" spans="2:5" s="156" customFormat="1" ht="14">
      <c r="B7" s="248" t="s">
        <v>5</v>
      </c>
      <c r="C7" s="249"/>
      <c r="D7" s="249"/>
      <c r="E7" s="250"/>
    </row>
    <row r="8" spans="2:5" s="156" customFormat="1" ht="14">
      <c r="B8" s="248" t="s">
        <v>6</v>
      </c>
      <c r="C8" s="249"/>
      <c r="D8" s="249"/>
      <c r="E8" s="250"/>
    </row>
    <row r="9" spans="2:5" s="156" customFormat="1" ht="14">
      <c r="B9" s="248" t="s">
        <v>7</v>
      </c>
      <c r="C9" s="249"/>
      <c r="D9" s="249"/>
      <c r="E9" s="250"/>
    </row>
    <row r="10" spans="2:5" s="156" customFormat="1" ht="14">
      <c r="B10" s="248" t="s">
        <v>8</v>
      </c>
      <c r="C10" s="249"/>
      <c r="D10" s="249"/>
      <c r="E10" s="250"/>
    </row>
    <row r="11" spans="2:5" s="156" customFormat="1" ht="14">
      <c r="B11" s="248" t="s">
        <v>9</v>
      </c>
      <c r="C11" s="249"/>
      <c r="D11" s="249"/>
      <c r="E11" s="250"/>
    </row>
    <row r="12" spans="2:5" s="156" customFormat="1" ht="14">
      <c r="B12" s="236" t="s">
        <v>10</v>
      </c>
      <c r="C12" s="237"/>
      <c r="D12" s="237"/>
      <c r="E12" s="238"/>
    </row>
    <row r="14" spans="2:5" ht="15.5">
      <c r="B14" s="39"/>
      <c r="C14" s="239" t="s">
        <v>11</v>
      </c>
      <c r="D14" s="240"/>
      <c r="E14" s="241"/>
    </row>
    <row r="15" spans="2:5" ht="39">
      <c r="B15" s="157" t="s">
        <v>12</v>
      </c>
      <c r="C15" s="40" t="s">
        <v>13</v>
      </c>
      <c r="D15" s="40" t="s">
        <v>14</v>
      </c>
      <c r="E15" s="162" t="s">
        <v>15</v>
      </c>
    </row>
    <row r="16" spans="2:5" ht="114">
      <c r="B16" s="158" t="s">
        <v>16</v>
      </c>
      <c r="C16" s="159" t="s">
        <v>17</v>
      </c>
      <c r="D16" s="48" t="s">
        <v>18</v>
      </c>
      <c r="E16" s="163" t="s">
        <v>19</v>
      </c>
    </row>
    <row r="17" spans="2:5" ht="62.5">
      <c r="B17" s="160" t="s">
        <v>20</v>
      </c>
      <c r="C17" s="159" t="s">
        <v>21</v>
      </c>
      <c r="D17" s="48" t="s">
        <v>22</v>
      </c>
      <c r="E17" s="163" t="s">
        <v>23</v>
      </c>
    </row>
    <row r="18" spans="2:5" ht="37.5">
      <c r="B18" s="243" t="s">
        <v>24</v>
      </c>
      <c r="C18" s="159" t="s">
        <v>24</v>
      </c>
      <c r="D18" s="15" t="s">
        <v>25</v>
      </c>
      <c r="E18" s="164" t="s">
        <v>26</v>
      </c>
    </row>
    <row r="19" spans="2:5" ht="62.5">
      <c r="B19" s="244"/>
      <c r="C19" s="161" t="s">
        <v>27</v>
      </c>
      <c r="D19" s="51" t="s">
        <v>28</v>
      </c>
      <c r="E19" s="163" t="s">
        <v>29</v>
      </c>
    </row>
    <row r="20" spans="2:5" ht="37.5">
      <c r="B20" s="160" t="s">
        <v>30</v>
      </c>
      <c r="C20" s="159" t="s">
        <v>31</v>
      </c>
      <c r="D20" s="48" t="s">
        <v>32</v>
      </c>
      <c r="E20" s="165" t="s">
        <v>33</v>
      </c>
    </row>
    <row r="21" spans="2:5" ht="25">
      <c r="B21" s="245" t="s">
        <v>34</v>
      </c>
      <c r="C21" s="159"/>
      <c r="D21" s="48" t="s">
        <v>35</v>
      </c>
      <c r="E21" s="165" t="s">
        <v>36</v>
      </c>
    </row>
    <row r="22" spans="2:5" ht="62.5">
      <c r="B22" s="246"/>
      <c r="C22" s="94" t="s">
        <v>37</v>
      </c>
      <c r="D22" s="48" t="s">
        <v>38</v>
      </c>
      <c r="E22" s="165" t="s">
        <v>39</v>
      </c>
    </row>
    <row r="23" spans="2:5" ht="37.5">
      <c r="B23" s="246"/>
      <c r="C23" s="94" t="s">
        <v>40</v>
      </c>
      <c r="D23" s="48" t="s">
        <v>41</v>
      </c>
      <c r="E23" s="165" t="s">
        <v>42</v>
      </c>
    </row>
    <row r="24" spans="2:5" ht="50">
      <c r="B24" s="246"/>
      <c r="C24" s="94" t="s">
        <v>43</v>
      </c>
      <c r="D24" s="48" t="s">
        <v>44</v>
      </c>
      <c r="E24" s="163" t="s">
        <v>45</v>
      </c>
    </row>
    <row r="25" spans="2:5" ht="50">
      <c r="B25" s="247"/>
      <c r="C25" s="94" t="s">
        <v>46</v>
      </c>
      <c r="D25" s="15" t="s">
        <v>47</v>
      </c>
      <c r="E25" s="166" t="s">
        <v>48</v>
      </c>
    </row>
    <row r="26" spans="2:5">
      <c r="D26" s="242"/>
      <c r="E26" s="242"/>
    </row>
  </sheetData>
  <mergeCells count="15">
    <mergeCell ref="B2:E2"/>
    <mergeCell ref="B3:E3"/>
    <mergeCell ref="B4:E4"/>
    <mergeCell ref="B5:E5"/>
    <mergeCell ref="B6:E6"/>
    <mergeCell ref="B7:E7"/>
    <mergeCell ref="B8:E8"/>
    <mergeCell ref="B9:E9"/>
    <mergeCell ref="B10:E10"/>
    <mergeCell ref="B11:E11"/>
    <mergeCell ref="B12:E12"/>
    <mergeCell ref="C14:E14"/>
    <mergeCell ref="D26:E26"/>
    <mergeCell ref="B18:B19"/>
    <mergeCell ref="B21:B25"/>
  </mergeCells>
  <pageMargins left="0.7" right="0.7" top="0.75" bottom="0.75" header="0.3" footer="0.3"/>
  <pageSetup paperSize="9" orientation="portrait"/>
  <headerFooter>
    <oddFooter>&amp;C&amp;1#&amp;"Calibri"&amp;8&amp;KED7D31Orange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2EC2-C06C-4B59-A415-096C34EFB4CB}">
  <dimension ref="A1:Z998"/>
  <sheetViews>
    <sheetView tabSelected="1" topLeftCell="A7" workbookViewId="0">
      <selection activeCell="A16" sqref="A16"/>
    </sheetView>
  </sheetViews>
  <sheetFormatPr defaultColWidth="14.7265625" defaultRowHeight="15" customHeight="1"/>
  <cols>
    <col min="1" max="1" width="77.1796875" style="168" customWidth="1"/>
    <col min="2" max="2" width="54.26953125" style="168" customWidth="1"/>
    <col min="3" max="26" width="9.1796875" style="168" customWidth="1"/>
    <col min="27" max="16384" width="14.7265625" style="168"/>
  </cols>
  <sheetData>
    <row r="1" spans="1:26" ht="12.75" customHeight="1">
      <c r="A1" s="167"/>
      <c r="B1" s="167"/>
      <c r="C1" s="167"/>
      <c r="D1" s="167"/>
      <c r="E1" s="167"/>
      <c r="F1" s="167"/>
      <c r="G1" s="167"/>
      <c r="H1" s="167"/>
      <c r="I1" s="167"/>
      <c r="J1" s="167"/>
      <c r="K1" s="167"/>
      <c r="L1" s="167"/>
      <c r="M1" s="167"/>
      <c r="N1" s="167"/>
      <c r="O1" s="167"/>
      <c r="P1" s="167"/>
      <c r="Q1" s="167"/>
      <c r="R1" s="167"/>
      <c r="S1" s="167"/>
      <c r="T1" s="167"/>
      <c r="U1" s="167"/>
      <c r="V1" s="167"/>
      <c r="W1" s="167"/>
      <c r="X1" s="167"/>
      <c r="Y1" s="167"/>
      <c r="Z1" s="167"/>
    </row>
    <row r="2" spans="1:26" ht="12.75" customHeight="1">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row>
    <row r="3" spans="1:26" ht="12.75" customHeight="1">
      <c r="A3" s="167"/>
      <c r="B3" s="167"/>
      <c r="C3" s="167"/>
      <c r="D3" s="167"/>
      <c r="E3" s="167"/>
      <c r="F3" s="167"/>
      <c r="G3" s="167"/>
      <c r="H3" s="167"/>
      <c r="I3" s="167"/>
      <c r="J3" s="167"/>
      <c r="K3" s="167"/>
      <c r="L3" s="167"/>
      <c r="M3" s="167"/>
      <c r="N3" s="167"/>
      <c r="O3" s="167"/>
      <c r="P3" s="167"/>
      <c r="Q3" s="167"/>
      <c r="R3" s="167"/>
      <c r="S3" s="167"/>
      <c r="T3" s="167"/>
      <c r="U3" s="167"/>
      <c r="V3" s="167"/>
      <c r="W3" s="167"/>
      <c r="X3" s="167"/>
      <c r="Y3" s="167"/>
      <c r="Z3" s="167"/>
    </row>
    <row r="4" spans="1:26" ht="13">
      <c r="B4" s="167"/>
      <c r="C4" s="167"/>
      <c r="D4" s="167"/>
      <c r="E4" s="167"/>
      <c r="F4" s="167"/>
      <c r="G4" s="167"/>
      <c r="H4" s="167"/>
      <c r="I4" s="167"/>
      <c r="J4" s="167"/>
      <c r="K4" s="167"/>
      <c r="L4" s="167"/>
      <c r="M4" s="167"/>
      <c r="N4" s="167"/>
      <c r="O4" s="167"/>
      <c r="P4" s="167"/>
      <c r="Q4" s="167"/>
      <c r="R4" s="167"/>
      <c r="S4" s="167"/>
      <c r="T4" s="167"/>
      <c r="U4" s="167"/>
      <c r="V4" s="167"/>
      <c r="W4" s="167"/>
      <c r="X4" s="167"/>
      <c r="Y4" s="167"/>
      <c r="Z4" s="167"/>
    </row>
    <row r="5" spans="1:26" ht="12" customHeight="1">
      <c r="A5" s="169"/>
      <c r="B5" s="167"/>
      <c r="C5" s="167"/>
      <c r="D5" s="167"/>
      <c r="E5" s="167"/>
      <c r="F5" s="167"/>
      <c r="G5" s="167"/>
      <c r="H5" s="167"/>
      <c r="I5" s="167"/>
      <c r="J5" s="167"/>
      <c r="K5" s="167"/>
      <c r="L5" s="167"/>
      <c r="M5" s="167"/>
      <c r="N5" s="167"/>
      <c r="O5" s="167"/>
      <c r="P5" s="167"/>
      <c r="Q5" s="167"/>
      <c r="R5" s="167"/>
      <c r="S5" s="167"/>
      <c r="T5" s="167"/>
      <c r="U5" s="167"/>
      <c r="V5" s="167"/>
      <c r="W5" s="167"/>
      <c r="X5" s="167"/>
      <c r="Y5" s="167"/>
      <c r="Z5" s="167"/>
    </row>
    <row r="6" spans="1:26" ht="15.75" customHeight="1">
      <c r="A6" s="169"/>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spans="1:26" s="171" customFormat="1" ht="63" customHeight="1">
      <c r="A7" s="234" t="s">
        <v>49</v>
      </c>
      <c r="B7" s="234"/>
      <c r="C7" s="170"/>
      <c r="D7" s="170"/>
      <c r="E7" s="170"/>
      <c r="F7" s="170"/>
      <c r="G7" s="170"/>
      <c r="H7" s="170"/>
      <c r="I7" s="170"/>
      <c r="J7" s="170"/>
      <c r="K7" s="170"/>
      <c r="L7" s="170"/>
      <c r="M7" s="170"/>
      <c r="N7" s="170"/>
      <c r="O7" s="170"/>
      <c r="P7" s="170"/>
      <c r="Q7" s="170"/>
      <c r="R7" s="170"/>
      <c r="S7" s="170"/>
      <c r="T7" s="170"/>
      <c r="U7" s="170"/>
      <c r="V7" s="170"/>
      <c r="W7" s="170"/>
      <c r="X7" s="170"/>
      <c r="Y7" s="170"/>
      <c r="Z7" s="170"/>
    </row>
    <row r="8" spans="1:26" s="171" customFormat="1" ht="80.5" customHeight="1">
      <c r="A8" s="235" t="s">
        <v>50</v>
      </c>
      <c r="B8" s="235"/>
      <c r="C8" s="170"/>
      <c r="D8" s="170"/>
      <c r="E8" s="170"/>
      <c r="F8" s="170"/>
      <c r="G8" s="170"/>
      <c r="H8" s="170"/>
      <c r="I8" s="170"/>
      <c r="J8" s="170"/>
      <c r="K8" s="170"/>
      <c r="L8" s="170"/>
      <c r="M8" s="170"/>
      <c r="N8" s="170"/>
      <c r="O8" s="170"/>
      <c r="P8" s="170"/>
      <c r="Q8" s="170"/>
      <c r="R8" s="170"/>
      <c r="S8" s="170"/>
      <c r="T8" s="170"/>
      <c r="U8" s="170"/>
      <c r="V8" s="170"/>
      <c r="W8" s="170"/>
      <c r="X8" s="170"/>
      <c r="Y8" s="170"/>
      <c r="Z8" s="170"/>
    </row>
    <row r="9" spans="1:26" s="171" customFormat="1" ht="12.75" customHeight="1">
      <c r="A9" s="172"/>
      <c r="B9" s="170"/>
      <c r="C9" s="170"/>
      <c r="D9" s="170"/>
      <c r="E9" s="170"/>
      <c r="F9" s="170"/>
      <c r="G9" s="170"/>
      <c r="H9" s="170"/>
      <c r="I9" s="170"/>
      <c r="J9" s="170"/>
      <c r="K9" s="170"/>
      <c r="L9" s="170"/>
      <c r="M9" s="170"/>
      <c r="N9" s="170"/>
      <c r="O9" s="170"/>
      <c r="P9" s="170"/>
      <c r="Q9" s="170"/>
      <c r="R9" s="170"/>
      <c r="S9" s="170"/>
      <c r="T9" s="170"/>
      <c r="U9" s="170"/>
      <c r="V9" s="170"/>
      <c r="W9" s="170"/>
      <c r="X9" s="170"/>
      <c r="Y9" s="170"/>
      <c r="Z9" s="170"/>
    </row>
    <row r="10" spans="1:26" s="171" customFormat="1" ht="12.75" customHeight="1">
      <c r="A10" s="172"/>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row>
    <row r="11" spans="1:26" s="171" customFormat="1" ht="12.75" customHeight="1">
      <c r="A11" s="172"/>
      <c r="B11" s="170"/>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row>
    <row r="12" spans="1:26" s="171" customFormat="1" ht="14.25" customHeight="1">
      <c r="A12" s="172"/>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row>
    <row r="13" spans="1:26" s="171" customFormat="1" ht="12" customHeight="1">
      <c r="A13" s="172"/>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row>
    <row r="14" spans="1:26" s="171" customFormat="1" ht="23.5">
      <c r="A14" s="172" t="s">
        <v>51</v>
      </c>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row>
    <row r="15" spans="1:26" s="171" customFormat="1" ht="11.25" customHeight="1" thickBot="1">
      <c r="A15" s="172"/>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0"/>
    </row>
    <row r="16" spans="1:26" s="171" customFormat="1" ht="19" thickBot="1">
      <c r="A16" s="173" t="s">
        <v>342</v>
      </c>
      <c r="B16" s="174" t="s">
        <v>340</v>
      </c>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row>
    <row r="17" spans="1:26" s="171" customFormat="1" ht="19" thickBot="1">
      <c r="A17" s="175" t="s">
        <v>309</v>
      </c>
      <c r="B17" s="176" t="s">
        <v>310</v>
      </c>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row>
    <row r="18" spans="1:26" s="171" customFormat="1" ht="19" thickBot="1">
      <c r="A18" s="175" t="s">
        <v>341</v>
      </c>
      <c r="B18" s="176" t="s">
        <v>311</v>
      </c>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row>
    <row r="19" spans="1:26" s="171" customFormat="1" ht="13">
      <c r="A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row>
    <row r="20" spans="1:26" s="171" customFormat="1" ht="6.75" customHeight="1">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row>
    <row r="21" spans="1:26" s="171" customFormat="1" ht="12.75" customHeight="1">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row>
    <row r="22" spans="1:26" s="171" customFormat="1" ht="12.75" customHeight="1">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row>
    <row r="23" spans="1:26" s="171" customFormat="1" ht="12.75" customHeight="1">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row>
    <row r="24" spans="1:26" ht="12.75" customHeight="1">
      <c r="A24" s="167"/>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row>
    <row r="25" spans="1:26" ht="12.75" customHeight="1">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spans="1:26" ht="12.75" customHeight="1">
      <c r="A26" s="177" t="s">
        <v>312</v>
      </c>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row>
    <row r="27" spans="1:26" ht="12.75" customHeight="1">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row>
    <row r="28" spans="1:26" ht="12.75" customHeight="1">
      <c r="A28" s="167"/>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row>
    <row r="29" spans="1:26" ht="12.75" customHeight="1">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row>
    <row r="30" spans="1:26" ht="12.75" customHeight="1">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spans="1:26" ht="12.75" customHeight="1">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spans="1:26" ht="12.75" customHeight="1">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spans="1:26" ht="12.75" customHeight="1">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spans="1:26" ht="12.75" customHeight="1">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spans="1:26" ht="12.75" customHeight="1">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spans="1:26" ht="12.75" customHeight="1">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spans="1:26" ht="12.75" customHeight="1">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spans="1:26" ht="12.75" customHeight="1">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spans="1:26" ht="12.75"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spans="1:26" ht="12.75" customHeight="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spans="1:26" ht="12.75" customHeight="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spans="1:26" ht="12.75" customHeight="1">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spans="1:26" ht="12.75" customHeight="1">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spans="1:26" ht="12.75" customHeight="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spans="1:26" ht="12.7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spans="1:26" ht="12.75" customHeight="1">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spans="1:26" ht="12.75" customHeight="1">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spans="1:26" ht="12.75" customHeight="1">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spans="1:26" ht="12.75" customHeight="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spans="1:26" ht="12.75" customHeight="1">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spans="1:26" ht="12.75" customHeight="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spans="1:26" ht="12.75" customHeight="1">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spans="1:26" ht="12.75"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spans="1:26" ht="12.75"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spans="1:26" ht="12.75"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spans="1:26" ht="12.75"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spans="1:26" ht="12.75"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spans="1:26" ht="12.75"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spans="1:26" ht="12.75"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spans="1:26" ht="12.75" customHeight="1">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spans="1:26" ht="12.75" customHeight="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spans="1:26" ht="12.75" customHeight="1">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spans="1:26" ht="12.75"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spans="1:26" ht="12.75" customHeight="1">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spans="1:26" ht="12.75" customHeight="1">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spans="1:26" ht="12.75" customHeight="1">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spans="1:26" ht="12.75" customHeight="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spans="1:26" ht="12.75" customHeight="1">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spans="1:26" ht="12.75"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spans="1:26" ht="12.75"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spans="1:26" ht="12.75"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spans="1:26" ht="12.75"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spans="1:26" ht="12.75"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spans="1:26" ht="12.75"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spans="1:26" ht="12.75"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spans="1:26" ht="12.75"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spans="1:26" ht="12.75"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spans="1:26" ht="12.75"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spans="1:26" ht="12.75"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spans="1:26" ht="12.75"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spans="1:26" ht="12.75"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spans="1:26" ht="12.75"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spans="1:26" ht="12.75"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spans="1:26" ht="12.75"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spans="1:26" ht="12.75"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spans="1:26" ht="12.75"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spans="1:26" ht="12.75"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spans="1:26" ht="12.75"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spans="1:26" ht="12.75"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spans="1:26" ht="12.75"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spans="1:26" ht="12.75"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spans="1:26" ht="12.75"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spans="1:26" ht="12.75"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spans="1:26" ht="12.75"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spans="1:26" ht="12.75"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spans="1:26" ht="12.75"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spans="1:26" ht="12.75"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spans="1:26" ht="12.75"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spans="1:26" ht="12.75"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spans="1:26" ht="12.75"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spans="1:26" ht="12.75"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spans="1:26" ht="12.75"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spans="1:26" ht="12.75"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spans="1:26" ht="12.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spans="1:26" ht="12.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spans="1:26" ht="12.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spans="1:26" ht="12.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spans="1:26" ht="12.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spans="1:26" ht="12.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spans="1:26" ht="12.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spans="1:26" ht="12.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spans="1:26" ht="12.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spans="1:26" ht="12.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spans="1:26" ht="12.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spans="1:26" ht="12.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spans="1:26" ht="12.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spans="1:26" ht="12.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spans="1:26" ht="12.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spans="1:26" ht="12.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spans="1:26" ht="12.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spans="1:26" ht="12.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spans="1:26" ht="12.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spans="1:26" ht="12.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spans="1:26" ht="12.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spans="1:26" ht="12.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spans="1:26" ht="12.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spans="1:26" ht="12.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spans="1:26" ht="12.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spans="1:26" ht="12.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spans="1:26" ht="12.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spans="1:26" ht="12.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spans="1:26" ht="12.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spans="1:26" ht="12.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spans="1:26" ht="12.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spans="1:26" ht="12.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spans="1:26" ht="12.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spans="1:26" ht="12.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spans="1:26" ht="12.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spans="1:26" ht="12.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spans="1:26" ht="12.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spans="1:26" ht="12.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spans="1:26" ht="12.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spans="1:26" ht="12.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spans="1:26" ht="12.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spans="1:26" ht="12.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spans="1:26" ht="12.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spans="1:26" ht="12.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spans="1:26" ht="12.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spans="1:26" ht="12.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spans="1:26" ht="12.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spans="1:26" ht="12.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spans="1:26" ht="12.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spans="1:26" ht="12.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spans="1:26" ht="12.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spans="1:26" ht="12.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spans="1:26" ht="12.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spans="1:26" ht="12.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spans="1:26" ht="12.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spans="1:26" ht="12.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spans="1:26" ht="12.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spans="1:26" ht="12.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spans="1:26" ht="12.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spans="1:26" ht="12.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spans="1:26" ht="12.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spans="1:26" ht="12.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spans="1:26" ht="12.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spans="1:26" ht="12.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spans="1:26" ht="12.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spans="1:26" ht="12.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spans="1:26" ht="12.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spans="1:26" ht="12.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spans="1:26" ht="12.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spans="1:26" ht="12.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spans="1:26" ht="12.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spans="1:26" ht="12.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spans="1:26" ht="12.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spans="1:26" ht="12.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spans="1:26" ht="12.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spans="1:26" ht="12.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spans="1:26" ht="12.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spans="1:26" ht="12.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spans="1:26" ht="12.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spans="1:26" ht="12.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spans="1:26" ht="12.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spans="1:26" ht="12.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spans="1:26" ht="12.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spans="1:26" ht="12.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spans="1:26" ht="12.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spans="1:26" ht="12.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spans="1:26" ht="12.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spans="1:26" ht="12.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spans="1:26" ht="12.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spans="1:26" ht="12.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spans="1:26" ht="12.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spans="1:26" ht="12.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spans="1:26" ht="12.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spans="1:26" ht="12.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spans="1:26" ht="12.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spans="1:26" ht="12.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spans="1:26" ht="12.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spans="1:26" ht="12.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spans="1:26" ht="12.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spans="1:26" ht="12.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spans="1:26" ht="12.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spans="1:26" ht="12.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spans="1:26" ht="12.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spans="1:26" ht="12.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spans="1:26" ht="12.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spans="1:26" ht="12.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spans="1:26" ht="12.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spans="1:26" ht="12.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spans="1:26" ht="12.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spans="1:26" ht="12.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spans="1:26" ht="12.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spans="1:26" ht="12.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spans="1:26" ht="12.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spans="1:26" ht="12.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spans="1:26" ht="12.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spans="1:26" ht="12.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spans="1:26" ht="12.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spans="1:26" ht="12.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spans="1:26" ht="12.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spans="1:26" ht="12.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spans="1:26" ht="12.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spans="1:26" ht="12.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spans="1:26" ht="12.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spans="1:26" ht="12.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spans="1:26" ht="12.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spans="1:26" ht="12.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spans="1:26" ht="12.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spans="1:26" ht="12.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spans="1:26" ht="12.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spans="1:26" ht="12.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spans="1:26" ht="12.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spans="1:26" ht="12.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spans="1:26" ht="12.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spans="1:26" ht="12.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spans="1:26" ht="12.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spans="1:26" ht="12.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spans="1:26" ht="12.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spans="1:26" ht="12.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spans="1:26" ht="12.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spans="1:26" ht="12.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spans="1:26" ht="12.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spans="1:26" ht="12.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spans="1:26" ht="12.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spans="1:26" ht="12.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spans="1:26" ht="12.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spans="1:26" ht="12.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spans="1:26" ht="12.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spans="1:26" ht="12.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spans="1:26" ht="12.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spans="1:26" ht="12.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spans="1:26" ht="12.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spans="1:26" ht="12.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spans="1:26" ht="12.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spans="1:26" ht="12.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spans="1:26" ht="12.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spans="1:26" ht="12.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spans="1:26" ht="12.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spans="1:26" ht="12.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spans="1:26" ht="12.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spans="1:26" ht="12.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spans="1:26" ht="12.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spans="1:26" ht="12.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spans="1:26" ht="12.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spans="1:26" ht="12.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spans="1:26" ht="12.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spans="1:26" ht="12.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spans="1:26" ht="12.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spans="1:26" ht="12.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spans="1:26" ht="12.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spans="1:26" ht="12.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spans="1:26" ht="12.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spans="1:26" ht="12.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spans="1:26" ht="12.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spans="1:26" ht="12.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spans="1:26" ht="12.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spans="1:26" ht="12.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spans="1:26" ht="12.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spans="1:26" ht="12.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spans="1:26" ht="12.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spans="1:26" ht="12.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spans="1:26" ht="12.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spans="1:26" ht="12.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spans="1:26" ht="12.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spans="1:26" ht="12.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spans="1:26" ht="12.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spans="1:26" ht="12.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spans="1:26" ht="12.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spans="1:26" ht="12.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spans="1:26" ht="12.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spans="1:26" ht="12.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spans="1:26" ht="12.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spans="1:26" ht="12.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spans="1:26" ht="12.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spans="1:26" ht="12.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spans="1:26" ht="12.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spans="1:26" ht="12.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spans="1:26" ht="12.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spans="1:26" ht="12.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spans="1:26" ht="12.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spans="1:26" ht="12.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spans="1:26" ht="12.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spans="1:26" ht="12.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spans="1:26" ht="12.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spans="1:26" ht="12.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spans="1:26" ht="12.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spans="1:26" ht="12.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spans="1:26" ht="12.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spans="1:26" ht="12.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spans="1:26" ht="12.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spans="1:26" ht="12.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spans="1:26" ht="12.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spans="1:26" ht="12.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spans="1:26" ht="12.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spans="1:26" ht="12.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spans="1:26" ht="12.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spans="1:26" ht="12.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spans="1:26" ht="12.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spans="1:26" ht="12.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spans="1:26" ht="12.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spans="1:26" ht="12.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spans="1:26" ht="12.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spans="1:26" ht="12.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spans="1:26" ht="12.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spans="1:26" ht="12.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spans="1:26" ht="12.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spans="1:26" ht="12.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spans="1:26" ht="12.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spans="1:26" ht="12.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spans="1:26" ht="12.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spans="1:26" ht="12.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spans="1:26" ht="12.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spans="1:26" ht="12.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spans="1:26" ht="12.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spans="1:26" ht="12.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spans="1:26" ht="12.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spans="1:26" ht="12.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spans="1:26" ht="12.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spans="1:26" ht="12.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spans="1:26" ht="12.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spans="1:26" ht="12.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spans="1:26" ht="12.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spans="1:26" ht="12.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spans="1:26" ht="12.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spans="1:26" ht="12.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spans="1:26" ht="12.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spans="1:26" ht="12.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spans="1:26" ht="12.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spans="1:26" ht="12.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spans="1:26" ht="12.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spans="1:26" ht="12.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spans="1:26" ht="12.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spans="1:26" ht="12.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spans="1:26" ht="12.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spans="1:26" ht="12.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spans="1:26" ht="12.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spans="1:26" ht="12.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spans="1:26" ht="12.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spans="1:26" ht="12.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spans="1:26" ht="12.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spans="1:26" ht="12.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spans="1:26" ht="12.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spans="1:26" ht="12.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spans="1:26" ht="12.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spans="1:26" ht="12.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spans="1:26" ht="12.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spans="1:26" ht="12.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spans="1:26" ht="12.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spans="1:26" ht="12.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spans="1:26" ht="12.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spans="1:26" ht="12.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spans="1:26" ht="12.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spans="1:26" ht="12.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spans="1:26" ht="12.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spans="1:26" ht="12.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spans="1:26" ht="12.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spans="1:26" ht="12.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spans="1:26" ht="12.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spans="1:26" ht="12.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spans="1:26" ht="12.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spans="1:26" ht="12.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spans="1:26" ht="12.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spans="1:26" ht="12.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spans="1:26" ht="12.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spans="1:26" ht="12.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spans="1:26" ht="12.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spans="1:26" ht="12.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spans="1:26" ht="12.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spans="1:26" ht="12.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spans="1:26" ht="12.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spans="1:26" ht="12.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spans="1:26" ht="12.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spans="1:26" ht="12.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spans="1:26" ht="12.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spans="1:26" ht="12.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spans="1:26" ht="12.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spans="1:26" ht="12.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spans="1:26" ht="12.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spans="1:26" ht="12.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spans="1:26" ht="12.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spans="1:26" ht="12.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spans="1:26" ht="12.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spans="1:26" ht="12.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spans="1:26" ht="12.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spans="1:26" ht="12.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spans="1:26" ht="12.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spans="1:26" ht="12.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spans="1:26" ht="12.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spans="1:26" ht="12.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spans="1:26" ht="12.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spans="1:26" ht="12.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spans="1:26" ht="12.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spans="1:26" ht="12.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spans="1:26" ht="12.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spans="1:26" ht="12.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spans="1:26" ht="12.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spans="1:26" ht="12.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spans="1:26" ht="12.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spans="1:26" ht="12.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spans="1:26" ht="12.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spans="1:26" ht="12.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spans="1:26" ht="12.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spans="1:26" ht="12.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spans="1:26" ht="12.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spans="1:26" ht="12.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spans="1:26" ht="12.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spans="1:26" ht="12.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spans="1:26" ht="12.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spans="1:26" ht="12.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spans="1:26" ht="12.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spans="1:26" ht="12.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spans="1:26" ht="12.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spans="1:26" ht="12.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spans="1:26" ht="12.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spans="1:26" ht="12.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spans="1:26" ht="12.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spans="1:26" ht="12.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spans="1:26" ht="12.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spans="1:26" ht="12.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spans="1:26" ht="12.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spans="1:26" ht="12.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spans="1:26" ht="12.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spans="1:26" ht="12.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spans="1:26" ht="12.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spans="1:26" ht="12.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spans="1:26" ht="12.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spans="1:26" ht="12.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spans="1:26" ht="12.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spans="1:26" ht="12.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spans="1:26" ht="12.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spans="1:26" ht="12.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spans="1:26" ht="12.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spans="1:26" ht="12.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spans="1:26" ht="12.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spans="1:26" ht="12.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spans="1:26" ht="12.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spans="1:26" ht="12.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spans="1:26" ht="12.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spans="1:26" ht="12.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spans="1:26" ht="12.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spans="1:26" ht="12.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spans="1:26" ht="12.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spans="1:26" ht="12.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spans="1:26" ht="12.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spans="1:26" ht="12.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spans="1:26" ht="12.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spans="1:26" ht="12.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spans="1:26" ht="12.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spans="1:26" ht="12.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spans="1:26" ht="12.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spans="1:26" ht="12.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spans="1:26" ht="12.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spans="1:26" ht="12.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spans="1:26" ht="12.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spans="1:26" ht="12.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spans="1:26" ht="12.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spans="1:26" ht="12.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spans="1:26" ht="12.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spans="1:26" ht="12.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spans="1:26" ht="12.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spans="1:26" ht="12.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spans="1:26" ht="12.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spans="1:26" ht="12.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spans="1:26" ht="12.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spans="1:26" ht="12.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spans="1:26" ht="12.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spans="1:26" ht="12.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spans="1:26" ht="12.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spans="1:26" ht="12.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spans="1:26" ht="12.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spans="1:26" ht="12.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spans="1:26" ht="12.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spans="1:26" ht="12.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spans="1:26" ht="12.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spans="1:26" ht="12.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spans="1:26" ht="12.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spans="1:26" ht="12.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spans="1:26" ht="12.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spans="1:26" ht="12.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spans="1:26" ht="12.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spans="1:26" ht="12.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spans="1:26" ht="12.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spans="1:26" ht="12.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spans="1:26" ht="12.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spans="1:26" ht="12.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spans="1:26" ht="12.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spans="1:26" ht="12.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spans="1:26" ht="12.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spans="1:26" ht="12.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spans="1:26" ht="12.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spans="1:26" ht="12.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spans="1:26" ht="12.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spans="1:26" ht="12.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spans="1:26" ht="12.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spans="1:26" ht="12.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spans="1:26" ht="12.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spans="1:26" ht="12.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spans="1:26" ht="12.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spans="1:26" ht="12.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spans="1:26" ht="12.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spans="1:26" ht="12.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spans="1:26" ht="12.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spans="1:26" ht="12.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spans="1:26" ht="12.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spans="1:26" ht="12.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spans="1:26" ht="12.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spans="1:26" ht="12.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spans="1:26" ht="12.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spans="1:26" ht="12.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spans="1:26" ht="12.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spans="1:26" ht="12.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spans="1:26" ht="12.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spans="1:26" ht="12.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spans="1:26" ht="12.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spans="1:26" ht="12.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spans="1:26" ht="12.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spans="1:26" ht="12.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spans="1:26" ht="12.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spans="1:26" ht="12.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spans="1:26" ht="12.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spans="1:26" ht="12.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spans="1:26" ht="12.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spans="1:26" ht="12.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spans="1:26" ht="12.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spans="1:26" ht="12.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spans="1:26" ht="12.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spans="1:26" ht="12.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spans="1:26" ht="12.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spans="1:26" ht="12.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spans="1:26" ht="12.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spans="1:26" ht="12.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spans="1:26" ht="12.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spans="1:26" ht="12.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spans="1:26" ht="12.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spans="1:26" ht="12.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spans="1:26" ht="12.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spans="1:26" ht="12.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spans="1:26" ht="12.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spans="1:26" ht="12.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spans="1:26" ht="12.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spans="1:26" ht="12.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spans="1:26" ht="12.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spans="1:26" ht="12.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spans="1:26" ht="12.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spans="1:26" ht="12.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spans="1:26" ht="12.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spans="1:26" ht="12.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spans="1:26" ht="12.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spans="1:26" ht="12.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spans="1:26" ht="12.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spans="1:26" ht="12.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spans="1:26" ht="12.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spans="1:26" ht="12.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spans="1:26" ht="12.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spans="1:26" ht="12.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spans="1:26" ht="12.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spans="1:26" ht="12.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spans="1:26" ht="12.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spans="1:26" ht="12.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spans="1:26" ht="12.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spans="1:26" ht="12.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spans="1:26" ht="12.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spans="1:26" ht="12.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spans="1:26" ht="12.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spans="1:26" ht="12.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spans="1:26" ht="12.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spans="1:26" ht="12.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spans="1:26" ht="12.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spans="1:26" ht="12.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spans="1:26" ht="12.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spans="1:26" ht="12.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spans="1:26" ht="12.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spans="1:26" ht="12.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spans="1:26" ht="12.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spans="1:26" ht="12.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spans="1:26" ht="12.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spans="1:26" ht="12.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spans="1:26" ht="12.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spans="1:26" ht="12.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spans="1:26" ht="12.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spans="1:26" ht="12.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spans="1:26" ht="12.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spans="1:26" ht="12.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spans="1:26" ht="12.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spans="1:26" ht="12.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spans="1:26" ht="12.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spans="1:26" ht="12.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spans="1:26" ht="12.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spans="1:26" ht="12.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spans="1:26" ht="12.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spans="1:26" ht="12.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spans="1:26" ht="12.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spans="1:26" ht="12.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spans="1:26" ht="12.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spans="1:26" ht="12.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spans="1:26" ht="12.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spans="1:26" ht="12.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spans="1:26" ht="12.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spans="1:26" ht="12.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spans="1:26" ht="12.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spans="1:26" ht="12.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spans="1:26" ht="12.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spans="1:26" ht="12.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spans="1:26" ht="12.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spans="1:26" ht="12.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spans="1:26" ht="12.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spans="1:26" ht="12.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spans="1:26" ht="12.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spans="1:26" ht="12.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spans="1:26" ht="12.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spans="1:26" ht="12.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spans="1:26" ht="12.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spans="1:26" ht="12.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spans="1:26" ht="12.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spans="1:26" ht="12.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spans="1:26" ht="12.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spans="1:26" ht="12.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spans="1:26" ht="12.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spans="1:26" ht="12.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spans="1:26" ht="12.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spans="1:26" ht="12.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spans="1:26" ht="12.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spans="1:26" ht="12.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spans="1:26" ht="12.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spans="1:26" ht="12.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spans="1:26" ht="12.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spans="1:26" ht="12.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spans="1:26" ht="12.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spans="1:26" ht="12.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spans="1:26" ht="12.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spans="1:26" ht="12.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spans="1:26" ht="12.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spans="1:26" ht="12.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spans="1:26" ht="12.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spans="1:26" ht="12.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spans="1:26" ht="12.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spans="1:26" ht="12.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spans="1:26" ht="12.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spans="1:26" ht="12.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spans="1:26" ht="12.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spans="1:26" ht="12.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spans="1:26" ht="12.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spans="1:26" ht="12.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spans="1:26" ht="12.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spans="1:26" ht="12.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spans="1:26" ht="12.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spans="1:26" ht="12.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spans="1:26" ht="12.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spans="1:26" ht="12.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spans="1:26" ht="12.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spans="1:26" ht="12.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spans="1:26" ht="12.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spans="1:26" ht="12.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spans="1:26" ht="12.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spans="1:26" ht="12.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spans="1:26" ht="12.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spans="1:26" ht="12.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spans="1:26" ht="12.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spans="1:26" ht="12.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spans="1:26" ht="12.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spans="1:26" ht="12.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spans="1:26" ht="12.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spans="1:26" ht="12.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spans="1:26" ht="12.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spans="1:26" ht="12.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spans="1:26" ht="12.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spans="1:26" ht="12.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spans="1:26" ht="12.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spans="1:26" ht="12.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spans="1:26" ht="12.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spans="1:26" ht="12.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spans="1:26" ht="12.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spans="1:26" ht="12.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spans="1:26" ht="12.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spans="1:26" ht="12.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spans="1:26" ht="12.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spans="1:26" ht="12.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spans="1:26" ht="12.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spans="1:26" ht="12.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spans="1:26" ht="12.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spans="1:26" ht="12.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spans="1:26" ht="12.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spans="1:26" ht="12.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spans="1:26" ht="12.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spans="1:26" ht="12.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spans="1:26" ht="12.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spans="1:26" ht="12.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spans="1:26" ht="12.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spans="1:26" ht="12.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spans="1:26" ht="12.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spans="1:26" ht="12.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spans="1:26" ht="12.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spans="1:26" ht="12.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spans="1:26" ht="12.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spans="1:26" ht="12.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spans="1:26" ht="12.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spans="1:26" ht="12.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spans="1:26" ht="12.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spans="1:26" ht="12.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spans="1:26" ht="12.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spans="1:26" ht="12.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spans="1:26" ht="12.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spans="1:26" ht="12.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spans="1:26" ht="12.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spans="1:26" ht="12.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spans="1:26" ht="12.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spans="1:26" ht="12.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spans="1:26" ht="12.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spans="1:26" ht="12.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spans="1:26" ht="12.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spans="1:26" ht="12.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spans="1:26" ht="12.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spans="1:26" ht="12.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spans="1:26" ht="12.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spans="1:26" ht="12.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spans="1:26" ht="12.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spans="1:26" ht="12.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spans="1:26" ht="12.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spans="1:26" ht="12.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spans="1:26" ht="12.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spans="1:26" ht="12.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spans="1:26" ht="12.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spans="1:26" ht="12.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spans="1:26" ht="12.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spans="1:26" ht="12.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spans="1:26" ht="12.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spans="1:26" ht="12.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spans="1:26" ht="12.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spans="1:26" ht="12.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spans="1:26" ht="12.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spans="1:26" ht="12.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spans="1:26" ht="12.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spans="1:26" ht="12.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spans="1:26" ht="12.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spans="1:26" ht="12.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spans="1:26" ht="12.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spans="1:26" ht="12.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spans="1:26" ht="12.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spans="1:26" ht="12.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spans="1:26" ht="12.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spans="1:26" ht="12.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spans="1:26" ht="12.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spans="1:26" ht="12.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spans="1:26" ht="12.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spans="1:26" ht="12.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spans="1:26" ht="12.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spans="1:26" ht="12.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spans="1:26" ht="12.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spans="1:26" ht="12.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spans="1:26" ht="12.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spans="1:26" ht="12.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spans="1:26" ht="12.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spans="1:26" ht="12.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spans="1:26" ht="12.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spans="1:26" ht="12.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spans="1:26" ht="12.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spans="1:26" ht="12.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spans="1:26" ht="12.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spans="1:26" ht="12.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spans="1:26" ht="12.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spans="1:26" ht="12.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spans="1:26" ht="12.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spans="1:26" ht="12.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spans="1:26" ht="12.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spans="1:26" ht="12.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spans="1:26" ht="12.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spans="1:26" ht="12.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spans="1:26" ht="12.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spans="1:26" ht="12.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spans="1:26" ht="12.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spans="1:26" ht="12.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spans="1:26" ht="12.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spans="1:26" ht="12.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spans="1:26" ht="12.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spans="1:26" ht="12.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spans="1:26" ht="12.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spans="1:26" ht="12.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spans="1:26" ht="12.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spans="1:26" ht="12.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spans="1:26" ht="12.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spans="1:26" ht="12.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spans="1:26" ht="12.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spans="1:26" ht="12.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spans="1:26" ht="12.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spans="1:26" ht="12.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spans="1:26" ht="12.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spans="1:26" ht="12.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spans="1:26" ht="12.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spans="1:26" ht="12.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spans="1:26" ht="12.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spans="1:26" ht="12.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spans="1:26" ht="12.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spans="1:26" ht="12.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spans="1:26" ht="12.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spans="1:26" ht="12.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spans="1:26" ht="12.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spans="1:26" ht="12.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spans="1:26" ht="12.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spans="1:26" ht="12.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spans="1:26" ht="12.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spans="1:26" ht="12.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spans="1:26" ht="12.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spans="1:26" ht="12.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spans="1:26" ht="12.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spans="1:26" ht="12.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spans="1:26" ht="12.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spans="1:26" ht="12.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spans="1:26" ht="12.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spans="1:26" ht="12.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spans="1:26" ht="12.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spans="1:26" ht="12.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spans="1:26" ht="12.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spans="1:26" ht="12.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spans="1:26" ht="12.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spans="1:26" ht="12.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spans="1:26" ht="12.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spans="1:26" ht="12.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spans="1:26" ht="12.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spans="1:26" ht="12.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spans="1:26" ht="12.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spans="1:26" ht="12.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spans="1:26" ht="12.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spans="1:26" ht="12.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spans="1:26" ht="12.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spans="1:26" ht="12.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spans="1:26" ht="12.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spans="1:26" ht="12.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spans="1:26" ht="12.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spans="1:26" ht="12.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spans="1:26" ht="12.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spans="1:26" ht="12.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spans="1:26" ht="12.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spans="1:26" ht="12.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spans="1:26" ht="12.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spans="1:26" ht="12.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spans="1:26" ht="12.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spans="1:26" ht="12.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spans="1:26" ht="12.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spans="1:26" ht="12.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spans="1:26" ht="12.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spans="1:26" ht="12.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spans="1:26" ht="12.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spans="1:26" ht="12.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spans="1:26" ht="12.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spans="1:26" ht="12.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spans="1:26" ht="12.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spans="1:26" ht="12.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spans="1:26" ht="12.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spans="1:26" ht="12.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spans="1:26" ht="12.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spans="1:26" ht="12.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spans="1:26" ht="12.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spans="1:26" ht="12.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spans="1:26" ht="12.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spans="1:26" ht="12.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spans="1:26" ht="12.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spans="1:26" ht="12.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spans="1:26" ht="12.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spans="1:26" ht="12.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spans="1:26" ht="12.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spans="1:26" ht="12.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spans="1:26" ht="12.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spans="1:26" ht="12.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spans="1:26" ht="12.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spans="1:26" ht="12.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spans="1:26" ht="12.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spans="1:26" ht="12.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spans="1:26" ht="12.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spans="1:26" ht="12.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spans="1:26" ht="12.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spans="1:26" ht="12.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spans="1:26" ht="12.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spans="1:26" ht="12.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spans="1:26" ht="12.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spans="1:26" ht="12.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spans="1:26" ht="12.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spans="1:26" ht="12.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spans="1:26" ht="12.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spans="1:26" ht="12.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spans="1:26" ht="12.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spans="1:26" ht="12.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spans="1:26" ht="12.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spans="1:26" ht="12.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spans="1:26" ht="12.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spans="1:26" ht="12.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spans="1:26" ht="12.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spans="1:26" ht="12.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spans="1:26" ht="12.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spans="1:26" ht="12.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spans="1:26" ht="12.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spans="1:26" ht="12.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spans="1:26" ht="12.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spans="1:26" ht="12.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spans="1:26" ht="12.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spans="1:26" ht="12.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spans="1:26" ht="12.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spans="1:26" ht="12.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spans="1:26" ht="12.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spans="1:26" ht="12.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spans="1:26" ht="12.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spans="1:26" ht="12.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spans="1:26" ht="12.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spans="1:26" ht="12.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spans="1:26" ht="12.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spans="1:26" ht="12.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spans="1:26" ht="12.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spans="1:26" ht="12.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spans="1:26" ht="12.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spans="1:26" ht="12.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spans="1:26" ht="12.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spans="1:26" ht="12.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spans="1:26" ht="12.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spans="1:26" ht="12.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spans="1:26" ht="12.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spans="1:26" ht="12.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spans="1:26" ht="12.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spans="1:26" ht="12.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spans="1:26" ht="12.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spans="1:26" ht="12.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spans="1:26" ht="12.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spans="1:26" ht="12.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spans="1:26" ht="12.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spans="1:26" ht="12.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spans="1:26" ht="12.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spans="1:26" ht="12.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spans="1:26" ht="12.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spans="1:26" ht="12.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spans="1:26" ht="12.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spans="1:26" ht="12.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spans="1:26" ht="12.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spans="1:26" ht="12.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spans="1:26" ht="12.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spans="1:26" ht="12.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spans="1:26" ht="12.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spans="1:26" ht="12.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spans="1:26" ht="12.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spans="1:26" ht="12.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spans="1:26" ht="12.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spans="1:26" ht="12.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spans="1:26" ht="12.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spans="1:26" ht="12.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spans="1:26" ht="12.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spans="1:26" ht="12.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spans="1:26" ht="12.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spans="1:26" ht="12.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spans="1:26" ht="12.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spans="1:26" ht="12.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spans="1:26" ht="12.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spans="1:26" ht="12.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spans="1:26" ht="12.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spans="1:26" ht="12.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spans="1:26" ht="12.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spans="1:26" ht="12.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spans="1:26" ht="12.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spans="1:26" ht="12.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spans="1:26" ht="12.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spans="1:26" ht="12.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spans="1:26" ht="12.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spans="1:26" ht="12.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spans="1:26" ht="12.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spans="1:26" ht="12.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spans="1:26" ht="12.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spans="1:26" ht="12.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spans="1:26" ht="12.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spans="1:26" ht="12.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spans="1:26" ht="12.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spans="1:26" ht="12.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spans="1:26" ht="12.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spans="1:26" ht="12.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spans="1:26" ht="12.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spans="1:26" ht="12.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spans="1:26" ht="12.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spans="1:26" ht="12.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spans="1:26" ht="12.75"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spans="1:26" ht="12.75"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spans="1:26" ht="12.75"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sheetData>
  <mergeCells count="2">
    <mergeCell ref="A7:B7"/>
    <mergeCell ref="A8:B8"/>
  </mergeCells>
  <pageMargins left="0.7" right="0.7" top="0.25" bottom="0.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E77A-B83C-4135-893A-D6D33D1CAB8E}">
  <dimension ref="A1:Z970"/>
  <sheetViews>
    <sheetView workbookViewId="0">
      <selection activeCell="A32" sqref="A32"/>
    </sheetView>
  </sheetViews>
  <sheetFormatPr defaultColWidth="14.7265625" defaultRowHeight="15" customHeight="1"/>
  <cols>
    <col min="1" max="1" width="137" style="171" customWidth="1"/>
    <col min="2" max="26" width="9.1796875" style="171" customWidth="1"/>
    <col min="27" max="16384" width="14.7265625" style="171"/>
  </cols>
  <sheetData>
    <row r="1" spans="1:26" ht="5.25" customHeight="1">
      <c r="A1" s="178"/>
      <c r="B1" s="170"/>
      <c r="C1" s="170"/>
      <c r="D1" s="170"/>
      <c r="E1" s="170"/>
      <c r="F1" s="170"/>
      <c r="G1" s="170"/>
      <c r="H1" s="170"/>
      <c r="I1" s="170"/>
      <c r="J1" s="170"/>
      <c r="K1" s="170"/>
      <c r="L1" s="170"/>
      <c r="M1" s="170"/>
      <c r="N1" s="170"/>
      <c r="O1" s="170"/>
      <c r="P1" s="170"/>
      <c r="Q1" s="170"/>
      <c r="R1" s="170"/>
      <c r="S1" s="170"/>
      <c r="T1" s="170"/>
      <c r="U1" s="170"/>
      <c r="V1" s="170"/>
      <c r="W1" s="170"/>
      <c r="X1" s="170"/>
      <c r="Y1" s="170"/>
      <c r="Z1" s="170"/>
    </row>
    <row r="2" spans="1:26" ht="24" customHeight="1">
      <c r="A2" s="178"/>
      <c r="B2" s="170"/>
      <c r="C2" s="170"/>
      <c r="D2" s="170"/>
      <c r="E2" s="170"/>
      <c r="F2" s="170"/>
      <c r="G2" s="170"/>
      <c r="H2" s="170"/>
      <c r="I2" s="170"/>
      <c r="J2" s="170"/>
      <c r="K2" s="170"/>
      <c r="L2" s="170"/>
      <c r="M2" s="170"/>
      <c r="N2" s="170"/>
      <c r="O2" s="170"/>
      <c r="P2" s="170"/>
      <c r="Q2" s="170"/>
      <c r="R2" s="170"/>
      <c r="S2" s="170"/>
      <c r="T2" s="170"/>
      <c r="U2" s="170"/>
      <c r="V2" s="170"/>
      <c r="W2" s="170"/>
      <c r="X2" s="170"/>
      <c r="Y2" s="170"/>
      <c r="Z2" s="170"/>
    </row>
    <row r="3" spans="1:26" ht="5.25" customHeight="1">
      <c r="A3" s="178"/>
      <c r="B3" s="170"/>
      <c r="C3" s="170"/>
      <c r="D3" s="170"/>
      <c r="E3" s="170"/>
      <c r="F3" s="170"/>
      <c r="G3" s="170"/>
      <c r="H3" s="170"/>
      <c r="I3" s="170"/>
      <c r="J3" s="170"/>
      <c r="K3" s="170"/>
      <c r="L3" s="170"/>
      <c r="M3" s="170"/>
      <c r="N3" s="170"/>
      <c r="O3" s="170"/>
      <c r="P3" s="170"/>
      <c r="Q3" s="170"/>
      <c r="R3" s="170"/>
      <c r="S3" s="170"/>
      <c r="T3" s="170"/>
      <c r="U3" s="170"/>
      <c r="V3" s="170"/>
      <c r="W3" s="170"/>
      <c r="X3" s="170"/>
      <c r="Y3" s="170"/>
      <c r="Z3" s="170"/>
    </row>
    <row r="4" spans="1:26" ht="5.25" customHeight="1">
      <c r="A4" s="178"/>
      <c r="B4" s="170"/>
      <c r="C4" s="170"/>
      <c r="D4" s="170"/>
      <c r="E4" s="170"/>
      <c r="F4" s="170"/>
      <c r="G4" s="170"/>
      <c r="H4" s="170"/>
      <c r="I4" s="170"/>
      <c r="J4" s="170"/>
      <c r="K4" s="170"/>
      <c r="L4" s="170"/>
      <c r="M4" s="170"/>
      <c r="N4" s="170"/>
      <c r="O4" s="170"/>
      <c r="P4" s="170"/>
      <c r="Q4" s="170"/>
      <c r="R4" s="170"/>
      <c r="S4" s="170"/>
      <c r="T4" s="170"/>
      <c r="U4" s="170"/>
      <c r="V4" s="170"/>
      <c r="W4" s="170"/>
      <c r="X4" s="170"/>
      <c r="Y4" s="170"/>
      <c r="Z4" s="170"/>
    </row>
    <row r="5" spans="1:26" ht="5.25" customHeight="1">
      <c r="A5" s="178"/>
      <c r="B5" s="170"/>
      <c r="C5" s="170"/>
      <c r="D5" s="170"/>
      <c r="E5" s="170"/>
      <c r="F5" s="170"/>
      <c r="G5" s="170"/>
      <c r="H5" s="170"/>
      <c r="I5" s="170"/>
      <c r="J5" s="170"/>
      <c r="K5" s="170"/>
      <c r="L5" s="170"/>
      <c r="M5" s="170"/>
      <c r="N5" s="170"/>
      <c r="O5" s="170"/>
      <c r="P5" s="170"/>
      <c r="Q5" s="170"/>
      <c r="R5" s="170"/>
      <c r="S5" s="170"/>
      <c r="T5" s="170"/>
      <c r="U5" s="170"/>
      <c r="V5" s="170"/>
      <c r="W5" s="170"/>
      <c r="X5" s="170"/>
      <c r="Y5" s="170"/>
      <c r="Z5" s="170"/>
    </row>
    <row r="6" spans="1:26" ht="5.25" customHeight="1">
      <c r="A6" s="178"/>
      <c r="B6" s="170"/>
      <c r="C6" s="170"/>
      <c r="D6" s="170"/>
      <c r="E6" s="170"/>
      <c r="F6" s="170"/>
      <c r="G6" s="170"/>
      <c r="H6" s="170"/>
      <c r="I6" s="170"/>
      <c r="J6" s="170"/>
      <c r="K6" s="170"/>
      <c r="L6" s="170"/>
      <c r="M6" s="170"/>
      <c r="N6" s="170"/>
      <c r="O6" s="170"/>
      <c r="P6" s="170"/>
      <c r="Q6" s="170"/>
      <c r="R6" s="170"/>
      <c r="S6" s="170"/>
      <c r="T6" s="170"/>
      <c r="U6" s="170"/>
      <c r="V6" s="170"/>
      <c r="W6" s="170"/>
      <c r="X6" s="170"/>
      <c r="Y6" s="170"/>
      <c r="Z6" s="170"/>
    </row>
    <row r="7" spans="1:26" ht="41.25" customHeight="1">
      <c r="A7" s="179" t="s">
        <v>55</v>
      </c>
      <c r="B7" s="170"/>
      <c r="C7" s="170"/>
      <c r="D7" s="170"/>
      <c r="E7" s="170"/>
      <c r="F7" s="170"/>
      <c r="G7" s="170"/>
      <c r="H7" s="170"/>
      <c r="I7" s="170"/>
      <c r="J7" s="170"/>
      <c r="K7" s="170"/>
      <c r="L7" s="170"/>
      <c r="M7" s="170"/>
      <c r="N7" s="170"/>
      <c r="O7" s="170"/>
      <c r="P7" s="170"/>
      <c r="Q7" s="170"/>
      <c r="R7" s="170"/>
      <c r="S7" s="170"/>
      <c r="T7" s="170"/>
      <c r="U7" s="170"/>
      <c r="V7" s="170"/>
      <c r="W7" s="170"/>
      <c r="X7" s="170"/>
      <c r="Y7" s="170"/>
      <c r="Z7" s="170"/>
    </row>
    <row r="8" spans="1:26" ht="15" customHeight="1">
      <c r="A8" s="180" t="s">
        <v>56</v>
      </c>
      <c r="B8" s="181"/>
      <c r="C8" s="181"/>
      <c r="D8" s="181"/>
      <c r="E8" s="181"/>
      <c r="F8" s="181"/>
      <c r="G8" s="181"/>
      <c r="H8" s="181"/>
      <c r="I8" s="181"/>
      <c r="J8" s="181"/>
      <c r="K8" s="181"/>
      <c r="L8" s="181"/>
      <c r="M8" s="181"/>
      <c r="N8" s="181"/>
      <c r="O8" s="181"/>
      <c r="P8" s="181"/>
      <c r="Q8" s="181"/>
      <c r="R8" s="181"/>
      <c r="S8" s="181"/>
      <c r="T8" s="181"/>
      <c r="U8" s="181"/>
      <c r="V8" s="181"/>
      <c r="W8" s="181"/>
      <c r="X8" s="181"/>
      <c r="Y8" s="181"/>
      <c r="Z8" s="181"/>
    </row>
    <row r="9" spans="1:26" ht="7.5" customHeight="1">
      <c r="A9" s="180"/>
      <c r="B9" s="181"/>
      <c r="C9" s="181"/>
      <c r="D9" s="181"/>
      <c r="E9" s="181"/>
      <c r="F9" s="181"/>
      <c r="G9" s="181"/>
      <c r="H9" s="181"/>
      <c r="I9" s="181"/>
      <c r="J9" s="181"/>
      <c r="K9" s="181"/>
      <c r="L9" s="181"/>
      <c r="M9" s="181"/>
      <c r="N9" s="181"/>
      <c r="O9" s="181"/>
      <c r="P9" s="181"/>
      <c r="Q9" s="181"/>
      <c r="R9" s="181"/>
      <c r="S9" s="181"/>
      <c r="T9" s="181"/>
      <c r="U9" s="181"/>
      <c r="V9" s="181"/>
      <c r="W9" s="181"/>
      <c r="X9" s="181"/>
      <c r="Y9" s="181"/>
      <c r="Z9" s="181"/>
    </row>
    <row r="10" spans="1:26" ht="120.65" customHeight="1">
      <c r="A10" s="182" t="s">
        <v>313</v>
      </c>
      <c r="B10" s="181"/>
      <c r="C10" s="181"/>
      <c r="D10" s="181"/>
      <c r="E10" s="181"/>
      <c r="F10" s="181"/>
      <c r="G10" s="181"/>
      <c r="H10" s="181"/>
      <c r="I10" s="181"/>
      <c r="J10" s="181"/>
      <c r="K10" s="181"/>
      <c r="L10" s="181"/>
      <c r="M10" s="181"/>
      <c r="N10" s="181"/>
      <c r="O10" s="181"/>
      <c r="P10" s="181"/>
      <c r="Q10" s="181"/>
      <c r="R10" s="181"/>
      <c r="S10" s="181"/>
      <c r="T10" s="181"/>
      <c r="U10" s="181"/>
      <c r="V10" s="181"/>
      <c r="W10" s="181"/>
      <c r="X10" s="181"/>
      <c r="Y10" s="181"/>
      <c r="Z10" s="181"/>
    </row>
    <row r="11" spans="1:26" ht="7.5" customHeight="1">
      <c r="A11" s="183"/>
      <c r="B11" s="181"/>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row>
    <row r="12" spans="1:26" s="186" customFormat="1" ht="19.5" customHeight="1">
      <c r="A12" s="184" t="s">
        <v>57</v>
      </c>
      <c r="B12" s="185"/>
      <c r="C12" s="185"/>
      <c r="D12" s="185"/>
      <c r="E12" s="185"/>
      <c r="F12" s="185"/>
      <c r="G12" s="185"/>
      <c r="H12" s="185"/>
      <c r="I12" s="185"/>
      <c r="J12" s="185"/>
      <c r="K12" s="185"/>
      <c r="L12" s="185"/>
      <c r="M12" s="185"/>
      <c r="N12" s="185"/>
      <c r="O12" s="185"/>
      <c r="P12" s="185"/>
      <c r="Q12" s="185"/>
      <c r="R12" s="185"/>
      <c r="S12" s="185"/>
      <c r="T12" s="185"/>
      <c r="U12" s="185"/>
      <c r="V12" s="185"/>
      <c r="W12" s="185"/>
      <c r="X12" s="185"/>
      <c r="Y12" s="185"/>
      <c r="Z12" s="185"/>
    </row>
    <row r="13" spans="1:26" ht="7.5" customHeight="1">
      <c r="A13" s="180"/>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row>
    <row r="14" spans="1:26" s="186" customFormat="1" ht="62.5" customHeight="1">
      <c r="A14" s="184" t="s">
        <v>58</v>
      </c>
      <c r="B14" s="185"/>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spans="1:26" ht="12" customHeight="1">
      <c r="A15" s="180"/>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spans="1:26" s="186" customFormat="1" ht="17.5" customHeight="1">
      <c r="A16" s="187" t="s">
        <v>59</v>
      </c>
      <c r="B16" s="185"/>
      <c r="C16" s="185"/>
      <c r="D16" s="185"/>
      <c r="E16" s="185"/>
      <c r="F16" s="185"/>
      <c r="G16" s="185"/>
      <c r="H16" s="185"/>
      <c r="I16" s="185"/>
      <c r="J16" s="185"/>
      <c r="K16" s="185"/>
      <c r="L16" s="185"/>
      <c r="M16" s="185"/>
      <c r="N16" s="185"/>
      <c r="O16" s="185"/>
      <c r="P16" s="185"/>
      <c r="Q16" s="185"/>
      <c r="R16" s="185"/>
      <c r="S16" s="185"/>
      <c r="T16" s="185"/>
      <c r="U16" s="185"/>
      <c r="V16" s="185"/>
      <c r="W16" s="185"/>
      <c r="X16" s="185"/>
      <c r="Y16" s="185"/>
      <c r="Z16" s="185"/>
    </row>
    <row r="17" spans="1:26" s="186" customFormat="1" ht="6" customHeight="1">
      <c r="A17" s="187"/>
      <c r="B17" s="185"/>
      <c r="C17" s="185"/>
      <c r="D17" s="185"/>
      <c r="E17" s="185"/>
      <c r="F17" s="185"/>
      <c r="G17" s="185"/>
      <c r="H17" s="185"/>
      <c r="I17" s="185"/>
      <c r="J17" s="185"/>
      <c r="K17" s="185"/>
      <c r="L17" s="185"/>
      <c r="M17" s="185"/>
      <c r="N17" s="185"/>
      <c r="O17" s="185"/>
      <c r="P17" s="185"/>
      <c r="Q17" s="185"/>
      <c r="R17" s="185"/>
      <c r="S17" s="185"/>
      <c r="T17" s="185"/>
      <c r="U17" s="185"/>
      <c r="V17" s="185"/>
      <c r="W17" s="185"/>
      <c r="X17" s="185"/>
      <c r="Y17" s="185"/>
      <c r="Z17" s="185"/>
    </row>
    <row r="18" spans="1:26" s="186" customFormat="1" ht="17.5" customHeight="1">
      <c r="A18" s="188" t="s">
        <v>314</v>
      </c>
      <c r="B18" s="185"/>
      <c r="C18" s="185"/>
      <c r="D18" s="185"/>
      <c r="E18" s="185"/>
      <c r="F18" s="185"/>
      <c r="G18" s="185"/>
      <c r="H18" s="185"/>
      <c r="I18" s="185"/>
      <c r="J18" s="185"/>
      <c r="K18" s="185"/>
      <c r="L18" s="185"/>
      <c r="M18" s="185"/>
      <c r="N18" s="185"/>
      <c r="O18" s="185"/>
      <c r="P18" s="185"/>
      <c r="Q18" s="185"/>
      <c r="R18" s="185"/>
      <c r="S18" s="185"/>
      <c r="T18" s="185"/>
      <c r="U18" s="185"/>
      <c r="V18" s="185"/>
      <c r="W18" s="185"/>
      <c r="X18" s="185"/>
      <c r="Y18" s="185"/>
      <c r="Z18" s="185"/>
    </row>
    <row r="19" spans="1:26" s="186" customFormat="1" ht="16.5" customHeight="1">
      <c r="A19" s="186" t="s">
        <v>315</v>
      </c>
      <c r="B19" s="185"/>
      <c r="C19" s="185"/>
      <c r="D19" s="185"/>
      <c r="E19" s="185"/>
      <c r="F19" s="185"/>
      <c r="G19" s="185"/>
      <c r="H19" s="185"/>
      <c r="I19" s="185"/>
      <c r="J19" s="185"/>
      <c r="K19" s="185"/>
      <c r="L19" s="185"/>
      <c r="M19" s="185"/>
      <c r="N19" s="185"/>
      <c r="O19" s="185"/>
      <c r="P19" s="185"/>
      <c r="Q19" s="185"/>
      <c r="R19" s="185"/>
      <c r="S19" s="185"/>
      <c r="T19" s="185"/>
      <c r="U19" s="185"/>
      <c r="V19" s="185"/>
      <c r="W19" s="185"/>
      <c r="X19" s="185"/>
      <c r="Y19" s="185"/>
      <c r="Z19" s="185"/>
    </row>
    <row r="20" spans="1:26" s="186" customFormat="1" ht="16.5" customHeight="1">
      <c r="A20" s="188" t="s">
        <v>316</v>
      </c>
      <c r="B20" s="185"/>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row>
    <row r="21" spans="1:26" s="186" customFormat="1" ht="16.5" customHeight="1">
      <c r="A21" s="188" t="s">
        <v>60</v>
      </c>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row>
    <row r="22" spans="1:26" s="186" customFormat="1" ht="18" customHeight="1">
      <c r="A22" s="189" t="s">
        <v>61</v>
      </c>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row>
    <row r="24" spans="1:26" ht="14.5" customHeight="1">
      <c r="A24" s="177" t="s">
        <v>317</v>
      </c>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spans="1:26" ht="18" customHeight="1">
      <c r="A25" s="180"/>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spans="1:26" ht="18" customHeight="1">
      <c r="A26" s="180"/>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spans="1:26" ht="6.65" customHeight="1">
      <c r="A27" s="180"/>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spans="1:26" ht="16.5" customHeight="1">
      <c r="A28" s="177"/>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spans="1:26" ht="14.25" customHeight="1">
      <c r="A29" s="177"/>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spans="1:26" ht="14.25" customHeight="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spans="1:26" ht="5.25" customHeight="1">
      <c r="A31" s="177"/>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spans="1:26" ht="14.25" customHeight="1">
      <c r="A32" s="177"/>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spans="1:26" ht="14.25" customHeight="1">
      <c r="A33" s="177"/>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spans="1:26" ht="14.25" customHeight="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spans="1:26" ht="14.25" customHeight="1">
      <c r="A35" s="177"/>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spans="1:26" ht="60.75" customHeight="1">
      <c r="A36" s="180"/>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spans="1:26" ht="7.5" customHeight="1">
      <c r="A37" s="180"/>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spans="1:26" ht="7.5" customHeight="1">
      <c r="A38" s="180"/>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spans="1:26" ht="37.5" customHeight="1">
      <c r="A39" s="180"/>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spans="1:26" ht="7.5" customHeight="1">
      <c r="A40" s="180"/>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spans="1:26" ht="7.5" customHeight="1">
      <c r="A41" s="180"/>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spans="1:26" ht="7.5" customHeight="1">
      <c r="A42" s="180"/>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spans="1:26" ht="7.5" customHeight="1">
      <c r="A43" s="180"/>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spans="1:26" ht="7.5" customHeight="1">
      <c r="A44" s="180"/>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spans="1:26" ht="15" customHeight="1">
      <c r="A45" s="19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row>
    <row r="46" spans="1:26" ht="15" customHeight="1">
      <c r="A46" s="19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row>
    <row r="47" spans="1:26" ht="15" customHeight="1">
      <c r="A47" s="19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row>
    <row r="48" spans="1:26" ht="15" customHeight="1">
      <c r="A48" s="19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row>
    <row r="49" spans="1:26" ht="15" customHeight="1">
      <c r="A49" s="19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row>
    <row r="50" spans="1:26" ht="15" customHeight="1">
      <c r="A50" s="19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row>
    <row r="51" spans="1:26" ht="15" customHeight="1">
      <c r="A51" s="19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row>
    <row r="52" spans="1:26" ht="15" customHeight="1">
      <c r="A52" s="19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row>
    <row r="53" spans="1:26" ht="15" customHeight="1">
      <c r="A53" s="19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row>
    <row r="54" spans="1:26" ht="15" customHeight="1">
      <c r="A54" s="19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row>
    <row r="55" spans="1:26" ht="15" customHeight="1">
      <c r="A55" s="19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row>
    <row r="56" spans="1:26" ht="15" customHeight="1">
      <c r="A56" s="19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row>
    <row r="57" spans="1:26" ht="15" customHeight="1">
      <c r="A57" s="19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row>
    <row r="58" spans="1:26" ht="15" customHeight="1">
      <c r="A58" s="19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row>
    <row r="59" spans="1:26" ht="15" customHeight="1">
      <c r="A59" s="19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row>
    <row r="60" spans="1:26" ht="15" customHeight="1">
      <c r="A60" s="19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row>
    <row r="61" spans="1:26" ht="15" customHeight="1">
      <c r="A61" s="19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row>
    <row r="62" spans="1:26" ht="15" customHeight="1">
      <c r="A62" s="19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row>
    <row r="63" spans="1:26" ht="15" customHeight="1">
      <c r="A63" s="19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row>
    <row r="64" spans="1:26" ht="15" customHeight="1">
      <c r="A64" s="19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row>
    <row r="65" spans="1:26" ht="15" customHeight="1">
      <c r="A65" s="19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row>
    <row r="66" spans="1:26" ht="15" customHeight="1">
      <c r="A66" s="19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row>
    <row r="67" spans="1:26" ht="15" customHeight="1">
      <c r="A67" s="19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row>
    <row r="68" spans="1:26" ht="15" customHeight="1">
      <c r="A68" s="19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row>
    <row r="69" spans="1:26" ht="15" customHeight="1">
      <c r="A69" s="19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row>
    <row r="70" spans="1:26" ht="15" customHeight="1">
      <c r="A70" s="19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row>
    <row r="71" spans="1:26" ht="15" customHeight="1">
      <c r="A71" s="19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row>
    <row r="72" spans="1:26" ht="15" customHeight="1">
      <c r="A72" s="19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row>
    <row r="73" spans="1:26" ht="15" customHeight="1">
      <c r="A73" s="19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row>
    <row r="74" spans="1:26" ht="12.75" customHeight="1">
      <c r="A74" s="178"/>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row>
    <row r="75" spans="1:26" ht="12.75" customHeight="1">
      <c r="A75" s="178"/>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row>
    <row r="76" spans="1:26" ht="12.75" customHeight="1">
      <c r="A76" s="178"/>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row>
    <row r="77" spans="1:26" ht="12.75" customHeight="1">
      <c r="A77" s="178"/>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row>
    <row r="78" spans="1:26" ht="12.75" customHeight="1">
      <c r="A78" s="178"/>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row>
    <row r="79" spans="1:26" ht="12.75" customHeight="1">
      <c r="A79" s="178"/>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row>
    <row r="80" spans="1:26" ht="12.75" customHeight="1">
      <c r="A80" s="178"/>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row>
    <row r="81" spans="1:26" ht="12.75" customHeight="1">
      <c r="A81" s="178"/>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row>
    <row r="82" spans="1:26" ht="12.75" customHeight="1">
      <c r="A82" s="178"/>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row>
    <row r="83" spans="1:26" ht="12.75" customHeight="1">
      <c r="A83" s="178"/>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row>
    <row r="84" spans="1:26" ht="12.75" customHeight="1">
      <c r="A84" s="178"/>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row>
    <row r="85" spans="1:26" ht="12.75" customHeight="1">
      <c r="A85" s="178"/>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row>
    <row r="86" spans="1:26" ht="12.75" customHeight="1">
      <c r="A86" s="178"/>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row>
    <row r="87" spans="1:26" ht="12.75" customHeight="1">
      <c r="A87" s="178"/>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row>
    <row r="88" spans="1:26" ht="12.75" customHeight="1">
      <c r="A88" s="178"/>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row>
    <row r="89" spans="1:26" ht="12.75" customHeight="1">
      <c r="A89" s="178"/>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row>
    <row r="90" spans="1:26" ht="12.75" customHeight="1">
      <c r="A90" s="178"/>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row>
    <row r="91" spans="1:26" ht="12.75" customHeight="1">
      <c r="A91" s="178"/>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row>
    <row r="92" spans="1:26" ht="12.75" customHeight="1">
      <c r="A92" s="178"/>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row>
    <row r="93" spans="1:26" ht="12.75" customHeight="1">
      <c r="A93" s="178"/>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row>
    <row r="94" spans="1:26" ht="12.75" customHeight="1">
      <c r="A94" s="178"/>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row>
    <row r="95" spans="1:26" ht="12.75" customHeight="1">
      <c r="A95" s="178"/>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row>
    <row r="96" spans="1:26" ht="12.75" customHeight="1">
      <c r="A96" s="178"/>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row>
    <row r="97" spans="1:26" ht="12.75" customHeight="1">
      <c r="A97" s="178"/>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row>
    <row r="98" spans="1:26" ht="12.75" customHeight="1">
      <c r="A98" s="178"/>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row>
    <row r="99" spans="1:26" ht="12.75" customHeight="1">
      <c r="A99" s="178"/>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row>
    <row r="100" spans="1:26" ht="12.75" customHeight="1">
      <c r="A100" s="178"/>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row>
    <row r="101" spans="1:26" ht="12.75" customHeight="1">
      <c r="A101" s="178"/>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row>
    <row r="102" spans="1:26" ht="12.75" customHeight="1">
      <c r="A102" s="178"/>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row>
    <row r="103" spans="1:26" ht="12.75" customHeight="1">
      <c r="A103" s="178"/>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row>
    <row r="104" spans="1:26" ht="12.75" customHeight="1">
      <c r="A104" s="178"/>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row>
    <row r="105" spans="1:26" ht="12.75" customHeight="1">
      <c r="A105" s="178"/>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row>
    <row r="106" spans="1:26" ht="12.75" customHeight="1">
      <c r="A106" s="178"/>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row>
    <row r="107" spans="1:26" ht="12.75" customHeight="1">
      <c r="A107" s="178"/>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row>
    <row r="108" spans="1:26" ht="12.75" customHeight="1">
      <c r="A108" s="178"/>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row>
    <row r="109" spans="1:26" ht="12.75" customHeight="1">
      <c r="A109" s="178"/>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row>
    <row r="110" spans="1:26" ht="12.75" customHeight="1">
      <c r="A110" s="178"/>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row>
    <row r="111" spans="1:26" ht="12.75" customHeight="1">
      <c r="A111" s="178"/>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row>
    <row r="112" spans="1:26" ht="12.75" customHeight="1">
      <c r="A112" s="178"/>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row>
    <row r="113" spans="1:26" ht="12.75" customHeight="1">
      <c r="A113" s="178"/>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row>
    <row r="114" spans="1:26" ht="12.75" customHeight="1">
      <c r="A114" s="178"/>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row>
    <row r="115" spans="1:26" ht="12.75" customHeight="1">
      <c r="A115" s="178"/>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row>
    <row r="116" spans="1:26" ht="12.75" customHeight="1">
      <c r="A116" s="178"/>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row>
    <row r="117" spans="1:26" ht="12.75" customHeight="1">
      <c r="A117" s="178"/>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row>
    <row r="118" spans="1:26" ht="12.75" customHeight="1">
      <c r="A118" s="178"/>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row>
    <row r="119" spans="1:26" ht="12.75" customHeight="1">
      <c r="A119" s="178"/>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row>
    <row r="120" spans="1:26" ht="12.75" customHeight="1">
      <c r="A120" s="178"/>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row>
    <row r="121" spans="1:26" ht="12.75" customHeight="1">
      <c r="A121" s="178"/>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row>
    <row r="122" spans="1:26" ht="12.75" customHeight="1">
      <c r="A122" s="178"/>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row>
    <row r="123" spans="1:26" ht="12.75" customHeight="1">
      <c r="A123" s="178"/>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row>
    <row r="124" spans="1:26" ht="12.75" customHeight="1">
      <c r="A124" s="178"/>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row>
    <row r="125" spans="1:26" ht="12.75" customHeight="1">
      <c r="A125" s="178"/>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row>
    <row r="126" spans="1:26" ht="12.75" customHeight="1">
      <c r="A126" s="178"/>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row>
    <row r="127" spans="1:26" ht="12.75" customHeight="1">
      <c r="A127" s="178"/>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row>
    <row r="128" spans="1:26" ht="12.75" customHeight="1">
      <c r="A128" s="178"/>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row>
    <row r="129" spans="1:26" ht="12.75" customHeight="1">
      <c r="A129" s="178"/>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row>
    <row r="130" spans="1:26" ht="12.75" customHeight="1">
      <c r="A130" s="178"/>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row>
    <row r="131" spans="1:26" ht="12.75" customHeight="1">
      <c r="A131" s="178"/>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row>
    <row r="132" spans="1:26" ht="12.75" customHeight="1">
      <c r="A132" s="178"/>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row>
    <row r="133" spans="1:26" ht="12.75" customHeight="1">
      <c r="A133" s="178"/>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row>
    <row r="134" spans="1:26" ht="12.75" customHeight="1">
      <c r="A134" s="178"/>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row>
    <row r="135" spans="1:26" ht="12.75" customHeight="1">
      <c r="A135" s="178"/>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row>
    <row r="136" spans="1:26" ht="12.75" customHeight="1">
      <c r="A136" s="178"/>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row>
    <row r="137" spans="1:26" ht="12.75" customHeight="1">
      <c r="A137" s="178"/>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row>
    <row r="138" spans="1:26" ht="12.75" customHeight="1">
      <c r="A138" s="178"/>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row>
    <row r="139" spans="1:26" ht="12.75" customHeight="1">
      <c r="A139" s="178"/>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row>
    <row r="140" spans="1:26" ht="12.75" customHeight="1">
      <c r="A140" s="178"/>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row>
    <row r="141" spans="1:26" ht="12.75" customHeight="1">
      <c r="A141" s="178"/>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row>
    <row r="142" spans="1:26" ht="12.75" customHeight="1">
      <c r="A142" s="178"/>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row>
    <row r="143" spans="1:26" ht="12.75" customHeight="1">
      <c r="A143" s="178"/>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row>
    <row r="144" spans="1:26" ht="12.75" customHeight="1">
      <c r="A144" s="178"/>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row>
    <row r="145" spans="1:26" ht="12.75" customHeight="1">
      <c r="A145" s="178"/>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row>
    <row r="146" spans="1:26" ht="12.75" customHeight="1">
      <c r="A146" s="178"/>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row>
    <row r="147" spans="1:26" ht="12.75" customHeight="1">
      <c r="A147" s="178"/>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row>
    <row r="148" spans="1:26" ht="12.75" customHeight="1">
      <c r="A148" s="178"/>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row>
    <row r="149" spans="1:26" ht="12.75" customHeight="1">
      <c r="A149" s="178"/>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row>
    <row r="150" spans="1:26" ht="12.75" customHeight="1">
      <c r="A150" s="178"/>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row>
    <row r="151" spans="1:26" ht="12.75" customHeight="1">
      <c r="A151" s="178"/>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row>
    <row r="152" spans="1:26" ht="12.75" customHeight="1">
      <c r="A152" s="178"/>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row>
    <row r="153" spans="1:26" ht="12.75" customHeight="1">
      <c r="A153" s="178"/>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row>
    <row r="154" spans="1:26" ht="12.75" customHeight="1">
      <c r="A154" s="178"/>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row>
    <row r="155" spans="1:26" ht="12.75" customHeight="1">
      <c r="A155" s="178"/>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row>
    <row r="156" spans="1:26" ht="12.75" customHeight="1">
      <c r="A156" s="178"/>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row>
    <row r="157" spans="1:26" ht="12.75" customHeight="1">
      <c r="A157" s="178"/>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row>
    <row r="158" spans="1:26" ht="12.75" customHeight="1">
      <c r="A158" s="178"/>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row>
    <row r="159" spans="1:26" ht="12.75" customHeight="1">
      <c r="A159" s="178"/>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row>
    <row r="160" spans="1:26" ht="12.75" customHeight="1">
      <c r="A160" s="178"/>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row>
    <row r="161" spans="1:26" ht="12.75" customHeight="1">
      <c r="A161" s="178"/>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row>
    <row r="162" spans="1:26" ht="12.75" customHeight="1">
      <c r="A162" s="178"/>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row>
    <row r="163" spans="1:26" ht="12.75" customHeight="1">
      <c r="A163" s="178"/>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row>
    <row r="164" spans="1:26" ht="12.75" customHeight="1">
      <c r="A164" s="178"/>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row>
    <row r="165" spans="1:26" ht="12.75" customHeight="1">
      <c r="A165" s="178"/>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row>
    <row r="166" spans="1:26" ht="12.75" customHeight="1">
      <c r="A166" s="178"/>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row>
    <row r="167" spans="1:26" ht="12.75" customHeight="1">
      <c r="A167" s="178"/>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row>
    <row r="168" spans="1:26" ht="12.75" customHeight="1">
      <c r="A168" s="178"/>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row>
    <row r="169" spans="1:26" ht="12.75" customHeight="1">
      <c r="A169" s="178"/>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row>
    <row r="170" spans="1:26" ht="12.75" customHeight="1">
      <c r="A170" s="178"/>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row>
    <row r="171" spans="1:26" ht="12.75" customHeight="1">
      <c r="A171" s="178"/>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row>
    <row r="172" spans="1:26" ht="12.75" customHeight="1">
      <c r="A172" s="178"/>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row>
    <row r="173" spans="1:26" ht="12.75" customHeight="1">
      <c r="A173" s="178"/>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row>
    <row r="174" spans="1:26" ht="12.75" customHeight="1">
      <c r="A174" s="178"/>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row>
    <row r="175" spans="1:26" ht="12.75" customHeight="1">
      <c r="A175" s="178"/>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row>
    <row r="176" spans="1:26" ht="12.75" customHeight="1">
      <c r="A176" s="178"/>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row>
    <row r="177" spans="1:26" ht="12.75" customHeight="1">
      <c r="A177" s="178"/>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row>
    <row r="178" spans="1:26" ht="12.75" customHeight="1">
      <c r="A178" s="178"/>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row>
    <row r="179" spans="1:26" ht="12.75" customHeight="1">
      <c r="A179" s="178"/>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row>
    <row r="180" spans="1:26" ht="12.75" customHeight="1">
      <c r="A180" s="178"/>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row>
    <row r="181" spans="1:26" ht="12.75" customHeight="1">
      <c r="A181" s="178"/>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row>
    <row r="182" spans="1:26" ht="12.75" customHeight="1">
      <c r="A182" s="178"/>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row>
    <row r="183" spans="1:26" ht="12.75" customHeight="1">
      <c r="A183" s="178"/>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row>
    <row r="184" spans="1:26" ht="12.75" customHeight="1">
      <c r="A184" s="178"/>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row>
    <row r="185" spans="1:26" ht="12.75" customHeight="1">
      <c r="A185" s="178"/>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row>
    <row r="186" spans="1:26" ht="12.75" customHeight="1">
      <c r="A186" s="178"/>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row>
    <row r="187" spans="1:26" ht="12.75" customHeight="1">
      <c r="A187" s="178"/>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row>
    <row r="188" spans="1:26" ht="12.75" customHeight="1">
      <c r="A188" s="178"/>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row>
    <row r="189" spans="1:26" ht="12.75" customHeight="1">
      <c r="A189" s="178"/>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row>
    <row r="190" spans="1:26" ht="12.75" customHeight="1">
      <c r="A190" s="178"/>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row>
    <row r="191" spans="1:26" ht="12.75" customHeight="1">
      <c r="A191" s="178"/>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row>
    <row r="192" spans="1:26" ht="12.75" customHeight="1">
      <c r="A192" s="178"/>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row>
    <row r="193" spans="1:26" ht="12.75" customHeight="1">
      <c r="A193" s="178"/>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row>
    <row r="194" spans="1:26" ht="12.75" customHeight="1">
      <c r="A194" s="178"/>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row>
    <row r="195" spans="1:26" ht="12.75" customHeight="1">
      <c r="A195" s="178"/>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row>
    <row r="196" spans="1:26" ht="12.75" customHeight="1">
      <c r="A196" s="178"/>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row>
    <row r="197" spans="1:26" ht="12.75" customHeight="1">
      <c r="A197" s="178"/>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row>
    <row r="198" spans="1:26" ht="12.75" customHeight="1">
      <c r="A198" s="178"/>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row>
    <row r="199" spans="1:26" ht="12.75" customHeight="1">
      <c r="A199" s="178"/>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row>
    <row r="200" spans="1:26" ht="12.75" customHeight="1">
      <c r="A200" s="178"/>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row>
    <row r="201" spans="1:26" ht="12.75" customHeight="1">
      <c r="A201" s="178"/>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row>
    <row r="202" spans="1:26" ht="12.75" customHeight="1">
      <c r="A202" s="178"/>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row>
    <row r="203" spans="1:26" ht="12.75" customHeight="1">
      <c r="A203" s="178"/>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row>
    <row r="204" spans="1:26" ht="12.75" customHeight="1">
      <c r="A204" s="178"/>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row>
    <row r="205" spans="1:26" ht="12.75" customHeight="1">
      <c r="A205" s="178"/>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row r="206" spans="1:26" ht="12.75" customHeight="1">
      <c r="A206" s="178"/>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spans="1:26" ht="12.75" customHeight="1">
      <c r="A207" s="178"/>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spans="1:26" ht="12.75" customHeight="1">
      <c r="A208" s="178"/>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spans="1:26" ht="12.75" customHeight="1">
      <c r="A209" s="178"/>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spans="1:26" ht="12.75" customHeight="1">
      <c r="A210" s="178"/>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spans="1:26" ht="12.75" customHeight="1">
      <c r="A211" s="178"/>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spans="1:26" ht="12.75" customHeight="1">
      <c r="A212" s="178"/>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spans="1:26" ht="12.75" customHeight="1">
      <c r="A213" s="178"/>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spans="1:26" ht="12.75" customHeight="1">
      <c r="A214" s="178"/>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spans="1:26" ht="12.75" customHeight="1">
      <c r="A215" s="178"/>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spans="1:26" ht="12.75" customHeight="1">
      <c r="A216" s="178"/>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spans="1:26" ht="12.75" customHeight="1">
      <c r="A217" s="178"/>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spans="1:26" ht="12.75" customHeight="1">
      <c r="A218" s="178"/>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spans="1:26" ht="12.75" customHeight="1">
      <c r="A219" s="178"/>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spans="1:26" ht="12.75" customHeight="1">
      <c r="A220" s="178"/>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spans="1:26" ht="12.75" customHeight="1">
      <c r="A221" s="178"/>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spans="1:26" ht="12.75" customHeight="1">
      <c r="A222" s="178"/>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spans="1:26" ht="12.75" customHeight="1">
      <c r="A223" s="178"/>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spans="1:26" ht="12.75" customHeight="1">
      <c r="A224" s="178"/>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spans="1:26" ht="12.75" customHeight="1">
      <c r="A225" s="178"/>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spans="1:26" ht="12.75" customHeight="1">
      <c r="A226" s="178"/>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spans="1:26" ht="12.75" customHeight="1">
      <c r="A227" s="178"/>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spans="1:26" ht="12.75" customHeight="1">
      <c r="A228" s="178"/>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spans="1:26" ht="12.75" customHeight="1">
      <c r="A229" s="178"/>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spans="1:26" ht="12.75" customHeight="1">
      <c r="A230" s="178"/>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spans="1:26" ht="12.75" customHeight="1">
      <c r="A231" s="178"/>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spans="1:26" ht="12.75" customHeight="1">
      <c r="A232" s="178"/>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spans="1:26" ht="12.75" customHeight="1">
      <c r="A233" s="178"/>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spans="1:26" ht="12.75" customHeight="1">
      <c r="A234" s="178"/>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spans="1:26" ht="12.75" customHeight="1">
      <c r="A235" s="178"/>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spans="1:26" ht="12.75" customHeight="1">
      <c r="A236" s="178"/>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spans="1:26" ht="12.75" customHeight="1">
      <c r="A237" s="178"/>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spans="1:26" ht="12.75" customHeight="1">
      <c r="A238" s="178"/>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spans="1:26" ht="12.75" customHeight="1">
      <c r="A239" s="178"/>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spans="1:26" ht="12.75" customHeight="1">
      <c r="A240" s="178"/>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spans="1:26" ht="12.75" customHeight="1">
      <c r="A241" s="178"/>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spans="1:26" ht="12.75" customHeight="1">
      <c r="A242" s="178"/>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spans="1:26" ht="12.75" customHeight="1">
      <c r="A243" s="178"/>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spans="1:26" ht="12.75" customHeight="1">
      <c r="A244" s="178"/>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spans="1:26" ht="12.75" customHeight="1">
      <c r="A245" s="178"/>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spans="1:26" ht="12.75" customHeight="1">
      <c r="A246" s="178"/>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spans="1:26" ht="12.75" customHeight="1">
      <c r="A247" s="178"/>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spans="1:26" ht="12.75" customHeight="1">
      <c r="A248" s="178"/>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spans="1:26" ht="12.75" customHeight="1">
      <c r="A249" s="178"/>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spans="1:26" ht="12.75" customHeight="1">
      <c r="A250" s="178"/>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spans="1:26" ht="12.75" customHeight="1">
      <c r="A251" s="178"/>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spans="1:26" ht="12.75" customHeight="1">
      <c r="A252" s="178"/>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spans="1:26" ht="12.75" customHeight="1">
      <c r="A253" s="178"/>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spans="1:26" ht="12.75" customHeight="1">
      <c r="A254" s="178"/>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spans="1:26" ht="12.75" customHeight="1">
      <c r="A255" s="178"/>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spans="1:26" ht="12.75" customHeight="1">
      <c r="A256" s="178"/>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spans="1:26" ht="12.75" customHeight="1">
      <c r="A257" s="178"/>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spans="1:26" ht="12.75" customHeight="1">
      <c r="A258" s="178"/>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spans="1:26" ht="12.75" customHeight="1">
      <c r="A259" s="178"/>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spans="1:26" ht="12.75" customHeight="1">
      <c r="A260" s="178"/>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spans="1:26" ht="12.75" customHeight="1">
      <c r="A261" s="178"/>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spans="1:26" ht="12.75" customHeight="1">
      <c r="A262" s="178"/>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spans="1:26" ht="12.75" customHeight="1">
      <c r="A263" s="178"/>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spans="1:26" ht="12.75" customHeight="1">
      <c r="A264" s="178"/>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spans="1:26" ht="12.75" customHeight="1">
      <c r="A265" s="178"/>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spans="1:26" ht="12.75" customHeight="1">
      <c r="A266" s="178"/>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spans="1:26" ht="12.75" customHeight="1">
      <c r="A267" s="178"/>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spans="1:26" ht="12.75" customHeight="1">
      <c r="A268" s="178"/>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spans="1:26" ht="12.75" customHeight="1">
      <c r="A269" s="178"/>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spans="1:26" ht="12.75" customHeight="1">
      <c r="A270" s="178"/>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spans="1:26" ht="12.75" customHeight="1">
      <c r="A271" s="178"/>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spans="1:26" ht="12.75" customHeight="1">
      <c r="A272" s="178"/>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spans="1:26" ht="12.75" customHeight="1">
      <c r="A273" s="178"/>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spans="1:26" ht="12.75" customHeight="1">
      <c r="A274" s="178"/>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spans="1:26" ht="12.75" customHeight="1">
      <c r="A275" s="178"/>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spans="1:26" ht="12.75" customHeight="1">
      <c r="A276" s="178"/>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spans="1:26" ht="12.75" customHeight="1">
      <c r="A277" s="178"/>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spans="1:26" ht="12.75" customHeight="1">
      <c r="A278" s="178"/>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spans="1:26" ht="12.75" customHeight="1">
      <c r="A279" s="178"/>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spans="1:26" ht="12.75" customHeight="1">
      <c r="A280" s="178"/>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spans="1:26" ht="12.75" customHeight="1">
      <c r="A281" s="178"/>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spans="1:26" ht="12.75" customHeight="1">
      <c r="A282" s="178"/>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spans="1:26" ht="12.75" customHeight="1">
      <c r="A283" s="178"/>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spans="1:26" ht="12.75" customHeight="1">
      <c r="A284" s="178"/>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spans="1:26" ht="12.75" customHeight="1">
      <c r="A285" s="178"/>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spans="1:26" ht="12.75" customHeight="1">
      <c r="A286" s="178"/>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spans="1:26" ht="12.75" customHeight="1">
      <c r="A287" s="178"/>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spans="1:26" ht="12.75" customHeight="1">
      <c r="A288" s="178"/>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spans="1:26" ht="12.75" customHeight="1">
      <c r="A289" s="178"/>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spans="1:26" ht="12.75" customHeight="1">
      <c r="A290" s="178"/>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spans="1:26" ht="12.75" customHeight="1">
      <c r="A291" s="178"/>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spans="1:26" ht="12.75" customHeight="1">
      <c r="A292" s="178"/>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spans="1:26" ht="12.75" customHeight="1">
      <c r="A293" s="178"/>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spans="1:26" ht="12.75" customHeight="1">
      <c r="A294" s="178"/>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spans="1:26" ht="12.75" customHeight="1">
      <c r="A295" s="178"/>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spans="1:26" ht="12.75" customHeight="1">
      <c r="A296" s="178"/>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spans="1:26" ht="12.75" customHeight="1">
      <c r="A297" s="178"/>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spans="1:26" ht="12.75" customHeight="1">
      <c r="A298" s="178"/>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spans="1:26" ht="12.75" customHeight="1">
      <c r="A299" s="178"/>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spans="1:26" ht="12.75" customHeight="1">
      <c r="A300" s="178"/>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spans="1:26" ht="12.75" customHeight="1">
      <c r="A301" s="178"/>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spans="1:26" ht="12.75" customHeight="1">
      <c r="A302" s="178"/>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spans="1:26" ht="12.75" customHeight="1">
      <c r="A303" s="178"/>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spans="1:26" ht="12.75" customHeight="1">
      <c r="A304" s="178"/>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spans="1:26" ht="12.75" customHeight="1">
      <c r="A305" s="178"/>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spans="1:26" ht="12.75" customHeight="1">
      <c r="A306" s="178"/>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spans="1:26" ht="12.75" customHeight="1">
      <c r="A307" s="178"/>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spans="1:26" ht="12.75" customHeight="1">
      <c r="A308" s="178"/>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spans="1:26" ht="12.75" customHeight="1">
      <c r="A309" s="178"/>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spans="1:26" ht="12.75" customHeight="1">
      <c r="A310" s="178"/>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spans="1:26" ht="12.75" customHeight="1">
      <c r="A311" s="178"/>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spans="1:26" ht="12.75" customHeight="1">
      <c r="A312" s="178"/>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spans="1:26" ht="12.75" customHeight="1">
      <c r="A313" s="178"/>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spans="1:26" ht="12.75" customHeight="1">
      <c r="A314" s="178"/>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spans="1:26" ht="12.75" customHeight="1">
      <c r="A315" s="178"/>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spans="1:26" ht="12.75" customHeight="1">
      <c r="A316" s="178"/>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spans="1:26" ht="12.75" customHeight="1">
      <c r="A317" s="178"/>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spans="1:26" ht="12.75" customHeight="1">
      <c r="A318" s="178"/>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spans="1:26" ht="12.75" customHeight="1">
      <c r="A319" s="178"/>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spans="1:26" ht="12.75" customHeight="1">
      <c r="A320" s="178"/>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spans="1:26" ht="12.75" customHeight="1">
      <c r="A321" s="178"/>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spans="1:26" ht="12.75" customHeight="1">
      <c r="A322" s="178"/>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spans="1:26" ht="12.75" customHeight="1">
      <c r="A323" s="178"/>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spans="1:26" ht="12.75" customHeight="1">
      <c r="A324" s="178"/>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spans="1:26" ht="12.75" customHeight="1">
      <c r="A325" s="178"/>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spans="1:26" ht="12.75" customHeight="1">
      <c r="A326" s="178"/>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spans="1:26" ht="12.75" customHeight="1">
      <c r="A327" s="178"/>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spans="1:26" ht="12.75" customHeight="1">
      <c r="A328" s="178"/>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spans="1:26" ht="12.75" customHeight="1">
      <c r="A329" s="178"/>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spans="1:26" ht="12.75" customHeight="1">
      <c r="A330" s="178"/>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spans="1:26" ht="12.75" customHeight="1">
      <c r="A331" s="178"/>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spans="1:26" ht="12.75" customHeight="1">
      <c r="A332" s="178"/>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spans="1:26" ht="12.75" customHeight="1">
      <c r="A333" s="178"/>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spans="1:26" ht="12.75" customHeight="1">
      <c r="A334" s="178"/>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spans="1:26" ht="12.75" customHeight="1">
      <c r="A335" s="178"/>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spans="1:26" ht="12.75" customHeight="1">
      <c r="A336" s="178"/>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spans="1:26" ht="12.75" customHeight="1">
      <c r="A337" s="178"/>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spans="1:26" ht="12.75" customHeight="1">
      <c r="A338" s="178"/>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spans="1:26" ht="12.75" customHeight="1">
      <c r="A339" s="178"/>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spans="1:26" ht="12.75" customHeight="1">
      <c r="A340" s="178"/>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spans="1:26" ht="12.75" customHeight="1">
      <c r="A341" s="178"/>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spans="1:26" ht="12.75" customHeight="1">
      <c r="A342" s="178"/>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spans="1:26" ht="12.75" customHeight="1">
      <c r="A343" s="178"/>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spans="1:26" ht="12.75" customHeight="1">
      <c r="A344" s="178"/>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spans="1:26" ht="12.75" customHeight="1">
      <c r="A345" s="178"/>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spans="1:26" ht="12.75" customHeight="1">
      <c r="A346" s="178"/>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spans="1:26" ht="12.75" customHeight="1">
      <c r="A347" s="178"/>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spans="1:26" ht="12.75" customHeight="1">
      <c r="A348" s="178"/>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spans="1:26" ht="12.75" customHeight="1">
      <c r="A349" s="178"/>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spans="1:26" ht="12.75" customHeight="1">
      <c r="A350" s="178"/>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spans="1:26" ht="12.75" customHeight="1">
      <c r="A351" s="178"/>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spans="1:26" ht="12.75" customHeight="1">
      <c r="A352" s="178"/>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spans="1:26" ht="12.75" customHeight="1">
      <c r="A353" s="178"/>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spans="1:26" ht="12.75" customHeight="1">
      <c r="A354" s="178"/>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spans="1:26" ht="12.75" customHeight="1">
      <c r="A355" s="178"/>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spans="1:26" ht="12.75" customHeight="1">
      <c r="A356" s="178"/>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spans="1:26" ht="12.75" customHeight="1">
      <c r="A357" s="178"/>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spans="1:26" ht="12.75" customHeight="1">
      <c r="A358" s="178"/>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spans="1:26" ht="12.75" customHeight="1">
      <c r="A359" s="178"/>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spans="1:26" ht="12.75" customHeight="1">
      <c r="A360" s="178"/>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spans="1:26" ht="12.75" customHeight="1">
      <c r="A361" s="178"/>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spans="1:26" ht="12.75" customHeight="1">
      <c r="A362" s="178"/>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spans="1:26" ht="12.75" customHeight="1">
      <c r="A363" s="178"/>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spans="1:26" ht="12.75" customHeight="1">
      <c r="A364" s="178"/>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spans="1:26" ht="12.75" customHeight="1">
      <c r="A365" s="178"/>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spans="1:26" ht="12.75" customHeight="1">
      <c r="A366" s="178"/>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spans="1:26" ht="12.75" customHeight="1">
      <c r="A367" s="178"/>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spans="1:26" ht="12.75" customHeight="1">
      <c r="A368" s="178"/>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spans="1:26" ht="12.75" customHeight="1">
      <c r="A369" s="178"/>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spans="1:26" ht="12.75" customHeight="1">
      <c r="A370" s="178"/>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spans="1:26" ht="12.75" customHeight="1">
      <c r="A371" s="178"/>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spans="1:26" ht="12.75" customHeight="1">
      <c r="A372" s="178"/>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spans="1:26" ht="12.75" customHeight="1">
      <c r="A373" s="178"/>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spans="1:26" ht="12.75" customHeight="1">
      <c r="A374" s="178"/>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spans="1:26" ht="12.75" customHeight="1">
      <c r="A375" s="178"/>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spans="1:26" ht="12.75" customHeight="1">
      <c r="A376" s="178"/>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spans="1:26" ht="12.75" customHeight="1">
      <c r="A377" s="178"/>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spans="1:26" ht="12.75" customHeight="1">
      <c r="A378" s="178"/>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spans="1:26" ht="12.75" customHeight="1">
      <c r="A379" s="178"/>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spans="1:26" ht="12.75" customHeight="1">
      <c r="A380" s="178"/>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spans="1:26" ht="12.75" customHeight="1">
      <c r="A381" s="178"/>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spans="1:26" ht="12.75" customHeight="1">
      <c r="A382" s="178"/>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spans="1:26" ht="12.75" customHeight="1">
      <c r="A383" s="178"/>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spans="1:26" ht="12.75" customHeight="1">
      <c r="A384" s="178"/>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spans="1:26" ht="12.75" customHeight="1">
      <c r="A385" s="178"/>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spans="1:26" ht="12.75" customHeight="1">
      <c r="A386" s="178"/>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spans="1:26" ht="12.75" customHeight="1">
      <c r="A387" s="178"/>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spans="1:26" ht="12.75" customHeight="1">
      <c r="A388" s="178"/>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spans="1:26" ht="12.75" customHeight="1">
      <c r="A389" s="178"/>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spans="1:26" ht="12.75" customHeight="1">
      <c r="A390" s="178"/>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spans="1:26" ht="12.75" customHeight="1">
      <c r="A391" s="178"/>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spans="1:26" ht="12.75" customHeight="1">
      <c r="A392" s="178"/>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spans="1:26" ht="12.75" customHeight="1">
      <c r="A393" s="178"/>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spans="1:26" ht="12.75" customHeight="1">
      <c r="A394" s="178"/>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spans="1:26" ht="12.75" customHeight="1">
      <c r="A395" s="178"/>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spans="1:26" ht="12.75" customHeight="1">
      <c r="A396" s="178"/>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spans="1:26" ht="12.75" customHeight="1">
      <c r="A397" s="178"/>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spans="1:26" ht="12.75" customHeight="1">
      <c r="A398" s="178"/>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spans="1:26" ht="12.75" customHeight="1">
      <c r="A399" s="178"/>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spans="1:26" ht="12.75" customHeight="1">
      <c r="A400" s="178"/>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spans="1:26" ht="12.75" customHeight="1">
      <c r="A401" s="178"/>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spans="1:26" ht="12.75" customHeight="1">
      <c r="A402" s="178"/>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spans="1:26" ht="12.75" customHeight="1">
      <c r="A403" s="178"/>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spans="1:26" ht="12.75" customHeight="1">
      <c r="A404" s="178"/>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spans="1:26" ht="12.75" customHeight="1">
      <c r="A405" s="178"/>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spans="1:26" ht="12.75" customHeight="1">
      <c r="A406" s="178"/>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spans="1:26" ht="12.75" customHeight="1">
      <c r="A407" s="178"/>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spans="1:26" ht="12.75" customHeight="1">
      <c r="A408" s="178"/>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spans="1:26" ht="12.75" customHeight="1">
      <c r="A409" s="178"/>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spans="1:26" ht="12.75" customHeight="1">
      <c r="A410" s="178"/>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spans="1:26" ht="12.75" customHeight="1">
      <c r="A411" s="178"/>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spans="1:26" ht="12.75" customHeight="1">
      <c r="A412" s="178"/>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spans="1:26" ht="12.75" customHeight="1">
      <c r="A413" s="178"/>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spans="1:26" ht="12.75" customHeight="1">
      <c r="A414" s="178"/>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spans="1:26" ht="12.75" customHeight="1">
      <c r="A415" s="178"/>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spans="1:26" ht="12.75" customHeight="1">
      <c r="A416" s="178"/>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spans="1:26" ht="12.75" customHeight="1">
      <c r="A417" s="178"/>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spans="1:26" ht="12.75" customHeight="1">
      <c r="A418" s="178"/>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spans="1:26" ht="12.75" customHeight="1">
      <c r="A419" s="178"/>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spans="1:26" ht="12.75" customHeight="1">
      <c r="A420" s="178"/>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spans="1:26" ht="12.75" customHeight="1">
      <c r="A421" s="178"/>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spans="1:26" ht="12.75" customHeight="1">
      <c r="A422" s="178"/>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spans="1:26" ht="12.75" customHeight="1">
      <c r="A423" s="178"/>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spans="1:26" ht="12.75" customHeight="1">
      <c r="A424" s="178"/>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spans="1:26" ht="12.75" customHeight="1">
      <c r="A425" s="178"/>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spans="1:26" ht="12.75" customHeight="1">
      <c r="A426" s="178"/>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spans="1:26" ht="12.75" customHeight="1">
      <c r="A427" s="178"/>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spans="1:26" ht="12.75" customHeight="1">
      <c r="A428" s="178"/>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spans="1:26" ht="12.75" customHeight="1">
      <c r="A429" s="178"/>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spans="1:26" ht="12.75" customHeight="1">
      <c r="A430" s="178"/>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spans="1:26" ht="12.75" customHeight="1">
      <c r="A431" s="178"/>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spans="1:26" ht="12.75" customHeight="1">
      <c r="A432" s="178"/>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spans="1:26" ht="12.75" customHeight="1">
      <c r="A433" s="178"/>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spans="1:26" ht="12.75" customHeight="1">
      <c r="A434" s="178"/>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spans="1:26" ht="12.75" customHeight="1">
      <c r="A435" s="178"/>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spans="1:26" ht="12.75" customHeight="1">
      <c r="A436" s="178"/>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spans="1:26" ht="12.75" customHeight="1">
      <c r="A437" s="178"/>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spans="1:26" ht="12.75" customHeight="1">
      <c r="A438" s="178"/>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spans="1:26" ht="12.75" customHeight="1">
      <c r="A439" s="178"/>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spans="1:26" ht="12.75" customHeight="1">
      <c r="A440" s="178"/>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spans="1:26" ht="12.75" customHeight="1">
      <c r="A441" s="178"/>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spans="1:26" ht="12.75" customHeight="1">
      <c r="A442" s="178"/>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spans="1:26" ht="12.75" customHeight="1">
      <c r="A443" s="178"/>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spans="1:26" ht="12.75" customHeight="1">
      <c r="A444" s="178"/>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spans="1:26" ht="12.75" customHeight="1">
      <c r="A445" s="178"/>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spans="1:26" ht="12.75" customHeight="1">
      <c r="A446" s="178"/>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spans="1:26" ht="12.75" customHeight="1">
      <c r="A447" s="178"/>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spans="1:26" ht="12.75" customHeight="1">
      <c r="A448" s="178"/>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spans="1:26" ht="12.75" customHeight="1">
      <c r="A449" s="178"/>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spans="1:26" ht="12.75" customHeight="1">
      <c r="A450" s="178"/>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spans="1:26" ht="12.75" customHeight="1">
      <c r="A451" s="178"/>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spans="1:26" ht="12.75" customHeight="1">
      <c r="A452" s="178"/>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spans="1:26" ht="12.75" customHeight="1">
      <c r="A453" s="178"/>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spans="1:26" ht="12.75" customHeight="1">
      <c r="A454" s="178"/>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spans="1:26" ht="12.75" customHeight="1">
      <c r="A455" s="178"/>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spans="1:26" ht="12.75" customHeight="1">
      <c r="A456" s="178"/>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spans="1:26" ht="12.75" customHeight="1">
      <c r="A457" s="178"/>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spans="1:26" ht="12.75" customHeight="1">
      <c r="A458" s="178"/>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spans="1:26" ht="12.75" customHeight="1">
      <c r="A459" s="178"/>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spans="1:26" ht="12.75" customHeight="1">
      <c r="A460" s="178"/>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spans="1:26" ht="12.75" customHeight="1">
      <c r="A461" s="178"/>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spans="1:26" ht="12.75" customHeight="1">
      <c r="A462" s="178"/>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spans="1:26" ht="12.75" customHeight="1">
      <c r="A463" s="178"/>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spans="1:26" ht="12.75" customHeight="1">
      <c r="A464" s="178"/>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spans="1:26" ht="12.75" customHeight="1">
      <c r="A465" s="178"/>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spans="1:26" ht="12.75" customHeight="1">
      <c r="A466" s="178"/>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spans="1:26" ht="12.75" customHeight="1">
      <c r="A467" s="178"/>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spans="1:26" ht="12.75" customHeight="1">
      <c r="A468" s="178"/>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spans="1:26" ht="12.75" customHeight="1">
      <c r="A469" s="178"/>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spans="1:26" ht="12.75" customHeight="1">
      <c r="A470" s="178"/>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spans="1:26" ht="12.75" customHeight="1">
      <c r="A471" s="178"/>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spans="1:26" ht="12.75" customHeight="1">
      <c r="A472" s="178"/>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spans="1:26" ht="12.75" customHeight="1">
      <c r="A473" s="178"/>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spans="1:26" ht="12.75" customHeight="1">
      <c r="A474" s="178"/>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spans="1:26" ht="12.75" customHeight="1">
      <c r="A475" s="178"/>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spans="1:26" ht="12.75" customHeight="1">
      <c r="A476" s="178"/>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spans="1:26" ht="12.75" customHeight="1">
      <c r="A477" s="178"/>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spans="1:26" ht="12.75" customHeight="1">
      <c r="A478" s="178"/>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spans="1:26" ht="12.75" customHeight="1">
      <c r="A479" s="178"/>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spans="1:26" ht="12.75" customHeight="1">
      <c r="A480" s="178"/>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spans="1:26" ht="12.75" customHeight="1">
      <c r="A481" s="178"/>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spans="1:26" ht="12.75" customHeight="1">
      <c r="A482" s="178"/>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spans="1:26" ht="12.75" customHeight="1">
      <c r="A483" s="178"/>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spans="1:26" ht="12.75" customHeight="1">
      <c r="A484" s="178"/>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spans="1:26" ht="12.75" customHeight="1">
      <c r="A485" s="178"/>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spans="1:26" ht="12.75" customHeight="1">
      <c r="A486" s="178"/>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spans="1:26" ht="12.75" customHeight="1">
      <c r="A487" s="178"/>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spans="1:26" ht="12.75" customHeight="1">
      <c r="A488" s="178"/>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spans="1:26" ht="12.75" customHeight="1">
      <c r="A489" s="178"/>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spans="1:26" ht="12.75" customHeight="1">
      <c r="A490" s="178"/>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spans="1:26" ht="12.75" customHeight="1">
      <c r="A491" s="178"/>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spans="1:26" ht="12.75" customHeight="1">
      <c r="A492" s="178"/>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spans="1:26" ht="12.75" customHeight="1">
      <c r="A493" s="178"/>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spans="1:26" ht="12.75" customHeight="1">
      <c r="A494" s="178"/>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spans="1:26" ht="12.75" customHeight="1">
      <c r="A495" s="178"/>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spans="1:26" ht="12.75" customHeight="1">
      <c r="A496" s="178"/>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spans="1:26" ht="12.75" customHeight="1">
      <c r="A497" s="178"/>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spans="1:26" ht="12.75" customHeight="1">
      <c r="A498" s="178"/>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spans="1:26" ht="12.75" customHeight="1">
      <c r="A499" s="178"/>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spans="1:26" ht="12.75" customHeight="1">
      <c r="A500" s="178"/>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spans="1:26" ht="12.75" customHeight="1">
      <c r="A501" s="178"/>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spans="1:26" ht="12.75" customHeight="1">
      <c r="A502" s="178"/>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spans="1:26" ht="12.75" customHeight="1">
      <c r="A503" s="178"/>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spans="1:26" ht="12.75" customHeight="1">
      <c r="A504" s="178"/>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spans="1:26" ht="12.75" customHeight="1">
      <c r="A505" s="178"/>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spans="1:26" ht="12.75" customHeight="1">
      <c r="A506" s="178"/>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spans="1:26" ht="12.75" customHeight="1">
      <c r="A507" s="178"/>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spans="1:26" ht="12.75" customHeight="1">
      <c r="A508" s="178"/>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spans="1:26" ht="12.75" customHeight="1">
      <c r="A509" s="178"/>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spans="1:26" ht="12.75" customHeight="1">
      <c r="A510" s="178"/>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spans="1:26" ht="12.75" customHeight="1">
      <c r="A511" s="178"/>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spans="1:26" ht="12.75" customHeight="1">
      <c r="A512" s="178"/>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spans="1:26" ht="12.75" customHeight="1">
      <c r="A513" s="178"/>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spans="1:26" ht="12.75" customHeight="1">
      <c r="A514" s="178"/>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spans="1:26" ht="12.75" customHeight="1">
      <c r="A515" s="178"/>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spans="1:26" ht="12.75" customHeight="1">
      <c r="A516" s="178"/>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spans="1:26" ht="12.75" customHeight="1">
      <c r="A517" s="178"/>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spans="1:26" ht="12.75" customHeight="1">
      <c r="A518" s="178"/>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spans="1:26" ht="12.75" customHeight="1">
      <c r="A519" s="178"/>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spans="1:26" ht="12.75" customHeight="1">
      <c r="A520" s="178"/>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spans="1:26" ht="12.75" customHeight="1">
      <c r="A521" s="178"/>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spans="1:26" ht="12.75" customHeight="1">
      <c r="A522" s="178"/>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spans="1:26" ht="12.75" customHeight="1">
      <c r="A523" s="178"/>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spans="1:26" ht="12.75" customHeight="1">
      <c r="A524" s="178"/>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spans="1:26" ht="12.75" customHeight="1">
      <c r="A525" s="178"/>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spans="1:26" ht="12.75" customHeight="1">
      <c r="A526" s="178"/>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spans="1:26" ht="12.75" customHeight="1">
      <c r="A527" s="178"/>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spans="1:26" ht="12.75" customHeight="1">
      <c r="A528" s="178"/>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spans="1:26" ht="12.75" customHeight="1">
      <c r="A529" s="178"/>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spans="1:26" ht="12.75" customHeight="1">
      <c r="A530" s="178"/>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spans="1:26" ht="12.75" customHeight="1">
      <c r="A531" s="178"/>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spans="1:26" ht="12.75" customHeight="1">
      <c r="A532" s="178"/>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spans="1:26" ht="12.75" customHeight="1">
      <c r="A533" s="178"/>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spans="1:26" ht="12.75" customHeight="1">
      <c r="A534" s="178"/>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spans="1:26" ht="12.75" customHeight="1">
      <c r="A535" s="178"/>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spans="1:26" ht="12.75" customHeight="1">
      <c r="A536" s="178"/>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spans="1:26" ht="12.75" customHeight="1">
      <c r="A537" s="178"/>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spans="1:26" ht="12.75" customHeight="1">
      <c r="A538" s="178"/>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spans="1:26" ht="12.75" customHeight="1">
      <c r="A539" s="178"/>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spans="1:26" ht="12.75" customHeight="1">
      <c r="A540" s="178"/>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spans="1:26" ht="12.75" customHeight="1">
      <c r="A541" s="178"/>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spans="1:26" ht="12.75" customHeight="1">
      <c r="A542" s="178"/>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spans="1:26" ht="12.75" customHeight="1">
      <c r="A543" s="178"/>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spans="1:26" ht="12.75" customHeight="1">
      <c r="A544" s="178"/>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spans="1:26" ht="12.75" customHeight="1">
      <c r="A545" s="178"/>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spans="1:26" ht="12.75" customHeight="1">
      <c r="A546" s="178"/>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spans="1:26" ht="12.75" customHeight="1">
      <c r="A547" s="178"/>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spans="1:26" ht="12.75" customHeight="1">
      <c r="A548" s="178"/>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spans="1:26" ht="12.75" customHeight="1">
      <c r="A549" s="178"/>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spans="1:26" ht="12.75" customHeight="1">
      <c r="A550" s="178"/>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spans="1:26" ht="12.75" customHeight="1">
      <c r="A551" s="178"/>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spans="1:26" ht="12.75" customHeight="1">
      <c r="A552" s="178"/>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spans="1:26" ht="12.75" customHeight="1">
      <c r="A553" s="178"/>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spans="1:26" ht="12.75" customHeight="1">
      <c r="A554" s="178"/>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spans="1:26" ht="12.75" customHeight="1">
      <c r="A555" s="178"/>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spans="1:26" ht="12.75" customHeight="1">
      <c r="A556" s="178"/>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spans="1:26" ht="12.75" customHeight="1">
      <c r="A557" s="178"/>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spans="1:26" ht="12.75" customHeight="1">
      <c r="A558" s="178"/>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spans="1:26" ht="12.75" customHeight="1">
      <c r="A559" s="178"/>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spans="1:26" ht="12.75" customHeight="1">
      <c r="A560" s="178"/>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spans="1:26" ht="12.75" customHeight="1">
      <c r="A561" s="178"/>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spans="1:26" ht="12.75" customHeight="1">
      <c r="A562" s="178"/>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spans="1:26" ht="12.75" customHeight="1">
      <c r="A563" s="178"/>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spans="1:26" ht="12.75" customHeight="1">
      <c r="A564" s="178"/>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spans="1:26" ht="12.75" customHeight="1">
      <c r="A565" s="178"/>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spans="1:26" ht="12.75" customHeight="1">
      <c r="A566" s="178"/>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spans="1:26" ht="12.75" customHeight="1">
      <c r="A567" s="178"/>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spans="1:26" ht="12.75" customHeight="1">
      <c r="A568" s="178"/>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spans="1:26" ht="12.75" customHeight="1">
      <c r="A569" s="178"/>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spans="1:26" ht="12.75" customHeight="1">
      <c r="A570" s="178"/>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spans="1:26" ht="12.75" customHeight="1">
      <c r="A571" s="178"/>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spans="1:26" ht="12.75" customHeight="1">
      <c r="A572" s="178"/>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spans="1:26" ht="12.75" customHeight="1">
      <c r="A573" s="178"/>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spans="1:26" ht="12.75" customHeight="1">
      <c r="A574" s="178"/>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spans="1:26" ht="12.75" customHeight="1">
      <c r="A575" s="178"/>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spans="1:26" ht="12.75" customHeight="1">
      <c r="A576" s="178"/>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spans="1:26" ht="12.75" customHeight="1">
      <c r="A577" s="178"/>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spans="1:26" ht="12.75" customHeight="1">
      <c r="A578" s="178"/>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spans="1:26" ht="12.75" customHeight="1">
      <c r="A579" s="178"/>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spans="1:26" ht="12.75" customHeight="1">
      <c r="A580" s="178"/>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spans="1:26" ht="12.75" customHeight="1">
      <c r="A581" s="178"/>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spans="1:26" ht="12.75" customHeight="1">
      <c r="A582" s="178"/>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spans="1:26" ht="12.75" customHeight="1">
      <c r="A583" s="178"/>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spans="1:26" ht="12.75" customHeight="1">
      <c r="A584" s="178"/>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spans="1:26" ht="12.75" customHeight="1">
      <c r="A585" s="178"/>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spans="1:26" ht="12.75" customHeight="1">
      <c r="A586" s="178"/>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spans="1:26" ht="12.75" customHeight="1">
      <c r="A587" s="178"/>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spans="1:26" ht="12.75" customHeight="1">
      <c r="A588" s="178"/>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spans="1:26" ht="12.75" customHeight="1">
      <c r="A589" s="178"/>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spans="1:26" ht="12.75" customHeight="1">
      <c r="A590" s="178"/>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spans="1:26" ht="12.75" customHeight="1">
      <c r="A591" s="178"/>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spans="1:26" ht="12.75" customHeight="1">
      <c r="A592" s="178"/>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spans="1:26" ht="12.75" customHeight="1">
      <c r="A593" s="178"/>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spans="1:26" ht="12.75" customHeight="1">
      <c r="A594" s="178"/>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spans="1:26" ht="12.75" customHeight="1">
      <c r="A595" s="178"/>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spans="1:26" ht="12.75" customHeight="1">
      <c r="A596" s="178"/>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spans="1:26" ht="12.75" customHeight="1">
      <c r="A597" s="178"/>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spans="1:26" ht="12.75" customHeight="1">
      <c r="A598" s="178"/>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spans="1:26" ht="12.75" customHeight="1">
      <c r="A599" s="178"/>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spans="1:26" ht="12.75" customHeight="1">
      <c r="A600" s="178"/>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spans="1:26" ht="12.75" customHeight="1">
      <c r="A601" s="178"/>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spans="1:26" ht="12.75" customHeight="1">
      <c r="A602" s="178"/>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spans="1:26" ht="12.75" customHeight="1">
      <c r="A603" s="178"/>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spans="1:26" ht="12.75" customHeight="1">
      <c r="A604" s="178"/>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spans="1:26" ht="12.75" customHeight="1">
      <c r="A605" s="178"/>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spans="1:26" ht="12.75" customHeight="1">
      <c r="A606" s="178"/>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spans="1:26" ht="12.75" customHeight="1">
      <c r="A607" s="178"/>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spans="1:26" ht="12.75" customHeight="1">
      <c r="A608" s="178"/>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spans="1:26" ht="12.75" customHeight="1">
      <c r="A609" s="178"/>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spans="1:26" ht="12.75" customHeight="1">
      <c r="A610" s="178"/>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spans="1:26" ht="12.75" customHeight="1">
      <c r="A611" s="178"/>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spans="1:26" ht="12.75" customHeight="1">
      <c r="A612" s="178"/>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spans="1:26" ht="12.75" customHeight="1">
      <c r="A613" s="178"/>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spans="1:26" ht="12.75" customHeight="1">
      <c r="A614" s="178"/>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spans="1:26" ht="12.75" customHeight="1">
      <c r="A615" s="178"/>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spans="1:26" ht="12.75" customHeight="1">
      <c r="A616" s="178"/>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spans="1:26" ht="12.75" customHeight="1">
      <c r="A617" s="178"/>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spans="1:26" ht="12.75" customHeight="1">
      <c r="A618" s="178"/>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spans="1:26" ht="12.75" customHeight="1">
      <c r="A619" s="178"/>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spans="1:26" ht="12.75" customHeight="1">
      <c r="A620" s="178"/>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spans="1:26" ht="12.75" customHeight="1">
      <c r="A621" s="178"/>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spans="1:26" ht="12.75" customHeight="1">
      <c r="A622" s="178"/>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spans="1:26" ht="12.75" customHeight="1">
      <c r="A623" s="178"/>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spans="1:26" ht="12.75" customHeight="1">
      <c r="A624" s="178"/>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spans="1:26" ht="12.75" customHeight="1">
      <c r="A625" s="178"/>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spans="1:26" ht="12.75" customHeight="1">
      <c r="A626" s="178"/>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spans="1:26" ht="12.75" customHeight="1">
      <c r="A627" s="178"/>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spans="1:26" ht="12.75" customHeight="1">
      <c r="A628" s="178"/>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spans="1:26" ht="12.75" customHeight="1">
      <c r="A629" s="178"/>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spans="1:26" ht="12.75" customHeight="1">
      <c r="A630" s="178"/>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spans="1:26" ht="12.75" customHeight="1">
      <c r="A631" s="178"/>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spans="1:26" ht="12.75" customHeight="1">
      <c r="A632" s="178"/>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spans="1:26" ht="12.75" customHeight="1">
      <c r="A633" s="178"/>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spans="1:26" ht="12.75" customHeight="1">
      <c r="A634" s="178"/>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spans="1:26" ht="12.75" customHeight="1">
      <c r="A635" s="178"/>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spans="1:26" ht="12.75" customHeight="1">
      <c r="A636" s="178"/>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spans="1:26" ht="12.75" customHeight="1">
      <c r="A637" s="178"/>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spans="1:26" ht="12.75" customHeight="1">
      <c r="A638" s="178"/>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spans="1:26" ht="12.75" customHeight="1">
      <c r="A639" s="178"/>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spans="1:26" ht="12.75" customHeight="1">
      <c r="A640" s="178"/>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spans="1:26" ht="12.75" customHeight="1">
      <c r="A641" s="178"/>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spans="1:26" ht="12.75" customHeight="1">
      <c r="A642" s="178"/>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spans="1:26" ht="12.75" customHeight="1">
      <c r="A643" s="178"/>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spans="1:26" ht="12.75" customHeight="1">
      <c r="A644" s="178"/>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spans="1:26" ht="12.75" customHeight="1">
      <c r="A645" s="178"/>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spans="1:26" ht="12.75" customHeight="1">
      <c r="A646" s="178"/>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spans="1:26" ht="12.75" customHeight="1">
      <c r="A647" s="178"/>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spans="1:26" ht="12.75" customHeight="1">
      <c r="A648" s="178"/>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spans="1:26" ht="12.75" customHeight="1">
      <c r="A649" s="178"/>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spans="1:26" ht="12.75" customHeight="1">
      <c r="A650" s="178"/>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spans="1:26" ht="12.75" customHeight="1">
      <c r="A651" s="178"/>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spans="1:26" ht="12.75" customHeight="1">
      <c r="A652" s="178"/>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spans="1:26" ht="12.75" customHeight="1">
      <c r="A653" s="178"/>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spans="1:26" ht="12.75" customHeight="1">
      <c r="A654" s="178"/>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spans="1:26" ht="12.75" customHeight="1">
      <c r="A655" s="178"/>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spans="1:26" ht="12.75" customHeight="1">
      <c r="A656" s="178"/>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spans="1:26" ht="12.75" customHeight="1">
      <c r="A657" s="178"/>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spans="1:26" ht="12.75" customHeight="1">
      <c r="A658" s="178"/>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spans="1:26" ht="12.75" customHeight="1">
      <c r="A659" s="178"/>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spans="1:26" ht="12.75" customHeight="1">
      <c r="A660" s="178"/>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spans="1:26" ht="12.75" customHeight="1">
      <c r="A661" s="178"/>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spans="1:26" ht="12.75" customHeight="1">
      <c r="A662" s="178"/>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spans="1:26" ht="12.75" customHeight="1">
      <c r="A663" s="178"/>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spans="1:26" ht="12.75" customHeight="1">
      <c r="A664" s="178"/>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spans="1:26" ht="12.75" customHeight="1">
      <c r="A665" s="178"/>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spans="1:26" ht="12.75" customHeight="1">
      <c r="A666" s="178"/>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spans="1:26" ht="12.75" customHeight="1">
      <c r="A667" s="178"/>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spans="1:26" ht="12.75" customHeight="1">
      <c r="A668" s="178"/>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spans="1:26" ht="12.75" customHeight="1">
      <c r="A669" s="178"/>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spans="1:26" ht="12.75" customHeight="1">
      <c r="A670" s="178"/>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spans="1:26" ht="12.75" customHeight="1">
      <c r="A671" s="178"/>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spans="1:26" ht="12.75" customHeight="1">
      <c r="A672" s="178"/>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spans="1:26" ht="12.75" customHeight="1">
      <c r="A673" s="178"/>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spans="1:26" ht="12.75" customHeight="1">
      <c r="A674" s="178"/>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spans="1:26" ht="12.75" customHeight="1">
      <c r="A675" s="178"/>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spans="1:26" ht="12.75" customHeight="1">
      <c r="A676" s="178"/>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spans="1:26" ht="12.75" customHeight="1">
      <c r="A677" s="178"/>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spans="1:26" ht="12.75" customHeight="1">
      <c r="A678" s="178"/>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spans="1:26" ht="12.75" customHeight="1">
      <c r="A679" s="178"/>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spans="1:26" ht="12.75" customHeight="1">
      <c r="A680" s="178"/>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spans="1:26" ht="12.75" customHeight="1">
      <c r="A681" s="178"/>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spans="1:26" ht="12.75" customHeight="1">
      <c r="A682" s="178"/>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spans="1:26" ht="12.75" customHeight="1">
      <c r="A683" s="178"/>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spans="1:26" ht="12.75" customHeight="1">
      <c r="A684" s="178"/>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spans="1:26" ht="12.75" customHeight="1">
      <c r="A685" s="178"/>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spans="1:26" ht="12.75" customHeight="1">
      <c r="A686" s="178"/>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spans="1:26" ht="12.75" customHeight="1">
      <c r="A687" s="178"/>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spans="1:26" ht="12.75" customHeight="1">
      <c r="A688" s="178"/>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spans="1:26" ht="12.75" customHeight="1">
      <c r="A689" s="178"/>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spans="1:26" ht="12.75" customHeight="1">
      <c r="A690" s="178"/>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spans="1:26" ht="12.75" customHeight="1">
      <c r="A691" s="178"/>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spans="1:26" ht="12.75" customHeight="1">
      <c r="A692" s="178"/>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spans="1:26" ht="12.75" customHeight="1">
      <c r="A693" s="178"/>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spans="1:26" ht="12.75" customHeight="1">
      <c r="A694" s="178"/>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spans="1:26" ht="12.75" customHeight="1">
      <c r="A695" s="178"/>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spans="1:26" ht="12.75" customHeight="1">
      <c r="A696" s="178"/>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spans="1:26" ht="12.75" customHeight="1">
      <c r="A697" s="178"/>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spans="1:26" ht="12.75" customHeight="1">
      <c r="A698" s="178"/>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spans="1:26" ht="12.75" customHeight="1">
      <c r="A699" s="178"/>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spans="1:26" ht="12.75" customHeight="1">
      <c r="A700" s="178"/>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spans="1:26" ht="12.75" customHeight="1">
      <c r="A701" s="178"/>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spans="1:26" ht="12.75" customHeight="1">
      <c r="A702" s="178"/>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spans="1:26" ht="12.75" customHeight="1">
      <c r="A703" s="178"/>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spans="1:26" ht="12.75" customHeight="1">
      <c r="A704" s="178"/>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spans="1:26" ht="12.75" customHeight="1">
      <c r="A705" s="178"/>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spans="1:26" ht="12.75" customHeight="1">
      <c r="A706" s="178"/>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spans="1:26" ht="12.75" customHeight="1">
      <c r="A707" s="178"/>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spans="1:26" ht="12.75" customHeight="1">
      <c r="A708" s="178"/>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spans="1:26" ht="12.75" customHeight="1">
      <c r="A709" s="178"/>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spans="1:26" ht="12.75" customHeight="1">
      <c r="A710" s="178"/>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spans="1:26" ht="12.75" customHeight="1">
      <c r="A711" s="178"/>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spans="1:26" ht="12.75" customHeight="1">
      <c r="A712" s="178"/>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spans="1:26" ht="12.75" customHeight="1">
      <c r="A713" s="178"/>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spans="1:26" ht="12.75" customHeight="1">
      <c r="A714" s="178"/>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spans="1:26" ht="12.75" customHeight="1">
      <c r="A715" s="178"/>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spans="1:26" ht="12.75" customHeight="1">
      <c r="A716" s="178"/>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spans="1:26" ht="12.75" customHeight="1">
      <c r="A717" s="178"/>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spans="1:26" ht="12.75" customHeight="1">
      <c r="A718" s="178"/>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spans="1:26" ht="12.75" customHeight="1">
      <c r="A719" s="178"/>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spans="1:26" ht="12.75" customHeight="1">
      <c r="A720" s="178"/>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spans="1:26" ht="12.75" customHeight="1">
      <c r="A721" s="178"/>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spans="1:26" ht="12.75" customHeight="1">
      <c r="A722" s="178"/>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spans="1:26" ht="12.75" customHeight="1">
      <c r="A723" s="178"/>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spans="1:26" ht="12.75" customHeight="1">
      <c r="A724" s="178"/>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spans="1:26" ht="12.75" customHeight="1">
      <c r="A725" s="178"/>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spans="1:26" ht="12.75" customHeight="1">
      <c r="A726" s="178"/>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spans="1:26" ht="12.75" customHeight="1">
      <c r="A727" s="178"/>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spans="1:26" ht="12.75" customHeight="1">
      <c r="A728" s="178"/>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spans="1:26" ht="12.75" customHeight="1">
      <c r="A729" s="178"/>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spans="1:26" ht="12.75" customHeight="1">
      <c r="A730" s="178"/>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spans="1:26" ht="12.75" customHeight="1">
      <c r="A731" s="178"/>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spans="1:26" ht="12.75" customHeight="1">
      <c r="A732" s="178"/>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spans="1:26" ht="12.75" customHeight="1">
      <c r="A733" s="178"/>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spans="1:26" ht="12.75" customHeight="1">
      <c r="A734" s="178"/>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spans="1:26" ht="12.75" customHeight="1">
      <c r="A735" s="178"/>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spans="1:26" ht="12.75" customHeight="1">
      <c r="A736" s="178"/>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spans="1:26" ht="12.75" customHeight="1">
      <c r="A737" s="178"/>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spans="1:26" ht="12.75" customHeight="1">
      <c r="A738" s="178"/>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spans="1:26" ht="12.75" customHeight="1">
      <c r="A739" s="178"/>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spans="1:26" ht="12.75" customHeight="1">
      <c r="A740" s="178"/>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spans="1:26" ht="12.75" customHeight="1">
      <c r="A741" s="178"/>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spans="1:26" ht="12.75" customHeight="1">
      <c r="A742" s="178"/>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spans="1:26" ht="12.75" customHeight="1">
      <c r="A743" s="178"/>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spans="1:26" ht="12.75" customHeight="1">
      <c r="A744" s="178"/>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spans="1:26" ht="12.75" customHeight="1">
      <c r="A745" s="178"/>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spans="1:26" ht="12.75" customHeight="1">
      <c r="A746" s="178"/>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spans="1:26" ht="12.75" customHeight="1">
      <c r="A747" s="178"/>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spans="1:26" ht="12.75" customHeight="1">
      <c r="A748" s="178"/>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spans="1:26" ht="12.75" customHeight="1">
      <c r="A749" s="178"/>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spans="1:26" ht="12.75" customHeight="1">
      <c r="A750" s="178"/>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spans="1:26" ht="12.75" customHeight="1">
      <c r="A751" s="178"/>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spans="1:26" ht="12.75" customHeight="1">
      <c r="A752" s="178"/>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spans="1:26" ht="12.75" customHeight="1">
      <c r="A753" s="178"/>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spans="1:26" ht="12.75" customHeight="1">
      <c r="A754" s="178"/>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spans="1:26" ht="12.75" customHeight="1">
      <c r="A755" s="178"/>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spans="1:26" ht="12.75" customHeight="1">
      <c r="A756" s="178"/>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spans="1:26" ht="12.75" customHeight="1">
      <c r="A757" s="178"/>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spans="1:26" ht="12.75" customHeight="1">
      <c r="A758" s="178"/>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spans="1:26" ht="12.75" customHeight="1">
      <c r="A759" s="178"/>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spans="1:26" ht="12.75" customHeight="1">
      <c r="A760" s="178"/>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spans="1:26" ht="12.75" customHeight="1">
      <c r="A761" s="178"/>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spans="1:26" ht="12.75" customHeight="1">
      <c r="A762" s="178"/>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spans="1:26" ht="12.75" customHeight="1">
      <c r="A763" s="178"/>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spans="1:26" ht="12.75" customHeight="1">
      <c r="A764" s="178"/>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spans="1:26" ht="12.75" customHeight="1">
      <c r="A765" s="178"/>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spans="1:26" ht="12.75" customHeight="1">
      <c r="A766" s="178"/>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spans="1:26" ht="12.75" customHeight="1">
      <c r="A767" s="178"/>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spans="1:26" ht="12.75" customHeight="1">
      <c r="A768" s="178"/>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spans="1:26" ht="12.75" customHeight="1">
      <c r="A769" s="178"/>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spans="1:26" ht="12.75" customHeight="1">
      <c r="A770" s="178"/>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spans="1:26" ht="12.75" customHeight="1">
      <c r="A771" s="178"/>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spans="1:26" ht="12.75" customHeight="1">
      <c r="A772" s="178"/>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spans="1:26" ht="12.75" customHeight="1">
      <c r="A773" s="178"/>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spans="1:26" ht="12.75" customHeight="1">
      <c r="A774" s="178"/>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spans="1:26" ht="12.75" customHeight="1">
      <c r="A775" s="178"/>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spans="1:26" ht="12.75" customHeight="1">
      <c r="A776" s="178"/>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spans="1:26" ht="12.75" customHeight="1">
      <c r="A777" s="178"/>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spans="1:26" ht="12.75" customHeight="1">
      <c r="A778" s="178"/>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spans="1:26" ht="12.75" customHeight="1">
      <c r="A779" s="178"/>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spans="1:26" ht="12.75" customHeight="1">
      <c r="A780" s="178"/>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spans="1:26" ht="12.75" customHeight="1">
      <c r="A781" s="178"/>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spans="1:26" ht="12.75" customHeight="1">
      <c r="A782" s="178"/>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spans="1:26" ht="12.75" customHeight="1">
      <c r="A783" s="178"/>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spans="1:26" ht="12.75" customHeight="1">
      <c r="A784" s="178"/>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spans="1:26" ht="12.75" customHeight="1">
      <c r="A785" s="178"/>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spans="1:26" ht="12.75" customHeight="1">
      <c r="A786" s="178"/>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spans="1:26" ht="12.75" customHeight="1">
      <c r="A787" s="178"/>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spans="1:26" ht="12.75" customHeight="1">
      <c r="A788" s="178"/>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spans="1:26" ht="12.75" customHeight="1">
      <c r="A789" s="178"/>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spans="1:26" ht="12.75" customHeight="1">
      <c r="A790" s="178"/>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spans="1:26" ht="12.75" customHeight="1">
      <c r="A791" s="178"/>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spans="1:26" ht="12.75" customHeight="1">
      <c r="A792" s="178"/>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spans="1:26" ht="12.75" customHeight="1">
      <c r="A793" s="178"/>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spans="1:26" ht="12.75" customHeight="1">
      <c r="A794" s="178"/>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spans="1:26" ht="12.75" customHeight="1">
      <c r="A795" s="178"/>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spans="1:26" ht="12.75" customHeight="1">
      <c r="A796" s="178"/>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spans="1:26" ht="12.75" customHeight="1">
      <c r="A797" s="178"/>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spans="1:26" ht="12.75" customHeight="1">
      <c r="A798" s="178"/>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spans="1:26" ht="12.75" customHeight="1">
      <c r="A799" s="178"/>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spans="1:26" ht="12.75" customHeight="1">
      <c r="A800" s="178"/>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spans="1:26" ht="12.75" customHeight="1">
      <c r="A801" s="178"/>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spans="1:26" ht="12.75" customHeight="1">
      <c r="A802" s="178"/>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spans="1:26" ht="12.75" customHeight="1">
      <c r="A803" s="178"/>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spans="1:26" ht="12.75" customHeight="1">
      <c r="A804" s="178"/>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spans="1:26" ht="12.75" customHeight="1">
      <c r="A805" s="178"/>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spans="1:26" ht="12.75" customHeight="1">
      <c r="A806" s="178"/>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spans="1:26" ht="12.75" customHeight="1">
      <c r="A807" s="178"/>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spans="1:26" ht="12.75" customHeight="1">
      <c r="A808" s="178"/>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spans="1:26" ht="12.75" customHeight="1">
      <c r="A809" s="178"/>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spans="1:26" ht="12.75" customHeight="1">
      <c r="A810" s="178"/>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spans="1:26" ht="12.75" customHeight="1">
      <c r="A811" s="178"/>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spans="1:26" ht="12.75" customHeight="1">
      <c r="A812" s="178"/>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spans="1:26" ht="12.75" customHeight="1">
      <c r="A813" s="178"/>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spans="1:26" ht="12.75" customHeight="1">
      <c r="A814" s="178"/>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spans="1:26" ht="12.75" customHeight="1">
      <c r="A815" s="178"/>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spans="1:26" ht="12.75" customHeight="1">
      <c r="A816" s="178"/>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spans="1:26" ht="12.75" customHeight="1">
      <c r="A817" s="178"/>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spans="1:26" ht="12.75" customHeight="1">
      <c r="A818" s="178"/>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spans="1:26" ht="12.75" customHeight="1">
      <c r="A819" s="178"/>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spans="1:26" ht="12.75" customHeight="1">
      <c r="A820" s="178"/>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spans="1:26" ht="12.75" customHeight="1">
      <c r="A821" s="178"/>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spans="1:26" ht="12.75" customHeight="1">
      <c r="A822" s="178"/>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spans="1:26" ht="12.75" customHeight="1">
      <c r="A823" s="178"/>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spans="1:26" ht="12.75" customHeight="1">
      <c r="A824" s="178"/>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spans="1:26" ht="12.75" customHeight="1">
      <c r="A825" s="178"/>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spans="1:26" ht="12.75" customHeight="1">
      <c r="A826" s="178"/>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spans="1:26" ht="12.75" customHeight="1">
      <c r="A827" s="178"/>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spans="1:26" ht="12.75" customHeight="1">
      <c r="A828" s="178"/>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spans="1:26" ht="12.75" customHeight="1">
      <c r="A829" s="178"/>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spans="1:26" ht="12.75" customHeight="1">
      <c r="A830" s="178"/>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spans="1:26" ht="12.75" customHeight="1">
      <c r="A831" s="178"/>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spans="1:26" ht="12.75" customHeight="1">
      <c r="A832" s="178"/>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spans="1:26" ht="12.75" customHeight="1">
      <c r="A833" s="178"/>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spans="1:26" ht="12.75" customHeight="1">
      <c r="A834" s="178"/>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spans="1:26" ht="12.75" customHeight="1">
      <c r="A835" s="178"/>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spans="1:26" ht="12.75" customHeight="1">
      <c r="A836" s="178"/>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spans="1:26" ht="12.75" customHeight="1">
      <c r="A837" s="178"/>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spans="1:26" ht="12.75" customHeight="1">
      <c r="A838" s="178"/>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spans="1:26" ht="12.75" customHeight="1">
      <c r="A839" s="178"/>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spans="1:26" ht="12.75" customHeight="1">
      <c r="A840" s="178"/>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spans="1:26" ht="12.75" customHeight="1">
      <c r="A841" s="178"/>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spans="1:26" ht="12.75" customHeight="1">
      <c r="A842" s="178"/>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spans="1:26" ht="12.75" customHeight="1">
      <c r="A843" s="178"/>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spans="1:26" ht="12.75" customHeight="1">
      <c r="A844" s="178"/>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spans="1:26" ht="12.75" customHeight="1">
      <c r="A845" s="178"/>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spans="1:26" ht="12.75" customHeight="1">
      <c r="A846" s="178"/>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spans="1:26" ht="12.75" customHeight="1">
      <c r="A847" s="178"/>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spans="1:26" ht="12.75" customHeight="1">
      <c r="A848" s="178"/>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spans="1:26" ht="12.75" customHeight="1">
      <c r="A849" s="178"/>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spans="1:26" ht="12.75" customHeight="1">
      <c r="A850" s="178"/>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spans="1:26" ht="12.75" customHeight="1">
      <c r="A851" s="178"/>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spans="1:26" ht="12.75" customHeight="1">
      <c r="A852" s="178"/>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spans="1:26" ht="12.75" customHeight="1">
      <c r="A853" s="178"/>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spans="1:26" ht="12.75" customHeight="1">
      <c r="A854" s="178"/>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spans="1:26" ht="12.75" customHeight="1">
      <c r="A855" s="178"/>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spans="1:26" ht="12.75" customHeight="1">
      <c r="A856" s="178"/>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spans="1:26" ht="12.75" customHeight="1">
      <c r="A857" s="178"/>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spans="1:26" ht="12.75" customHeight="1">
      <c r="A858" s="178"/>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spans="1:26" ht="12.75" customHeight="1">
      <c r="A859" s="178"/>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spans="1:26" ht="12.75" customHeight="1">
      <c r="A860" s="178"/>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spans="1:26" ht="12.75" customHeight="1">
      <c r="A861" s="178"/>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spans="1:26" ht="12.75" customHeight="1">
      <c r="A862" s="178"/>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spans="1:26" ht="12.75" customHeight="1">
      <c r="A863" s="178"/>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spans="1:26" ht="12.75" customHeight="1">
      <c r="A864" s="178"/>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spans="1:26" ht="12.75" customHeight="1">
      <c r="A865" s="178"/>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spans="1:26" ht="12.75" customHeight="1">
      <c r="A866" s="178"/>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spans="1:26" ht="12.75" customHeight="1">
      <c r="A867" s="178"/>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spans="1:26" ht="12.75" customHeight="1">
      <c r="A868" s="178"/>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spans="1:26" ht="12.75" customHeight="1">
      <c r="A869" s="178"/>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spans="1:26" ht="12.75" customHeight="1">
      <c r="A870" s="178"/>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spans="1:26" ht="12.75" customHeight="1">
      <c r="A871" s="178"/>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spans="1:26" ht="12.75" customHeight="1">
      <c r="A872" s="178"/>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spans="1:26" ht="12.75" customHeight="1">
      <c r="A873" s="178"/>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spans="1:26" ht="12.75" customHeight="1">
      <c r="A874" s="178"/>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spans="1:26" ht="12.75" customHeight="1">
      <c r="A875" s="178"/>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spans="1:26" ht="12.75" customHeight="1">
      <c r="A876" s="178"/>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spans="1:26" ht="12.75" customHeight="1">
      <c r="A877" s="178"/>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spans="1:26" ht="12.75" customHeight="1">
      <c r="A878" s="178"/>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spans="1:26" ht="12.75" customHeight="1">
      <c r="A879" s="178"/>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spans="1:26" ht="12.75" customHeight="1">
      <c r="A880" s="178"/>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spans="1:26" ht="12.75" customHeight="1">
      <c r="A881" s="178"/>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spans="1:26" ht="12.75" customHeight="1">
      <c r="A882" s="178"/>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spans="1:26" ht="12.75" customHeight="1">
      <c r="A883" s="178"/>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spans="1:26" ht="12.75" customHeight="1">
      <c r="A884" s="178"/>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spans="1:26" ht="12.75" customHeight="1">
      <c r="A885" s="178"/>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spans="1:26" ht="12.75" customHeight="1">
      <c r="A886" s="178"/>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spans="1:26" ht="12.75" customHeight="1">
      <c r="A887" s="178"/>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spans="1:26" ht="12.75" customHeight="1">
      <c r="A888" s="178"/>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spans="1:26" ht="12.75" customHeight="1">
      <c r="A889" s="178"/>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spans="1:26" ht="12.75" customHeight="1">
      <c r="A890" s="178"/>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spans="1:26" ht="12.75" customHeight="1">
      <c r="A891" s="178"/>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spans="1:26" ht="12.75" customHeight="1">
      <c r="A892" s="178"/>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spans="1:26" ht="12.75" customHeight="1">
      <c r="A893" s="178"/>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spans="1:26" ht="12.75" customHeight="1">
      <c r="A894" s="178"/>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spans="1:26" ht="12.75" customHeight="1">
      <c r="A895" s="178"/>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spans="1:26" ht="12.75" customHeight="1">
      <c r="A896" s="178"/>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spans="1:26" ht="12.75" customHeight="1">
      <c r="A897" s="178"/>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spans="1:26" ht="12.75" customHeight="1">
      <c r="A898" s="178"/>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spans="1:26" ht="12.75" customHeight="1">
      <c r="A899" s="178"/>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spans="1:26" ht="12.75" customHeight="1">
      <c r="A900" s="178"/>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spans="1:26" ht="12.75" customHeight="1">
      <c r="A901" s="178"/>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spans="1:26" ht="12.75" customHeight="1">
      <c r="A902" s="178"/>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spans="1:26" ht="12.75" customHeight="1">
      <c r="A903" s="178"/>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spans="1:26" ht="12.75" customHeight="1">
      <c r="A904" s="178"/>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spans="1:26" ht="12.75" customHeight="1">
      <c r="A905" s="178"/>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spans="1:26" ht="12.75" customHeight="1">
      <c r="A906" s="178"/>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spans="1:26" ht="12.75" customHeight="1">
      <c r="A907" s="178"/>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spans="1:26" ht="12.75" customHeight="1">
      <c r="A908" s="178"/>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spans="1:26" ht="12.75" customHeight="1">
      <c r="A909" s="178"/>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spans="1:26" ht="12.75" customHeight="1">
      <c r="A910" s="178"/>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spans="1:26" ht="12.75" customHeight="1">
      <c r="A911" s="178"/>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spans="1:26" ht="12.75" customHeight="1">
      <c r="A912" s="178"/>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spans="1:26" ht="12.75" customHeight="1">
      <c r="A913" s="178"/>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spans="1:26" ht="12.75" customHeight="1">
      <c r="A914" s="178"/>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spans="1:26" ht="12.75" customHeight="1">
      <c r="A915" s="178"/>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spans="1:26" ht="12.75" customHeight="1">
      <c r="A916" s="178"/>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spans="1:26" ht="12.75" customHeight="1">
      <c r="A917" s="178"/>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spans="1:26" ht="12.75" customHeight="1">
      <c r="A918" s="178"/>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spans="1:26" ht="12.75" customHeight="1">
      <c r="A919" s="178"/>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spans="1:26" ht="12.75" customHeight="1">
      <c r="A920" s="178"/>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spans="1:26" ht="12.75" customHeight="1">
      <c r="A921" s="178"/>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spans="1:26" ht="12.75" customHeight="1">
      <c r="A922" s="178"/>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spans="1:26" ht="12.75" customHeight="1">
      <c r="A923" s="178"/>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spans="1:26" ht="12.75" customHeight="1">
      <c r="A924" s="178"/>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spans="1:26" ht="12.75" customHeight="1">
      <c r="A925" s="178"/>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spans="1:26" ht="12.75" customHeight="1">
      <c r="A926" s="178"/>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spans="1:26" ht="12.75" customHeight="1">
      <c r="A927" s="178"/>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spans="1:26" ht="12.75" customHeight="1">
      <c r="A928" s="178"/>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spans="1:26" ht="12.75" customHeight="1">
      <c r="A929" s="178"/>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spans="1:26" ht="12.75" customHeight="1">
      <c r="A930" s="178"/>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spans="1:26" ht="12.75" customHeight="1">
      <c r="A931" s="178"/>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spans="1:26" ht="12.75" customHeight="1">
      <c r="A932" s="178"/>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spans="1:26" ht="12.75" customHeight="1">
      <c r="A933" s="178"/>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spans="1:26" ht="12.75" customHeight="1">
      <c r="A934" s="178"/>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spans="1:26" ht="12.75" customHeight="1">
      <c r="A935" s="178"/>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spans="1:26" ht="12.75" customHeight="1">
      <c r="A936" s="178"/>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spans="1:26" ht="12.75" customHeight="1">
      <c r="A937" s="178"/>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spans="1:26" ht="12.75" customHeight="1">
      <c r="A938" s="178"/>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spans="1:26" ht="12.75" customHeight="1">
      <c r="A939" s="178"/>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spans="1:26" ht="12.75" customHeight="1">
      <c r="A940" s="178"/>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spans="1:26" ht="12.75" customHeight="1">
      <c r="A941" s="178"/>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spans="1:26" ht="12.75" customHeight="1">
      <c r="A942" s="178"/>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spans="1:26" ht="12.75" customHeight="1">
      <c r="A943" s="178"/>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spans="1:26" ht="12.75" customHeight="1">
      <c r="A944" s="178"/>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spans="1:26" ht="12.75" customHeight="1">
      <c r="A945" s="178"/>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spans="1:26" ht="12.75" customHeight="1">
      <c r="A946" s="178"/>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spans="1:26" ht="12.75" customHeight="1">
      <c r="A947" s="178"/>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spans="1:26" ht="12.75" customHeight="1">
      <c r="A948" s="178"/>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spans="1:26" ht="12.75" customHeight="1">
      <c r="A949" s="178"/>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spans="1:26" ht="12.75" customHeight="1">
      <c r="A950" s="178"/>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spans="1:26" ht="12.75" customHeight="1">
      <c r="A951" s="178"/>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spans="1:26" ht="12.75" customHeight="1">
      <c r="A952" s="178"/>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spans="1:26" ht="12.75" customHeight="1">
      <c r="A953" s="178"/>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spans="1:26" ht="12.75" customHeight="1">
      <c r="A954" s="178"/>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spans="1:26" ht="12.75" customHeight="1">
      <c r="A955" s="178"/>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spans="1:26" ht="12.75" customHeight="1">
      <c r="A956" s="178"/>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spans="1:26" ht="12.75" customHeight="1">
      <c r="A957" s="178"/>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spans="1:26" ht="12.75" customHeight="1">
      <c r="A958" s="178"/>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spans="1:26" ht="12.75" customHeight="1">
      <c r="A959" s="178"/>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spans="1:26" ht="12.75" customHeight="1">
      <c r="A960" s="178"/>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spans="1:26" ht="12.75" customHeight="1">
      <c r="A961" s="178"/>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spans="1:26" ht="12.75" customHeight="1">
      <c r="A962" s="178"/>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spans="1:26" ht="12.75" customHeight="1">
      <c r="A963" s="178"/>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spans="1:26" ht="12.75" customHeight="1">
      <c r="A964" s="178"/>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spans="1:26" ht="12.75" customHeight="1">
      <c r="A965" s="178"/>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spans="1:26" ht="12.75" customHeight="1">
      <c r="A966" s="178"/>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spans="1:26" ht="12.75" customHeight="1">
      <c r="A967" s="178"/>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spans="1:26" ht="12.75" customHeight="1">
      <c r="A968" s="178"/>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spans="1:26" ht="12.75" customHeight="1">
      <c r="A969" s="178"/>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spans="1:26" ht="12.75" customHeight="1">
      <c r="A970" s="178"/>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5FD38F18-3C0D-4FE7-BD37-3D4395E28500}"/>
    <hyperlink ref="A22" r:id="rId2" xr:uid="{CD721955-B726-4948-B8D9-76665E2384EA}"/>
  </hyperlinks>
  <pageMargins left="0.7" right="0.45" top="0.75" bottom="0.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DCA2-EA18-4801-90E8-E955484C65D4}">
  <dimension ref="A1:M30"/>
  <sheetViews>
    <sheetView workbookViewId="0">
      <selection activeCell="J9" sqref="J9"/>
    </sheetView>
  </sheetViews>
  <sheetFormatPr defaultColWidth="13.26953125" defaultRowHeight="14.5"/>
  <cols>
    <col min="1" max="2" width="13.26953125" style="220" customWidth="1"/>
    <col min="3" max="3" width="16.1796875" style="220" customWidth="1"/>
    <col min="4" max="4" width="37.81640625" style="220" customWidth="1"/>
    <col min="5" max="5" width="56.453125" style="220" customWidth="1"/>
    <col min="6" max="6" width="13.26953125" style="220" customWidth="1"/>
    <col min="7" max="16384" width="13.26953125" style="220"/>
  </cols>
  <sheetData>
    <row r="1" spans="1:13" ht="15" thickBot="1">
      <c r="A1" s="219"/>
      <c r="B1" s="219"/>
      <c r="C1" s="219"/>
      <c r="D1" s="219"/>
      <c r="E1" s="219"/>
      <c r="F1" s="219"/>
      <c r="G1" s="219"/>
      <c r="H1" s="219"/>
      <c r="I1" s="219"/>
      <c r="J1" s="219"/>
      <c r="K1" s="219"/>
      <c r="L1" s="219"/>
      <c r="M1" s="219"/>
    </row>
    <row r="2" spans="1:13" ht="15" thickBot="1">
      <c r="A2" s="221"/>
      <c r="B2" s="269" t="s">
        <v>0</v>
      </c>
      <c r="C2" s="270"/>
      <c r="D2" s="270"/>
      <c r="E2" s="271"/>
      <c r="F2" s="221"/>
      <c r="G2" s="221"/>
      <c r="H2" s="221"/>
      <c r="I2" s="221"/>
      <c r="J2" s="221"/>
      <c r="K2" s="221"/>
      <c r="L2" s="221"/>
      <c r="M2" s="221"/>
    </row>
    <row r="3" spans="1:13" ht="30" customHeight="1">
      <c r="A3" s="221"/>
      <c r="B3" s="272" t="s">
        <v>337</v>
      </c>
      <c r="C3" s="273"/>
      <c r="D3" s="273"/>
      <c r="E3" s="274"/>
      <c r="F3" s="221"/>
      <c r="G3" s="221"/>
      <c r="H3" s="221"/>
      <c r="I3" s="221"/>
      <c r="J3" s="221"/>
      <c r="K3" s="221"/>
      <c r="L3" s="221"/>
      <c r="M3" s="221"/>
    </row>
    <row r="4" spans="1:13" ht="30" customHeight="1">
      <c r="A4" s="221"/>
      <c r="B4" s="257" t="s">
        <v>62</v>
      </c>
      <c r="C4" s="258"/>
      <c r="D4" s="258"/>
      <c r="E4" s="259"/>
      <c r="F4" s="221"/>
      <c r="G4" s="221"/>
      <c r="H4" s="221"/>
      <c r="I4" s="221"/>
      <c r="J4" s="221"/>
      <c r="K4" s="221"/>
      <c r="L4" s="221"/>
      <c r="M4" s="221"/>
    </row>
    <row r="5" spans="1:13" ht="30" customHeight="1">
      <c r="A5" s="221"/>
      <c r="B5" s="257" t="s">
        <v>63</v>
      </c>
      <c r="C5" s="258"/>
      <c r="D5" s="258"/>
      <c r="E5" s="259"/>
      <c r="F5" s="221"/>
      <c r="G5" s="221"/>
      <c r="H5" s="221"/>
      <c r="I5" s="221"/>
      <c r="J5" s="221"/>
      <c r="K5" s="221"/>
      <c r="L5" s="221"/>
      <c r="M5" s="221"/>
    </row>
    <row r="6" spans="1:13" ht="30" customHeight="1">
      <c r="A6" s="221"/>
      <c r="B6" s="257" t="s">
        <v>64</v>
      </c>
      <c r="C6" s="258"/>
      <c r="D6" s="258"/>
      <c r="E6" s="259"/>
      <c r="F6" s="221"/>
      <c r="G6" s="221"/>
      <c r="H6" s="221"/>
      <c r="I6" s="221"/>
      <c r="J6" s="221"/>
      <c r="K6" s="221"/>
      <c r="L6" s="221"/>
      <c r="M6" s="221"/>
    </row>
    <row r="7" spans="1:13" ht="30" customHeight="1">
      <c r="A7" s="221"/>
      <c r="B7" s="257" t="s">
        <v>65</v>
      </c>
      <c r="C7" s="258"/>
      <c r="D7" s="258"/>
      <c r="E7" s="259"/>
      <c r="F7" s="221"/>
      <c r="G7" s="221"/>
      <c r="H7" s="221"/>
      <c r="I7" s="221"/>
      <c r="J7" s="221"/>
      <c r="K7" s="221"/>
      <c r="L7" s="221"/>
      <c r="M7" s="221"/>
    </row>
    <row r="8" spans="1:13" ht="30" customHeight="1">
      <c r="A8" s="221"/>
      <c r="B8" s="257" t="s">
        <v>338</v>
      </c>
      <c r="C8" s="258"/>
      <c r="D8" s="258"/>
      <c r="E8" s="259"/>
      <c r="F8" s="221"/>
      <c r="G8" s="221"/>
      <c r="H8" s="221"/>
      <c r="I8" s="221"/>
      <c r="J8" s="221"/>
      <c r="K8" s="221"/>
      <c r="L8" s="221"/>
      <c r="M8" s="221"/>
    </row>
    <row r="9" spans="1:13" ht="30" customHeight="1">
      <c r="A9" s="221"/>
      <c r="B9" s="257" t="s">
        <v>66</v>
      </c>
      <c r="C9" s="258"/>
      <c r="D9" s="258"/>
      <c r="E9" s="259"/>
      <c r="F9" s="221"/>
      <c r="G9" s="221"/>
      <c r="H9" s="221"/>
      <c r="I9" s="221"/>
      <c r="J9" s="221"/>
      <c r="K9" s="221"/>
      <c r="L9" s="221"/>
      <c r="M9" s="221"/>
    </row>
    <row r="10" spans="1:13" ht="30" customHeight="1">
      <c r="A10" s="221"/>
      <c r="B10" s="260" t="s">
        <v>67</v>
      </c>
      <c r="C10" s="261"/>
      <c r="D10" s="261"/>
      <c r="E10" s="262"/>
      <c r="F10" s="221"/>
      <c r="G10" s="221"/>
      <c r="H10" s="221"/>
      <c r="I10" s="221"/>
      <c r="J10" s="221"/>
      <c r="K10" s="221"/>
      <c r="L10" s="221"/>
      <c r="M10" s="221"/>
    </row>
    <row r="11" spans="1:13" ht="30" customHeight="1">
      <c r="A11" s="221"/>
      <c r="B11" s="260" t="s">
        <v>339</v>
      </c>
      <c r="C11" s="261"/>
      <c r="D11" s="261"/>
      <c r="E11" s="262"/>
      <c r="F11" s="221"/>
      <c r="G11" s="221"/>
      <c r="H11" s="221"/>
      <c r="I11" s="221"/>
      <c r="J11" s="221"/>
      <c r="K11" s="221"/>
      <c r="L11" s="221"/>
      <c r="M11" s="221"/>
    </row>
    <row r="12" spans="1:13" ht="30" customHeight="1" thickBot="1">
      <c r="A12" s="221"/>
      <c r="B12" s="263" t="s">
        <v>10</v>
      </c>
      <c r="C12" s="264"/>
      <c r="D12" s="264"/>
      <c r="E12" s="265"/>
      <c r="F12" s="221"/>
      <c r="G12" s="221"/>
      <c r="H12" s="221"/>
      <c r="I12" s="221"/>
      <c r="J12" s="221"/>
      <c r="K12" s="221"/>
      <c r="L12" s="221"/>
      <c r="M12" s="221"/>
    </row>
    <row r="13" spans="1:13" ht="15" thickBot="1">
      <c r="A13" s="219"/>
      <c r="B13" s="219"/>
      <c r="C13" s="219"/>
      <c r="D13" s="219"/>
      <c r="E13" s="219"/>
      <c r="F13" s="219"/>
      <c r="G13" s="219"/>
      <c r="H13" s="219"/>
      <c r="I13" s="219"/>
      <c r="J13" s="219"/>
      <c r="K13" s="219"/>
      <c r="L13" s="219"/>
      <c r="M13" s="219"/>
    </row>
    <row r="14" spans="1:13" ht="15" thickBot="1">
      <c r="A14" s="219"/>
      <c r="B14" s="222"/>
      <c r="C14" s="266" t="s">
        <v>68</v>
      </c>
      <c r="D14" s="267"/>
      <c r="E14" s="268"/>
      <c r="F14" s="219"/>
      <c r="G14" s="219"/>
      <c r="H14" s="219"/>
      <c r="I14" s="219"/>
      <c r="J14" s="219"/>
      <c r="K14" s="219"/>
      <c r="L14" s="219"/>
      <c r="M14" s="219"/>
    </row>
    <row r="15" spans="1:13" ht="24.5" thickBot="1">
      <c r="A15" s="219"/>
      <c r="B15" s="223" t="s">
        <v>12</v>
      </c>
      <c r="C15" s="224" t="s">
        <v>13</v>
      </c>
      <c r="D15" s="224" t="s">
        <v>14</v>
      </c>
      <c r="E15" s="225" t="s">
        <v>15</v>
      </c>
      <c r="F15" s="219"/>
      <c r="G15" s="219"/>
      <c r="H15" s="219"/>
      <c r="I15" s="219"/>
      <c r="J15" s="219"/>
      <c r="K15" s="219"/>
      <c r="L15" s="219"/>
      <c r="M15" s="219"/>
    </row>
    <row r="16" spans="1:13" ht="243" customHeight="1">
      <c r="A16" s="219"/>
      <c r="B16" s="226" t="s">
        <v>16</v>
      </c>
      <c r="C16" s="227" t="str">
        <f>'[1]Change Management'!C4</f>
        <v>Intent Translation, &amp; Intent Fulfilment</v>
      </c>
      <c r="D16" s="228" t="s">
        <v>69</v>
      </c>
      <c r="E16" s="229" t="s">
        <v>70</v>
      </c>
      <c r="F16" s="219"/>
      <c r="G16" s="219"/>
      <c r="H16" s="219"/>
      <c r="I16" s="219"/>
      <c r="J16" s="219"/>
      <c r="K16" s="219"/>
      <c r="L16" s="219"/>
      <c r="M16" s="219"/>
    </row>
    <row r="17" spans="1:13" ht="120">
      <c r="A17" s="219"/>
      <c r="B17" s="255" t="s">
        <v>20</v>
      </c>
      <c r="C17" s="230" t="str">
        <f>'[1]Change Management'!C5</f>
        <v>Change Request Validation &amp; Acceptance</v>
      </c>
      <c r="D17" s="231" t="s">
        <v>71</v>
      </c>
      <c r="E17" s="229" t="s">
        <v>72</v>
      </c>
      <c r="F17" s="219"/>
      <c r="G17" s="219"/>
      <c r="H17" s="219"/>
      <c r="I17" s="219"/>
      <c r="J17" s="219"/>
      <c r="K17" s="219"/>
      <c r="L17" s="219"/>
      <c r="M17" s="219"/>
    </row>
    <row r="18" spans="1:13" ht="204" customHeight="1">
      <c r="A18" s="219"/>
      <c r="B18" s="255"/>
      <c r="C18" s="230" t="str">
        <f>'[1]Change Management'!C6</f>
        <v>Change Request Information Collection</v>
      </c>
      <c r="D18" s="231" t="s">
        <v>73</v>
      </c>
      <c r="E18" s="229" t="s">
        <v>74</v>
      </c>
      <c r="F18" s="219"/>
      <c r="G18" s="219"/>
      <c r="H18" s="219"/>
      <c r="I18" s="219"/>
      <c r="J18" s="219"/>
      <c r="K18" s="219"/>
      <c r="L18" s="219"/>
      <c r="M18" s="219"/>
    </row>
    <row r="19" spans="1:13" ht="108">
      <c r="A19" s="219"/>
      <c r="B19" s="255" t="s">
        <v>24</v>
      </c>
      <c r="C19" s="230" t="str">
        <f>'[1]Change Management'!C7</f>
        <v>Requirements Impact &amp; Risk Analysis</v>
      </c>
      <c r="D19" s="231" t="s">
        <v>75</v>
      </c>
      <c r="E19" s="229" t="s">
        <v>76</v>
      </c>
      <c r="F19" s="219"/>
      <c r="G19" s="219"/>
      <c r="H19" s="219"/>
      <c r="I19" s="219"/>
      <c r="J19" s="219"/>
      <c r="K19" s="219"/>
      <c r="L19" s="219"/>
      <c r="M19" s="219"/>
    </row>
    <row r="20" spans="1:13" ht="206.15" customHeight="1">
      <c r="A20" s="219"/>
      <c r="B20" s="255"/>
      <c r="C20" s="230" t="str">
        <f>'[1]Change Management'!C8</f>
        <v>Network change Solution Generation</v>
      </c>
      <c r="D20" s="231" t="s">
        <v>77</v>
      </c>
      <c r="E20" s="229" t="s">
        <v>78</v>
      </c>
      <c r="F20" s="219"/>
      <c r="G20" s="219"/>
      <c r="H20" s="219"/>
      <c r="I20" s="219"/>
      <c r="J20" s="219"/>
      <c r="K20" s="219"/>
      <c r="L20" s="219"/>
      <c r="M20" s="219"/>
    </row>
    <row r="21" spans="1:13" ht="96">
      <c r="A21" s="219"/>
      <c r="B21" s="226" t="s">
        <v>30</v>
      </c>
      <c r="C21" s="230" t="str">
        <f>'[1]Change Management'!C9</f>
        <v>Network Change solution Evaluation &amp; Decision</v>
      </c>
      <c r="D21" s="231" t="s">
        <v>79</v>
      </c>
      <c r="E21" s="232" t="s">
        <v>80</v>
      </c>
      <c r="F21" s="219"/>
      <c r="G21" s="219"/>
      <c r="H21" s="219"/>
      <c r="I21" s="219"/>
      <c r="J21" s="219"/>
      <c r="K21" s="219"/>
      <c r="L21" s="219"/>
      <c r="M21" s="219"/>
    </row>
    <row r="22" spans="1:13" ht="261" customHeight="1">
      <c r="A22" s="219"/>
      <c r="B22" s="255" t="s">
        <v>34</v>
      </c>
      <c r="C22" s="230" t="str">
        <f>'[1]Change Management'!C10</f>
        <v>Network Normality Verification</v>
      </c>
      <c r="D22" s="231" t="s">
        <v>81</v>
      </c>
      <c r="E22" s="229" t="s">
        <v>82</v>
      </c>
      <c r="F22" s="219"/>
      <c r="G22" s="219"/>
      <c r="H22" s="219"/>
      <c r="I22" s="219"/>
      <c r="J22" s="219"/>
      <c r="K22" s="219"/>
      <c r="L22" s="219"/>
      <c r="M22" s="219"/>
    </row>
    <row r="23" spans="1:13" ht="108">
      <c r="A23" s="219"/>
      <c r="B23" s="255"/>
      <c r="C23" s="230" t="str">
        <f>'[1]Change Management'!C11</f>
        <v>Network Change Implementation</v>
      </c>
      <c r="D23" s="231" t="s">
        <v>83</v>
      </c>
      <c r="E23" s="229" t="s">
        <v>84</v>
      </c>
      <c r="F23" s="219"/>
      <c r="G23" s="219"/>
      <c r="H23" s="219"/>
      <c r="I23" s="219"/>
      <c r="J23" s="219"/>
      <c r="K23" s="219"/>
      <c r="L23" s="219"/>
      <c r="M23" s="219"/>
    </row>
    <row r="24" spans="1:13" ht="280" customHeight="1" thickBot="1">
      <c r="A24" s="219"/>
      <c r="B24" s="256"/>
      <c r="C24" s="233" t="str">
        <f>'[1]Change Management'!C12</f>
        <v>Service Verification</v>
      </c>
      <c r="D24" s="231" t="s">
        <v>85</v>
      </c>
      <c r="E24" s="229" t="s">
        <v>86</v>
      </c>
      <c r="F24" s="219"/>
      <c r="G24" s="219"/>
      <c r="H24" s="219"/>
      <c r="I24" s="219"/>
      <c r="J24" s="219"/>
      <c r="K24" s="219"/>
      <c r="L24" s="219"/>
      <c r="M24" s="219"/>
    </row>
    <row r="25" spans="1:13">
      <c r="A25" s="219"/>
      <c r="B25" s="219"/>
      <c r="C25" s="219"/>
      <c r="D25" s="219"/>
      <c r="E25" s="219"/>
      <c r="F25" s="219"/>
      <c r="G25" s="219"/>
      <c r="H25" s="219"/>
      <c r="I25" s="219"/>
      <c r="J25" s="219"/>
      <c r="K25" s="219"/>
      <c r="L25" s="219"/>
      <c r="M25" s="219"/>
    </row>
    <row r="26" spans="1:13">
      <c r="A26" s="219"/>
      <c r="B26" s="219"/>
      <c r="C26" s="219"/>
      <c r="D26" s="219"/>
      <c r="E26" s="219"/>
      <c r="F26" s="219"/>
      <c r="G26" s="219"/>
      <c r="H26" s="219"/>
      <c r="I26" s="219"/>
      <c r="J26" s="219"/>
      <c r="K26" s="219"/>
      <c r="L26" s="219"/>
      <c r="M26" s="219"/>
    </row>
    <row r="27" spans="1:13">
      <c r="A27" s="219"/>
      <c r="B27" s="219"/>
      <c r="C27" s="219"/>
      <c r="D27" s="219"/>
      <c r="E27" s="219"/>
      <c r="F27" s="219"/>
      <c r="G27" s="219"/>
      <c r="H27" s="219"/>
      <c r="I27" s="219"/>
      <c r="J27" s="219"/>
      <c r="K27" s="219"/>
      <c r="L27" s="219"/>
      <c r="M27" s="219"/>
    </row>
    <row r="28" spans="1:13">
      <c r="A28" s="219"/>
      <c r="B28" s="219"/>
      <c r="C28" s="219"/>
      <c r="D28" s="219"/>
      <c r="E28" s="219"/>
      <c r="F28" s="219"/>
      <c r="G28" s="219"/>
      <c r="H28" s="219"/>
      <c r="I28" s="219"/>
      <c r="J28" s="219"/>
      <c r="K28" s="219"/>
      <c r="L28" s="219"/>
      <c r="M28" s="219"/>
    </row>
    <row r="29" spans="1:13">
      <c r="A29" s="219"/>
      <c r="B29" s="219"/>
      <c r="C29" s="219"/>
      <c r="D29" s="219"/>
      <c r="E29" s="219"/>
      <c r="F29" s="219"/>
      <c r="G29" s="219"/>
      <c r="H29" s="219"/>
      <c r="I29" s="219"/>
      <c r="J29" s="219"/>
      <c r="K29" s="219"/>
      <c r="L29" s="219"/>
      <c r="M29" s="219"/>
    </row>
    <row r="30" spans="1:13">
      <c r="A30" s="219"/>
      <c r="B30" s="219"/>
      <c r="C30" s="219"/>
      <c r="D30" s="219"/>
      <c r="E30" s="219"/>
      <c r="F30" s="219"/>
      <c r="G30" s="219"/>
      <c r="H30" s="219"/>
      <c r="I30" s="219"/>
      <c r="J30" s="219"/>
      <c r="K30" s="219"/>
      <c r="L30" s="219"/>
      <c r="M30" s="219"/>
    </row>
  </sheetData>
  <mergeCells count="15">
    <mergeCell ref="B7:E7"/>
    <mergeCell ref="B2:E2"/>
    <mergeCell ref="B3:E3"/>
    <mergeCell ref="B4:E4"/>
    <mergeCell ref="B5:E5"/>
    <mergeCell ref="B6:E6"/>
    <mergeCell ref="B17:B18"/>
    <mergeCell ref="B19:B20"/>
    <mergeCell ref="B22:B24"/>
    <mergeCell ref="B8:E8"/>
    <mergeCell ref="B9:E9"/>
    <mergeCell ref="B10:E10"/>
    <mergeCell ref="B11:E11"/>
    <mergeCell ref="B12:E12"/>
    <mergeCell ref="C14:E14"/>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topLeftCell="F1" workbookViewId="0">
      <selection activeCell="L7" sqref="L7"/>
    </sheetView>
  </sheetViews>
  <sheetFormatPr defaultColWidth="8.7265625" defaultRowHeight="12"/>
  <cols>
    <col min="1" max="1" width="11.1796875" style="124" customWidth="1"/>
    <col min="2" max="2" width="11.26953125" style="125" customWidth="1"/>
    <col min="3" max="3" width="20.26953125" style="124" customWidth="1"/>
    <col min="4" max="4" width="7" style="124" customWidth="1"/>
    <col min="5" max="5" width="34" style="124" customWidth="1"/>
    <col min="6" max="6" width="37.26953125" style="124" customWidth="1"/>
    <col min="7" max="7" width="29.7265625" style="124" customWidth="1"/>
    <col min="8" max="9" width="30.7265625" style="124" customWidth="1"/>
    <col min="10" max="10" width="10.7265625" style="126" customWidth="1"/>
    <col min="11" max="12" width="20.54296875" style="127" customWidth="1"/>
    <col min="13" max="14" width="20.54296875" style="115" customWidth="1"/>
    <col min="15" max="15" width="15.81640625" style="115" customWidth="1"/>
    <col min="16" max="16" width="15.54296875" style="115" customWidth="1"/>
    <col min="17" max="16384" width="8.7265625" style="115"/>
  </cols>
  <sheetData>
    <row r="1" spans="1:16" ht="14.15" customHeight="1">
      <c r="A1" s="278" t="s">
        <v>87</v>
      </c>
      <c r="B1" s="278" t="s">
        <v>12</v>
      </c>
      <c r="C1" s="278" t="s">
        <v>13</v>
      </c>
      <c r="D1" s="278" t="s">
        <v>88</v>
      </c>
      <c r="E1" s="278" t="s">
        <v>14</v>
      </c>
      <c r="F1" s="287" t="s">
        <v>89</v>
      </c>
      <c r="G1" s="288" t="s">
        <v>90</v>
      </c>
      <c r="H1" s="287" t="s">
        <v>91</v>
      </c>
      <c r="I1" s="287" t="s">
        <v>92</v>
      </c>
      <c r="J1" s="140"/>
      <c r="K1" s="286" t="s">
        <v>93</v>
      </c>
      <c r="L1" s="286"/>
      <c r="M1" s="286"/>
      <c r="N1" s="286"/>
      <c r="O1" s="285" t="s">
        <v>94</v>
      </c>
      <c r="P1" s="285" t="s">
        <v>95</v>
      </c>
    </row>
    <row r="2" spans="1:16" ht="24">
      <c r="A2" s="278"/>
      <c r="B2" s="278"/>
      <c r="C2" s="278"/>
      <c r="D2" s="278"/>
      <c r="E2" s="278"/>
      <c r="F2" s="287"/>
      <c r="G2" s="289"/>
      <c r="H2" s="287"/>
      <c r="I2" s="287"/>
      <c r="J2" s="283" t="s">
        <v>96</v>
      </c>
      <c r="K2" s="141" t="s">
        <v>97</v>
      </c>
      <c r="L2" s="141" t="s">
        <v>98</v>
      </c>
      <c r="M2" s="141" t="s">
        <v>99</v>
      </c>
      <c r="N2" s="141" t="s">
        <v>100</v>
      </c>
      <c r="O2" s="285"/>
      <c r="P2" s="285"/>
    </row>
    <row r="3" spans="1:16">
      <c r="A3" s="278"/>
      <c r="B3" s="278"/>
      <c r="C3" s="278"/>
      <c r="D3" s="278"/>
      <c r="E3" s="278"/>
      <c r="F3" s="287"/>
      <c r="G3" s="289"/>
      <c r="H3" s="287"/>
      <c r="I3" s="287"/>
      <c r="J3" s="284"/>
      <c r="K3" s="142">
        <v>0.4</v>
      </c>
      <c r="L3" s="142">
        <v>0.3</v>
      </c>
      <c r="M3" s="142">
        <v>0.2</v>
      </c>
      <c r="N3" s="142">
        <v>0.1</v>
      </c>
      <c r="O3" s="285"/>
      <c r="P3" s="285"/>
    </row>
    <row r="4" spans="1:16" ht="127" customHeight="1">
      <c r="A4" s="275" t="s">
        <v>101</v>
      </c>
      <c r="B4" s="128" t="s">
        <v>16</v>
      </c>
      <c r="C4" s="129" t="s">
        <v>102</v>
      </c>
      <c r="D4" s="130">
        <v>0.1</v>
      </c>
      <c r="E4" s="132" t="s">
        <v>69</v>
      </c>
      <c r="F4" s="133" t="s">
        <v>103</v>
      </c>
      <c r="G4" s="134" t="s">
        <v>104</v>
      </c>
      <c r="H4" s="133" t="s">
        <v>105</v>
      </c>
      <c r="I4" s="133"/>
      <c r="J4" s="143" t="s">
        <v>106</v>
      </c>
      <c r="K4" s="144" t="s">
        <v>107</v>
      </c>
      <c r="L4" s="144" t="s">
        <v>107</v>
      </c>
      <c r="M4" s="144" t="s">
        <v>107</v>
      </c>
      <c r="N4" s="144" t="s">
        <v>107</v>
      </c>
      <c r="O4" s="152"/>
      <c r="P4" s="153"/>
    </row>
    <row r="5" spans="1:16" ht="76" customHeight="1">
      <c r="A5" s="276"/>
      <c r="B5" s="279" t="s">
        <v>20</v>
      </c>
      <c r="C5" s="119" t="s">
        <v>108</v>
      </c>
      <c r="D5" s="131">
        <v>0.1</v>
      </c>
      <c r="E5" s="121" t="s">
        <v>71</v>
      </c>
      <c r="F5" s="135" t="s">
        <v>109</v>
      </c>
      <c r="G5" s="136" t="s">
        <v>110</v>
      </c>
      <c r="H5" s="135" t="s">
        <v>111</v>
      </c>
      <c r="I5" s="135" t="s">
        <v>112</v>
      </c>
      <c r="J5" s="145"/>
      <c r="K5" s="146" t="s">
        <v>107</v>
      </c>
      <c r="L5" s="146" t="s">
        <v>107</v>
      </c>
      <c r="M5" s="146" t="s">
        <v>107</v>
      </c>
      <c r="N5" s="146" t="s">
        <v>107</v>
      </c>
      <c r="O5" s="154"/>
      <c r="P5" s="155"/>
    </row>
    <row r="6" spans="1:16" ht="83.15" customHeight="1">
      <c r="A6" s="276"/>
      <c r="B6" s="279"/>
      <c r="C6" s="119" t="s">
        <v>113</v>
      </c>
      <c r="D6" s="131">
        <v>0.1</v>
      </c>
      <c r="E6" s="121" t="s">
        <v>73</v>
      </c>
      <c r="F6" s="135" t="s">
        <v>114</v>
      </c>
      <c r="G6" s="136" t="s">
        <v>115</v>
      </c>
      <c r="H6" s="135" t="s">
        <v>116</v>
      </c>
      <c r="I6" s="135" t="s">
        <v>117</v>
      </c>
      <c r="J6" s="145" t="s">
        <v>118</v>
      </c>
      <c r="K6" s="146" t="s">
        <v>107</v>
      </c>
      <c r="L6" s="146" t="s">
        <v>107</v>
      </c>
      <c r="M6" s="146" t="s">
        <v>107</v>
      </c>
      <c r="N6" s="146" t="s">
        <v>107</v>
      </c>
      <c r="O6" s="154"/>
      <c r="P6" s="155"/>
    </row>
    <row r="7" spans="1:16" ht="55" customHeight="1">
      <c r="A7" s="276"/>
      <c r="B7" s="279" t="s">
        <v>24</v>
      </c>
      <c r="C7" s="119" t="s">
        <v>119</v>
      </c>
      <c r="D7" s="131">
        <v>0.1</v>
      </c>
      <c r="E7" s="121" t="s">
        <v>75</v>
      </c>
      <c r="F7" s="135" t="s">
        <v>120</v>
      </c>
      <c r="G7" s="136" t="s">
        <v>121</v>
      </c>
      <c r="H7" s="135" t="s">
        <v>122</v>
      </c>
      <c r="I7" s="135" t="s">
        <v>123</v>
      </c>
      <c r="J7" s="145"/>
      <c r="K7" s="146" t="s">
        <v>107</v>
      </c>
      <c r="L7" s="146" t="s">
        <v>107</v>
      </c>
      <c r="M7" s="146" t="s">
        <v>107</v>
      </c>
      <c r="N7" s="146" t="s">
        <v>107</v>
      </c>
      <c r="O7" s="154"/>
      <c r="P7" s="155"/>
    </row>
    <row r="8" spans="1:16" ht="54" customHeight="1">
      <c r="A8" s="276"/>
      <c r="B8" s="279"/>
      <c r="C8" s="119" t="s">
        <v>124</v>
      </c>
      <c r="D8" s="131">
        <v>0.1</v>
      </c>
      <c r="E8" s="121" t="s">
        <v>77</v>
      </c>
      <c r="F8" s="135" t="s">
        <v>125</v>
      </c>
      <c r="G8" s="136" t="s">
        <v>126</v>
      </c>
      <c r="H8" s="135" t="s">
        <v>127</v>
      </c>
      <c r="I8" s="135" t="s">
        <v>128</v>
      </c>
      <c r="J8" s="145" t="s">
        <v>129</v>
      </c>
      <c r="K8" s="146" t="s">
        <v>107</v>
      </c>
      <c r="L8" s="146" t="s">
        <v>107</v>
      </c>
      <c r="M8" s="146" t="s">
        <v>107</v>
      </c>
      <c r="N8" s="146" t="s">
        <v>107</v>
      </c>
      <c r="O8" s="154"/>
      <c r="P8" s="155"/>
    </row>
    <row r="9" spans="1:16" ht="103" customHeight="1">
      <c r="A9" s="276"/>
      <c r="B9" s="116" t="s">
        <v>30</v>
      </c>
      <c r="C9" s="119" t="s">
        <v>130</v>
      </c>
      <c r="D9" s="131">
        <v>0.2</v>
      </c>
      <c r="E9" s="121" t="s">
        <v>79</v>
      </c>
      <c r="F9" s="135" t="s">
        <v>131</v>
      </c>
      <c r="G9" s="136" t="s">
        <v>132</v>
      </c>
      <c r="H9" s="135" t="s">
        <v>133</v>
      </c>
      <c r="I9" s="135" t="s">
        <v>134</v>
      </c>
      <c r="J9" s="145" t="s">
        <v>135</v>
      </c>
      <c r="K9" s="146" t="s">
        <v>107</v>
      </c>
      <c r="L9" s="146" t="s">
        <v>107</v>
      </c>
      <c r="M9" s="146" t="s">
        <v>107</v>
      </c>
      <c r="N9" s="146" t="s">
        <v>107</v>
      </c>
      <c r="O9" s="154"/>
      <c r="P9" s="155"/>
    </row>
    <row r="10" spans="1:16" ht="163" customHeight="1">
      <c r="A10" s="276"/>
      <c r="B10" s="280" t="s">
        <v>34</v>
      </c>
      <c r="C10" s="119" t="s">
        <v>136</v>
      </c>
      <c r="D10" s="131">
        <v>0.1</v>
      </c>
      <c r="E10" s="121" t="s">
        <v>81</v>
      </c>
      <c r="F10" s="135" t="s">
        <v>137</v>
      </c>
      <c r="G10" s="137" t="s">
        <v>138</v>
      </c>
      <c r="H10" s="135" t="s">
        <v>139</v>
      </c>
      <c r="I10" s="135" t="s">
        <v>140</v>
      </c>
      <c r="J10" s="147"/>
      <c r="K10" s="146" t="s">
        <v>107</v>
      </c>
      <c r="L10" s="146" t="s">
        <v>107</v>
      </c>
      <c r="M10" s="146" t="s">
        <v>107</v>
      </c>
      <c r="N10" s="146" t="s">
        <v>107</v>
      </c>
      <c r="O10" s="154"/>
      <c r="P10" s="155"/>
    </row>
    <row r="11" spans="1:16" ht="179.15" customHeight="1">
      <c r="A11" s="276"/>
      <c r="B11" s="281"/>
      <c r="C11" s="119" t="s">
        <v>141</v>
      </c>
      <c r="D11" s="120">
        <v>0.1</v>
      </c>
      <c r="E11" s="121" t="s">
        <v>83</v>
      </c>
      <c r="F11" s="135" t="s">
        <v>142</v>
      </c>
      <c r="G11" s="137" t="s">
        <v>143</v>
      </c>
      <c r="H11" s="135" t="s">
        <v>144</v>
      </c>
      <c r="I11" s="135"/>
      <c r="J11" s="148" t="s">
        <v>145</v>
      </c>
      <c r="K11" s="146" t="s">
        <v>107</v>
      </c>
      <c r="L11" s="146" t="s">
        <v>107</v>
      </c>
      <c r="M11" s="146" t="s">
        <v>107</v>
      </c>
      <c r="N11" s="146" t="s">
        <v>107</v>
      </c>
      <c r="O11" s="154"/>
      <c r="P11" s="155"/>
    </row>
    <row r="12" spans="1:16" ht="209.15" customHeight="1">
      <c r="A12" s="277"/>
      <c r="B12" s="282"/>
      <c r="C12" s="119" t="s">
        <v>146</v>
      </c>
      <c r="D12" s="120">
        <v>0.1</v>
      </c>
      <c r="E12" s="121" t="s">
        <v>85</v>
      </c>
      <c r="F12" s="135" t="s">
        <v>147</v>
      </c>
      <c r="G12" s="138" t="s">
        <v>148</v>
      </c>
      <c r="H12" s="135" t="s">
        <v>149</v>
      </c>
      <c r="I12" s="135" t="s">
        <v>150</v>
      </c>
      <c r="J12" s="149" t="s">
        <v>145</v>
      </c>
      <c r="K12" s="150" t="s">
        <v>107</v>
      </c>
      <c r="L12" s="150" t="s">
        <v>107</v>
      </c>
      <c r="M12" s="150" t="s">
        <v>107</v>
      </c>
      <c r="N12" s="150" t="s">
        <v>107</v>
      </c>
      <c r="O12" s="154"/>
      <c r="P12" s="155"/>
    </row>
    <row r="13" spans="1:16" ht="166" customHeight="1">
      <c r="D13" s="124">
        <f>SUM(D4:D12)</f>
        <v>1</v>
      </c>
      <c r="E13" s="139"/>
      <c r="F13" s="139"/>
      <c r="H13" s="139"/>
      <c r="I13" s="139"/>
      <c r="K13" s="151" t="s">
        <v>151</v>
      </c>
      <c r="L13" s="151" t="s">
        <v>152</v>
      </c>
      <c r="M13" s="151" t="s">
        <v>153</v>
      </c>
    </row>
  </sheetData>
  <mergeCells count="17">
    <mergeCell ref="J2:J3"/>
    <mergeCell ref="O1:O3"/>
    <mergeCell ref="P1:P3"/>
    <mergeCell ref="K1:N1"/>
    <mergeCell ref="A1:A3"/>
    <mergeCell ref="C1:C3"/>
    <mergeCell ref="D1:D3"/>
    <mergeCell ref="E1:E3"/>
    <mergeCell ref="F1:F3"/>
    <mergeCell ref="G1:G3"/>
    <mergeCell ref="H1:H3"/>
    <mergeCell ref="I1:I3"/>
    <mergeCell ref="A4:A12"/>
    <mergeCell ref="B1:B3"/>
    <mergeCell ref="B5:B6"/>
    <mergeCell ref="B7:B8"/>
    <mergeCell ref="B10:B12"/>
  </mergeCells>
  <dataValidations count="2">
    <dataValidation type="list" allowBlank="1" showInputMessage="1" showErrorMessage="1" sqref="K4 L4 M4 N4" xr:uid="{00000000-0002-0000-0400-000000000000}">
      <formula1>"A,B,C"</formula1>
    </dataValidation>
    <dataValidation type="list" allowBlank="1" showInputMessage="1" showErrorMessage="1" sqref="K5:K12 L5:L12 M5:M12 N5:N12" xr:uid="{00000000-0002-0000-0400-000001000000}">
      <formula1>"A,B,C,D"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4"/>
  <sheetViews>
    <sheetView showGridLines="0" workbookViewId="0">
      <selection activeCell="AH9" sqref="AH9"/>
    </sheetView>
  </sheetViews>
  <sheetFormatPr defaultColWidth="9" defaultRowHeight="12"/>
  <cols>
    <col min="1" max="1" width="10.1796875" style="115" customWidth="1"/>
    <col min="2" max="2" width="10.26953125" style="115" customWidth="1"/>
    <col min="3" max="3" width="19.453125" style="115" customWidth="1"/>
    <col min="4" max="4" width="6.7265625" style="115" customWidth="1"/>
    <col min="5" max="5" width="57.7265625" style="115" customWidth="1"/>
    <col min="6" max="12" width="9" style="115"/>
    <col min="13" max="13" width="9" style="115" customWidth="1"/>
    <col min="14" max="16384" width="9" style="115"/>
  </cols>
  <sheetData>
    <row r="1" spans="1:26">
      <c r="A1" s="300" t="s">
        <v>87</v>
      </c>
      <c r="B1" s="300" t="s">
        <v>12</v>
      </c>
      <c r="C1" s="300" t="s">
        <v>13</v>
      </c>
      <c r="D1" s="300" t="s">
        <v>88</v>
      </c>
      <c r="E1" s="300" t="s">
        <v>14</v>
      </c>
      <c r="F1" s="303" t="s">
        <v>154</v>
      </c>
      <c r="G1" s="303"/>
      <c r="H1" s="303"/>
      <c r="I1" s="303"/>
      <c r="J1" s="304" t="s">
        <v>155</v>
      </c>
      <c r="K1" s="305"/>
      <c r="L1" s="305"/>
      <c r="M1" s="305"/>
      <c r="N1" s="306"/>
      <c r="O1" s="306"/>
      <c r="P1" s="306"/>
      <c r="Q1" s="306"/>
      <c r="R1" s="306"/>
      <c r="S1" s="306"/>
      <c r="T1" s="306"/>
      <c r="U1" s="306"/>
      <c r="V1" s="306"/>
      <c r="W1" s="306"/>
      <c r="X1" s="306"/>
      <c r="Y1" s="306"/>
      <c r="Z1" s="307"/>
    </row>
    <row r="2" spans="1:26" ht="37" customHeight="1">
      <c r="A2" s="300"/>
      <c r="B2" s="300"/>
      <c r="C2" s="300"/>
      <c r="D2" s="300"/>
      <c r="E2" s="300"/>
      <c r="F2" s="308" t="s">
        <v>156</v>
      </c>
      <c r="G2" s="308"/>
      <c r="H2" s="308"/>
      <c r="I2" s="308"/>
      <c r="J2" s="302" t="s">
        <v>93</v>
      </c>
      <c r="K2" s="302"/>
      <c r="L2" s="302"/>
      <c r="M2" s="302"/>
      <c r="N2" s="309" t="s">
        <v>97</v>
      </c>
      <c r="O2" s="309"/>
      <c r="P2" s="309"/>
      <c r="Q2" s="310" t="s">
        <v>98</v>
      </c>
      <c r="R2" s="310"/>
      <c r="S2" s="310"/>
      <c r="T2" s="311" t="s">
        <v>99</v>
      </c>
      <c r="U2" s="311"/>
      <c r="V2" s="311"/>
      <c r="W2" s="312" t="s">
        <v>157</v>
      </c>
      <c r="X2" s="312"/>
      <c r="Y2" s="312"/>
      <c r="Z2" s="294" t="s">
        <v>158</v>
      </c>
    </row>
    <row r="3" spans="1:26" ht="14.15" customHeight="1">
      <c r="A3" s="300"/>
      <c r="B3" s="300"/>
      <c r="C3" s="300"/>
      <c r="D3" s="300"/>
      <c r="E3" s="300"/>
      <c r="F3" s="301" t="s">
        <v>89</v>
      </c>
      <c r="G3" s="301" t="s">
        <v>90</v>
      </c>
      <c r="H3" s="301" t="s">
        <v>91</v>
      </c>
      <c r="I3" s="301" t="s">
        <v>92</v>
      </c>
      <c r="J3" s="302" t="s">
        <v>97</v>
      </c>
      <c r="K3" s="302" t="s">
        <v>159</v>
      </c>
      <c r="L3" s="302" t="s">
        <v>99</v>
      </c>
      <c r="M3" s="302" t="s">
        <v>100</v>
      </c>
      <c r="N3" s="295">
        <v>0.4</v>
      </c>
      <c r="O3" s="295"/>
      <c r="P3" s="295"/>
      <c r="Q3" s="296">
        <v>0.3</v>
      </c>
      <c r="R3" s="296"/>
      <c r="S3" s="296"/>
      <c r="T3" s="297">
        <v>0.2</v>
      </c>
      <c r="U3" s="297"/>
      <c r="V3" s="297"/>
      <c r="W3" s="298">
        <v>0.1</v>
      </c>
      <c r="X3" s="298"/>
      <c r="Y3" s="298"/>
      <c r="Z3" s="294"/>
    </row>
    <row r="4" spans="1:26" ht="48" customHeight="1">
      <c r="A4" s="300"/>
      <c r="B4" s="300"/>
      <c r="C4" s="300"/>
      <c r="D4" s="300"/>
      <c r="E4" s="300"/>
      <c r="F4" s="301"/>
      <c r="G4" s="301"/>
      <c r="H4" s="301"/>
      <c r="I4" s="301"/>
      <c r="J4" s="302"/>
      <c r="K4" s="302"/>
      <c r="L4" s="302"/>
      <c r="M4" s="302"/>
      <c r="N4" s="211" t="s">
        <v>160</v>
      </c>
      <c r="O4" s="211" t="s">
        <v>161</v>
      </c>
      <c r="P4" s="211" t="s">
        <v>162</v>
      </c>
      <c r="Q4" s="212" t="s">
        <v>160</v>
      </c>
      <c r="R4" s="212" t="s">
        <v>161</v>
      </c>
      <c r="S4" s="212" t="s">
        <v>162</v>
      </c>
      <c r="T4" s="213" t="s">
        <v>160</v>
      </c>
      <c r="U4" s="213" t="s">
        <v>161</v>
      </c>
      <c r="V4" s="213" t="s">
        <v>162</v>
      </c>
      <c r="W4" s="214" t="s">
        <v>160</v>
      </c>
      <c r="X4" s="214" t="s">
        <v>161</v>
      </c>
      <c r="Y4" s="214" t="s">
        <v>162</v>
      </c>
      <c r="Z4" s="294"/>
    </row>
    <row r="5" spans="1:26" ht="69" customHeight="1">
      <c r="A5" s="299" t="s">
        <v>101</v>
      </c>
      <c r="B5" s="116" t="s">
        <v>16</v>
      </c>
      <c r="C5" s="117" t="s">
        <v>102</v>
      </c>
      <c r="D5" s="118">
        <v>0.1</v>
      </c>
      <c r="E5" s="121" t="s">
        <v>69</v>
      </c>
      <c r="F5" s="122">
        <v>4</v>
      </c>
      <c r="G5" s="122">
        <v>3</v>
      </c>
      <c r="H5" s="122">
        <v>2</v>
      </c>
      <c r="I5" s="122">
        <v>0</v>
      </c>
      <c r="J5" s="210" t="str">
        <f>'Core Network Change Management'!K4</f>
        <v>A</v>
      </c>
      <c r="K5" s="210" t="str">
        <f>'Core Network Change Management'!L4</f>
        <v>A</v>
      </c>
      <c r="L5" s="210" t="str">
        <f>'Core Network Change Management'!M4</f>
        <v>A</v>
      </c>
      <c r="M5" s="210" t="str">
        <f>'Core Network Change Management'!N4</f>
        <v>A</v>
      </c>
      <c r="N5" s="215">
        <f t="shared" ref="N5:N13" si="0">IF(J5="A",F5,IF(J5="B",G5,IF(J5="C",H5,IF(J5="D",I5))))</f>
        <v>4</v>
      </c>
      <c r="O5" s="215">
        <f>N5</f>
        <v>4</v>
      </c>
      <c r="P5" s="290">
        <f>AVERAGE(O5:O13)</f>
        <v>4</v>
      </c>
      <c r="Q5" s="216">
        <f>IF(K5="A",F5,IF(K5="B",G5,IF(K5="C",H5,IF(K5="D",I5))))</f>
        <v>4</v>
      </c>
      <c r="R5" s="216">
        <f>Q5</f>
        <v>4</v>
      </c>
      <c r="S5" s="291">
        <f>AVERAGE(R5:R13)</f>
        <v>4</v>
      </c>
      <c r="T5" s="217">
        <f>IF(L5="A",F5,IF(L5="B",G5,IF(L5="C",H5,IF(L5="D",I5))))</f>
        <v>4</v>
      </c>
      <c r="U5" s="217">
        <f>T5</f>
        <v>4</v>
      </c>
      <c r="V5" s="292">
        <f>AVERAGE(U5:U13)</f>
        <v>4</v>
      </c>
      <c r="W5" s="218">
        <f>IF(M5="A",F5,IF(M5="B",G5,IF(M5="C",H5,IF(M5="D",I5))))</f>
        <v>4</v>
      </c>
      <c r="X5" s="218">
        <f>W5</f>
        <v>4</v>
      </c>
      <c r="Y5" s="293">
        <f>AVERAGE(X5:X13)</f>
        <v>4</v>
      </c>
      <c r="Z5" s="294">
        <f>(P5*N3+S5*Q3+V5*T3+Y5*W3)/(N3+Q3+T3+W3)</f>
        <v>4</v>
      </c>
    </row>
    <row r="6" spans="1:26" ht="45" customHeight="1">
      <c r="A6" s="299"/>
      <c r="B6" s="279" t="s">
        <v>20</v>
      </c>
      <c r="C6" s="119" t="s">
        <v>108</v>
      </c>
      <c r="D6" s="120">
        <v>0.1</v>
      </c>
      <c r="E6" s="121" t="s">
        <v>71</v>
      </c>
      <c r="F6" s="122">
        <v>3</v>
      </c>
      <c r="G6" s="122">
        <v>2</v>
      </c>
      <c r="H6" s="122">
        <v>1</v>
      </c>
      <c r="I6" s="122">
        <v>0</v>
      </c>
      <c r="J6" s="210" t="str">
        <f>'Core Network Change Management'!K5</f>
        <v>A</v>
      </c>
      <c r="K6" s="210" t="str">
        <f>'Core Network Change Management'!L5</f>
        <v>A</v>
      </c>
      <c r="L6" s="210" t="str">
        <f>'Core Network Change Management'!M5</f>
        <v>A</v>
      </c>
      <c r="M6" s="210" t="str">
        <f>'Core Network Change Management'!N5</f>
        <v>A</v>
      </c>
      <c r="N6" s="215">
        <f t="shared" si="0"/>
        <v>3</v>
      </c>
      <c r="O6" s="215">
        <f>IF(AND(N6=3,AVERAGE(N5,N8,N9,N10,N11,N13)&gt;3),AVERAGE(N5,N8,N9,N10,N11,N13),N6)</f>
        <v>4</v>
      </c>
      <c r="P6" s="290"/>
      <c r="Q6" s="216">
        <f t="shared" ref="Q6:Q13" si="1">IF(K6="A",F6,IF(K6="B",G6,IF(K6="C",H6,IF(K6="D",I6))))</f>
        <v>3</v>
      </c>
      <c r="R6" s="216">
        <f>IF(AND(Q6=3,AVERAGE(Q5,Q8,Q9,Q10,Q11,Q13)&gt;3),AVERAGE(Q5,Q8,Q9,Q10,Q11,Q13),Q6)</f>
        <v>4</v>
      </c>
      <c r="S6" s="291"/>
      <c r="T6" s="217">
        <f t="shared" ref="T6:T13" si="2">IF(L6="A",F6,IF(L6="B",G6,IF(L6="C",H6,IF(L6="D",I6))))</f>
        <v>3</v>
      </c>
      <c r="U6" s="217">
        <f>IF(AND(T6=3,AVERAGE(T5,T8,T9,T10,T11,T13)&gt;3),AVERAGE(T5,T8,T9,T10,T11,T13),T6)</f>
        <v>4</v>
      </c>
      <c r="V6" s="292"/>
      <c r="W6" s="218">
        <f t="shared" ref="W6:W13" si="3">IF(M6="A",F6,IF(M6="B",G6,IF(M6="C",H6,IF(M6="D",I6))))</f>
        <v>3</v>
      </c>
      <c r="X6" s="218">
        <f>IF(AND(W6=3,AVERAGE(W5,W8,W9,W10,W11,W13)&gt;3),AVERAGE(W5,W8,W9,W10,W11,W13),W6)</f>
        <v>4</v>
      </c>
      <c r="Y6" s="293"/>
      <c r="Z6" s="294"/>
    </row>
    <row r="7" spans="1:26" ht="45" customHeight="1">
      <c r="A7" s="299"/>
      <c r="B7" s="279"/>
      <c r="C7" s="119" t="s">
        <v>113</v>
      </c>
      <c r="D7" s="120">
        <v>0.1</v>
      </c>
      <c r="E7" s="121" t="s">
        <v>73</v>
      </c>
      <c r="F7" s="122">
        <v>3</v>
      </c>
      <c r="G7" s="122">
        <v>2</v>
      </c>
      <c r="H7" s="122">
        <v>1</v>
      </c>
      <c r="I7" s="122">
        <v>0</v>
      </c>
      <c r="J7" s="210" t="str">
        <f>'Core Network Change Management'!K6</f>
        <v>A</v>
      </c>
      <c r="K7" s="210" t="str">
        <f>'Core Network Change Management'!L6</f>
        <v>A</v>
      </c>
      <c r="L7" s="210" t="str">
        <f>'Core Network Change Management'!M6</f>
        <v>A</v>
      </c>
      <c r="M7" s="210" t="str">
        <f>'Core Network Change Management'!N6</f>
        <v>A</v>
      </c>
      <c r="N7" s="215">
        <f t="shared" si="0"/>
        <v>3</v>
      </c>
      <c r="O7" s="215">
        <f>IF(AND(N7=3,AVERAGE(N5,N8,N9,N10,N11,N13)&gt;3),AVERAGE(N5,N8,N9,N10,N11,N13),N7)</f>
        <v>4</v>
      </c>
      <c r="P7" s="290"/>
      <c r="Q7" s="216">
        <f t="shared" si="1"/>
        <v>3</v>
      </c>
      <c r="R7" s="216">
        <f>IF(AND(Q7=3,AVERAGE(Q5,Q8,Q9,Q10,Q11,Q13)&gt;3),AVERAGE(Q5,Q8,Q9,Q10,Q11,Q13),Q7)</f>
        <v>4</v>
      </c>
      <c r="S7" s="291"/>
      <c r="T7" s="217">
        <f t="shared" si="2"/>
        <v>3</v>
      </c>
      <c r="U7" s="217">
        <f>IF(AND(T7=3,AVERAGE(T5,T8,T9,T10,T11,T13)&gt;3),AVERAGE(T5,T8,T9,T10,T11,T13),T7)</f>
        <v>4</v>
      </c>
      <c r="V7" s="292"/>
      <c r="W7" s="218">
        <f t="shared" si="3"/>
        <v>3</v>
      </c>
      <c r="X7" s="218">
        <f>IF(AND(W7=3,AVERAGE(W5,W8,W9,W10,W11,W13)&gt;3),AVERAGE(W5,W8,W9,W10,W11,W13),W7)</f>
        <v>4</v>
      </c>
      <c r="Y7" s="293"/>
      <c r="Z7" s="294"/>
    </row>
    <row r="8" spans="1:26" ht="45" customHeight="1">
      <c r="A8" s="299"/>
      <c r="B8" s="279" t="s">
        <v>24</v>
      </c>
      <c r="C8" s="119" t="s">
        <v>119</v>
      </c>
      <c r="D8" s="120">
        <v>0.1</v>
      </c>
      <c r="E8" s="121" t="s">
        <v>75</v>
      </c>
      <c r="F8" s="122">
        <v>4</v>
      </c>
      <c r="G8" s="122">
        <v>3</v>
      </c>
      <c r="H8" s="122">
        <v>2</v>
      </c>
      <c r="I8" s="122">
        <v>1</v>
      </c>
      <c r="J8" s="210" t="str">
        <f>'Core Network Change Management'!K7</f>
        <v>A</v>
      </c>
      <c r="K8" s="210" t="str">
        <f>'Core Network Change Management'!L7</f>
        <v>A</v>
      </c>
      <c r="L8" s="210" t="str">
        <f>'Core Network Change Management'!M7</f>
        <v>A</v>
      </c>
      <c r="M8" s="210" t="str">
        <f>'Core Network Change Management'!N7</f>
        <v>A</v>
      </c>
      <c r="N8" s="215">
        <f t="shared" si="0"/>
        <v>4</v>
      </c>
      <c r="O8" s="215">
        <f>N8</f>
        <v>4</v>
      </c>
      <c r="P8" s="290"/>
      <c r="Q8" s="216">
        <f t="shared" si="1"/>
        <v>4</v>
      </c>
      <c r="R8" s="216">
        <f t="shared" ref="R8:R13" si="4">Q8</f>
        <v>4</v>
      </c>
      <c r="S8" s="291"/>
      <c r="T8" s="217">
        <f t="shared" si="2"/>
        <v>4</v>
      </c>
      <c r="U8" s="217">
        <f t="shared" ref="U8:U13" si="5">T8</f>
        <v>4</v>
      </c>
      <c r="V8" s="292"/>
      <c r="W8" s="218">
        <f t="shared" si="3"/>
        <v>4</v>
      </c>
      <c r="X8" s="218">
        <f t="shared" ref="X8:X13" si="6">W8</f>
        <v>4</v>
      </c>
      <c r="Y8" s="293"/>
      <c r="Z8" s="294"/>
    </row>
    <row r="9" spans="1:26" ht="45" customHeight="1">
      <c r="A9" s="299"/>
      <c r="B9" s="279"/>
      <c r="C9" s="117" t="s">
        <v>124</v>
      </c>
      <c r="D9" s="120">
        <v>0.1</v>
      </c>
      <c r="E9" s="121" t="s">
        <v>77</v>
      </c>
      <c r="F9" s="122">
        <v>4</v>
      </c>
      <c r="G9" s="122">
        <v>3</v>
      </c>
      <c r="H9" s="122">
        <v>2</v>
      </c>
      <c r="I9" s="122">
        <v>1</v>
      </c>
      <c r="J9" s="210" t="str">
        <f>'Core Network Change Management'!K8</f>
        <v>A</v>
      </c>
      <c r="K9" s="210" t="str">
        <f>'Core Network Change Management'!L8</f>
        <v>A</v>
      </c>
      <c r="L9" s="210" t="str">
        <f>'Core Network Change Management'!M8</f>
        <v>A</v>
      </c>
      <c r="M9" s="210" t="str">
        <f>'Core Network Change Management'!N8</f>
        <v>A</v>
      </c>
      <c r="N9" s="215">
        <f t="shared" si="0"/>
        <v>4</v>
      </c>
      <c r="O9" s="215">
        <f>N9</f>
        <v>4</v>
      </c>
      <c r="P9" s="290"/>
      <c r="Q9" s="216">
        <f t="shared" si="1"/>
        <v>4</v>
      </c>
      <c r="R9" s="216">
        <f t="shared" si="4"/>
        <v>4</v>
      </c>
      <c r="S9" s="291"/>
      <c r="T9" s="217">
        <f t="shared" si="2"/>
        <v>4</v>
      </c>
      <c r="U9" s="217">
        <f t="shared" si="5"/>
        <v>4</v>
      </c>
      <c r="V9" s="292"/>
      <c r="W9" s="218">
        <f t="shared" si="3"/>
        <v>4</v>
      </c>
      <c r="X9" s="218">
        <f t="shared" si="6"/>
        <v>4</v>
      </c>
      <c r="Y9" s="293"/>
      <c r="Z9" s="294"/>
    </row>
    <row r="10" spans="1:26" ht="45" customHeight="1">
      <c r="A10" s="299"/>
      <c r="B10" s="116" t="s">
        <v>30</v>
      </c>
      <c r="C10" s="117" t="s">
        <v>130</v>
      </c>
      <c r="D10" s="120">
        <v>0.2</v>
      </c>
      <c r="E10" s="121" t="s">
        <v>163</v>
      </c>
      <c r="F10" s="122">
        <v>4</v>
      </c>
      <c r="G10" s="122">
        <v>3</v>
      </c>
      <c r="H10" s="122">
        <v>2</v>
      </c>
      <c r="I10" s="122">
        <v>1</v>
      </c>
      <c r="J10" s="210" t="str">
        <f>'Core Network Change Management'!K9</f>
        <v>A</v>
      </c>
      <c r="K10" s="210" t="str">
        <f>'Core Network Change Management'!L9</f>
        <v>A</v>
      </c>
      <c r="L10" s="210" t="str">
        <f>'Core Network Change Management'!M9</f>
        <v>A</v>
      </c>
      <c r="M10" s="210" t="str">
        <f>'Core Network Change Management'!N9</f>
        <v>A</v>
      </c>
      <c r="N10" s="215">
        <f t="shared" si="0"/>
        <v>4</v>
      </c>
      <c r="O10" s="215">
        <f>N10</f>
        <v>4</v>
      </c>
      <c r="P10" s="290"/>
      <c r="Q10" s="216">
        <f t="shared" si="1"/>
        <v>4</v>
      </c>
      <c r="R10" s="216">
        <f t="shared" si="4"/>
        <v>4</v>
      </c>
      <c r="S10" s="291"/>
      <c r="T10" s="217">
        <f t="shared" si="2"/>
        <v>4</v>
      </c>
      <c r="U10" s="217">
        <f t="shared" si="5"/>
        <v>4</v>
      </c>
      <c r="V10" s="292"/>
      <c r="W10" s="218">
        <f t="shared" si="3"/>
        <v>4</v>
      </c>
      <c r="X10" s="218">
        <f t="shared" si="6"/>
        <v>4</v>
      </c>
      <c r="Y10" s="293"/>
      <c r="Z10" s="294"/>
    </row>
    <row r="11" spans="1:26" ht="45" customHeight="1">
      <c r="A11" s="299"/>
      <c r="B11" s="299" t="s">
        <v>34</v>
      </c>
      <c r="C11" s="117" t="s">
        <v>164</v>
      </c>
      <c r="D11" s="120">
        <v>0.1</v>
      </c>
      <c r="E11" s="121" t="s">
        <v>165</v>
      </c>
      <c r="F11" s="122">
        <v>4</v>
      </c>
      <c r="G11" s="122">
        <v>3</v>
      </c>
      <c r="H11" s="122">
        <v>2</v>
      </c>
      <c r="I11" s="122">
        <v>1</v>
      </c>
      <c r="J11" s="210" t="str">
        <f>'Core Network Change Management'!K10</f>
        <v>A</v>
      </c>
      <c r="K11" s="210" t="str">
        <f>'Core Network Change Management'!L10</f>
        <v>A</v>
      </c>
      <c r="L11" s="210" t="str">
        <f>'Core Network Change Management'!M10</f>
        <v>A</v>
      </c>
      <c r="M11" s="210" t="str">
        <f>'Core Network Change Management'!N10</f>
        <v>A</v>
      </c>
      <c r="N11" s="215">
        <f t="shared" si="0"/>
        <v>4</v>
      </c>
      <c r="O11" s="215">
        <f>N11</f>
        <v>4</v>
      </c>
      <c r="P11" s="290"/>
      <c r="Q11" s="216">
        <f t="shared" si="1"/>
        <v>4</v>
      </c>
      <c r="R11" s="216">
        <f t="shared" si="4"/>
        <v>4</v>
      </c>
      <c r="S11" s="291"/>
      <c r="T11" s="217">
        <f t="shared" si="2"/>
        <v>4</v>
      </c>
      <c r="U11" s="217">
        <f t="shared" si="5"/>
        <v>4</v>
      </c>
      <c r="V11" s="292"/>
      <c r="W11" s="218">
        <f t="shared" si="3"/>
        <v>4</v>
      </c>
      <c r="X11" s="218">
        <f t="shared" si="6"/>
        <v>4</v>
      </c>
      <c r="Y11" s="293"/>
      <c r="Z11" s="294"/>
    </row>
    <row r="12" spans="1:26" ht="45" customHeight="1">
      <c r="A12" s="299"/>
      <c r="B12" s="299"/>
      <c r="C12" s="119" t="s">
        <v>141</v>
      </c>
      <c r="D12" s="120">
        <v>0.1</v>
      </c>
      <c r="E12" s="121" t="s">
        <v>83</v>
      </c>
      <c r="F12" s="122">
        <v>2</v>
      </c>
      <c r="G12" s="122">
        <v>1</v>
      </c>
      <c r="H12" s="122">
        <v>0</v>
      </c>
      <c r="I12" s="122">
        <v>0</v>
      </c>
      <c r="J12" s="210" t="str">
        <f>'Core Network Change Management'!K11</f>
        <v>A</v>
      </c>
      <c r="K12" s="210" t="str">
        <f>'Core Network Change Management'!L11</f>
        <v>A</v>
      </c>
      <c r="L12" s="210" t="str">
        <f>'Core Network Change Management'!M11</f>
        <v>A</v>
      </c>
      <c r="M12" s="210" t="str">
        <f>'Core Network Change Management'!N11</f>
        <v>A</v>
      </c>
      <c r="N12" s="215">
        <f t="shared" si="0"/>
        <v>2</v>
      </c>
      <c r="O12" s="215">
        <f>IF(AND(N12=2,AVERAGE(N5,N8,N9,N10,N11,N13)&gt;2),AVERAGE(N5,N8,N9,N10,N11,N13),N12)</f>
        <v>4</v>
      </c>
      <c r="P12" s="290"/>
      <c r="Q12" s="216">
        <f t="shared" si="1"/>
        <v>2</v>
      </c>
      <c r="R12" s="216">
        <f>IF(AND(Q12=2,AVERAGE(Q5,Q8,Q9,Q10,Q11,Q13)&gt;2),AVERAGE(Q5,Q8,Q9,Q10,Q11,Q13),Q12)</f>
        <v>4</v>
      </c>
      <c r="S12" s="291"/>
      <c r="T12" s="217">
        <f t="shared" si="2"/>
        <v>2</v>
      </c>
      <c r="U12" s="217">
        <f>IF(AND(T7=3,AVERAGE(T5,T8,T9,T10,T11,T13)&gt;3),AVERAGE(T5,T8,T9,T10,T11,T13),T7)</f>
        <v>4</v>
      </c>
      <c r="V12" s="292"/>
      <c r="W12" s="218">
        <f t="shared" si="3"/>
        <v>2</v>
      </c>
      <c r="X12" s="218">
        <f>IF(AND(W12=2,AVERAGE(W5,W8,W9,W10,W11,W13)&gt;2),AVERAGE(W5,W8,W9,W10,W11,W13),W12)</f>
        <v>4</v>
      </c>
      <c r="Y12" s="293"/>
      <c r="Z12" s="294"/>
    </row>
    <row r="13" spans="1:26" ht="41.15" customHeight="1">
      <c r="A13" s="299"/>
      <c r="B13" s="299"/>
      <c r="C13" s="119" t="s">
        <v>146</v>
      </c>
      <c r="D13" s="120">
        <v>0.1</v>
      </c>
      <c r="E13" s="123" t="s">
        <v>166</v>
      </c>
      <c r="F13" s="122">
        <v>4</v>
      </c>
      <c r="G13" s="122">
        <v>3</v>
      </c>
      <c r="H13" s="122">
        <v>2</v>
      </c>
      <c r="I13" s="122">
        <v>1</v>
      </c>
      <c r="J13" s="210" t="str">
        <f>'Core Network Change Management'!K12</f>
        <v>A</v>
      </c>
      <c r="K13" s="210" t="str">
        <f>'Core Network Change Management'!L12</f>
        <v>A</v>
      </c>
      <c r="L13" s="210" t="str">
        <f>'Core Network Change Management'!M12</f>
        <v>A</v>
      </c>
      <c r="M13" s="210" t="str">
        <f>'Core Network Change Management'!N12</f>
        <v>A</v>
      </c>
      <c r="N13" s="215">
        <f t="shared" si="0"/>
        <v>4</v>
      </c>
      <c r="O13" s="215">
        <f>N13</f>
        <v>4</v>
      </c>
      <c r="P13" s="290"/>
      <c r="Q13" s="216">
        <f t="shared" si="1"/>
        <v>4</v>
      </c>
      <c r="R13" s="216">
        <f t="shared" si="4"/>
        <v>4</v>
      </c>
      <c r="S13" s="291"/>
      <c r="T13" s="217">
        <f t="shared" si="2"/>
        <v>4</v>
      </c>
      <c r="U13" s="217">
        <f t="shared" si="5"/>
        <v>4</v>
      </c>
      <c r="V13" s="292"/>
      <c r="W13" s="218">
        <f t="shared" si="3"/>
        <v>4</v>
      </c>
      <c r="X13" s="218">
        <f t="shared" si="6"/>
        <v>4</v>
      </c>
      <c r="Y13" s="293"/>
      <c r="Z13" s="294"/>
    </row>
    <row r="14" spans="1:26">
      <c r="D14" s="115">
        <f>SUM(D5:D13)</f>
        <v>1</v>
      </c>
    </row>
  </sheetData>
  <mergeCells count="35">
    <mergeCell ref="M3:M4"/>
    <mergeCell ref="F1:I1"/>
    <mergeCell ref="J1:Z1"/>
    <mergeCell ref="F2:I2"/>
    <mergeCell ref="J2:M2"/>
    <mergeCell ref="N2:P2"/>
    <mergeCell ref="Q2:S2"/>
    <mergeCell ref="T2:V2"/>
    <mergeCell ref="W2:Y2"/>
    <mergeCell ref="H3:H4"/>
    <mergeCell ref="I3:I4"/>
    <mergeCell ref="J3:J4"/>
    <mergeCell ref="K3:K4"/>
    <mergeCell ref="L3:L4"/>
    <mergeCell ref="C1:C4"/>
    <mergeCell ref="D1:D4"/>
    <mergeCell ref="E1:E4"/>
    <mergeCell ref="F3:F4"/>
    <mergeCell ref="G3:G4"/>
    <mergeCell ref="A5:A13"/>
    <mergeCell ref="B1:B4"/>
    <mergeCell ref="B6:B7"/>
    <mergeCell ref="B8:B9"/>
    <mergeCell ref="B11:B13"/>
    <mergeCell ref="A1:A4"/>
    <mergeCell ref="P5:P13"/>
    <mergeCell ref="S5:S13"/>
    <mergeCell ref="V5:V13"/>
    <mergeCell ref="Y5:Y13"/>
    <mergeCell ref="Z2:Z4"/>
    <mergeCell ref="Z5:Z13"/>
    <mergeCell ref="N3:P3"/>
    <mergeCell ref="Q3:S3"/>
    <mergeCell ref="T3:V3"/>
    <mergeCell ref="W3:Y3"/>
  </mergeCells>
  <pageMargins left="0.7" right="0.7" top="0.75" bottom="0.75" header="0.3" footer="0.3"/>
  <pageSetup paperSize="9" orientation="portrait" horizontalDpi="300" verticalDpi="300"/>
  <headerFooter>
    <oddFooter>&amp;C&amp;1#&amp;"Calibri"&amp;8&amp;KED7D31Orange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1323-49B6-4003-87B3-AF517AEA4FD4}">
  <dimension ref="A1:D1015"/>
  <sheetViews>
    <sheetView zoomScaleNormal="100" workbookViewId="0">
      <selection activeCell="L28" sqref="L28"/>
    </sheetView>
  </sheetViews>
  <sheetFormatPr defaultColWidth="14.453125" defaultRowHeight="15" customHeight="1"/>
  <cols>
    <col min="1" max="1" width="31.7265625" style="192" customWidth="1"/>
    <col min="2" max="2" width="16.7265625" style="192" customWidth="1"/>
    <col min="3" max="3" width="25.1796875" style="192" customWidth="1"/>
    <col min="4" max="4" width="22.26953125" style="192" customWidth="1"/>
    <col min="5" max="26" width="8.54296875" style="192" customWidth="1"/>
    <col min="27" max="16384" width="14.453125" style="192"/>
  </cols>
  <sheetData>
    <row r="1" spans="1:4" s="191" customFormat="1" ht="15" customHeight="1"/>
    <row r="6" spans="1:4" ht="46.5" customHeight="1">
      <c r="A6" s="313" t="s">
        <v>318</v>
      </c>
      <c r="B6" s="314"/>
      <c r="C6" s="314"/>
      <c r="D6" s="314"/>
    </row>
    <row r="7" spans="1:4" ht="24.65" customHeight="1">
      <c r="A7" s="193" t="s">
        <v>319</v>
      </c>
      <c r="B7" s="194"/>
      <c r="C7" s="194"/>
      <c r="D7" s="194"/>
    </row>
    <row r="8" spans="1:4" ht="24.65" customHeight="1">
      <c r="A8" s="193"/>
      <c r="B8" s="194"/>
      <c r="C8" s="194"/>
      <c r="D8" s="194"/>
    </row>
    <row r="9" spans="1:4" ht="14.15" customHeight="1">
      <c r="A9" s="315" t="s">
        <v>320</v>
      </c>
      <c r="B9" s="316"/>
      <c r="C9" s="316"/>
      <c r="D9" s="316"/>
    </row>
    <row r="10" spans="1:4" s="196" customFormat="1" ht="33" customHeight="1">
      <c r="A10" s="195" t="s">
        <v>321</v>
      </c>
      <c r="B10" s="195" t="s">
        <v>322</v>
      </c>
      <c r="C10" s="195" t="s">
        <v>323</v>
      </c>
      <c r="D10" s="195" t="s">
        <v>324</v>
      </c>
    </row>
    <row r="11" spans="1:4" s="196" customFormat="1" ht="32">
      <c r="A11" s="197" t="s">
        <v>54</v>
      </c>
      <c r="B11" s="198">
        <v>45919</v>
      </c>
      <c r="C11" s="197" t="s">
        <v>325</v>
      </c>
      <c r="D11" s="197" t="s">
        <v>326</v>
      </c>
    </row>
    <row r="12" spans="1:4" s="196" customFormat="1" ht="14.15" customHeight="1">
      <c r="A12" s="199"/>
      <c r="B12" s="200"/>
      <c r="C12" s="199"/>
      <c r="D12" s="199"/>
    </row>
    <row r="13" spans="1:4" s="196" customFormat="1" ht="14.15" customHeight="1">
      <c r="A13" s="199"/>
      <c r="B13" s="200"/>
      <c r="C13" s="199"/>
      <c r="D13" s="199"/>
    </row>
    <row r="14" spans="1:4" s="196" customFormat="1" ht="14.15" customHeight="1">
      <c r="A14" s="315" t="s">
        <v>327</v>
      </c>
      <c r="B14" s="317"/>
      <c r="C14" s="317"/>
      <c r="D14" s="317"/>
    </row>
    <row r="15" spans="1:4" s="196" customFormat="1" ht="34" customHeight="1">
      <c r="A15" s="201" t="s">
        <v>52</v>
      </c>
      <c r="B15" s="201" t="s">
        <v>322</v>
      </c>
      <c r="C15" s="201" t="s">
        <v>323</v>
      </c>
      <c r="D15" s="201" t="s">
        <v>324</v>
      </c>
    </row>
    <row r="16" spans="1:4" s="196" customFormat="1" ht="16">
      <c r="A16" s="202" t="s">
        <v>53</v>
      </c>
      <c r="B16" s="198">
        <v>45919</v>
      </c>
      <c r="C16" s="197" t="s">
        <v>325</v>
      </c>
      <c r="D16" s="202" t="s">
        <v>328</v>
      </c>
    </row>
    <row r="17" spans="1:4" s="196" customFormat="1" ht="14.15" customHeight="1">
      <c r="A17" s="199"/>
      <c r="B17" s="199"/>
      <c r="C17" s="199"/>
      <c r="D17" s="199"/>
    </row>
    <row r="18" spans="1:4" s="196" customFormat="1" ht="12.75" customHeight="1">
      <c r="A18" s="199"/>
      <c r="B18" s="199"/>
      <c r="C18" s="199"/>
      <c r="D18" s="199"/>
    </row>
    <row r="19" spans="1:4" ht="22.5" customHeight="1">
      <c r="A19" s="193" t="s">
        <v>329</v>
      </c>
      <c r="B19" s="194"/>
      <c r="C19" s="194"/>
      <c r="D19" s="194"/>
    </row>
    <row r="20" spans="1:4" ht="12.75" customHeight="1">
      <c r="A20" s="194"/>
      <c r="B20" s="194"/>
      <c r="C20" s="194"/>
      <c r="D20" s="194"/>
    </row>
    <row r="21" spans="1:4" ht="20.149999999999999" customHeight="1">
      <c r="A21" s="203" t="s">
        <v>330</v>
      </c>
      <c r="B21" s="204"/>
      <c r="C21" s="204"/>
      <c r="D21" s="194"/>
    </row>
    <row r="22" spans="1:4" ht="12.75" customHeight="1">
      <c r="A22" s="205" t="s">
        <v>331</v>
      </c>
      <c r="B22" s="205" t="s">
        <v>332</v>
      </c>
      <c r="C22" s="205" t="s">
        <v>333</v>
      </c>
      <c r="D22" s="194"/>
    </row>
    <row r="23" spans="1:4" ht="12.75" customHeight="1">
      <c r="A23" s="206" t="s">
        <v>167</v>
      </c>
      <c r="B23" s="206" t="s">
        <v>168</v>
      </c>
      <c r="C23" s="206" t="s">
        <v>169</v>
      </c>
      <c r="D23" s="194"/>
    </row>
    <row r="24" spans="1:4" ht="12.75" customHeight="1">
      <c r="A24" s="206" t="s">
        <v>170</v>
      </c>
      <c r="B24" s="206" t="s">
        <v>171</v>
      </c>
      <c r="C24" s="206" t="s">
        <v>172</v>
      </c>
      <c r="D24" s="194"/>
    </row>
    <row r="25" spans="1:4" ht="12.75" customHeight="1">
      <c r="A25" s="206" t="s">
        <v>173</v>
      </c>
      <c r="B25" s="206" t="s">
        <v>168</v>
      </c>
      <c r="C25" s="206" t="s">
        <v>172</v>
      </c>
      <c r="D25" s="194"/>
    </row>
    <row r="26" spans="1:4" ht="12.75" customHeight="1">
      <c r="A26" s="206" t="s">
        <v>174</v>
      </c>
      <c r="B26" s="206" t="s">
        <v>175</v>
      </c>
      <c r="C26" s="206" t="s">
        <v>176</v>
      </c>
      <c r="D26" s="194"/>
    </row>
    <row r="27" spans="1:4" ht="12.75" customHeight="1">
      <c r="A27" s="206" t="s">
        <v>177</v>
      </c>
      <c r="B27" s="206" t="s">
        <v>175</v>
      </c>
      <c r="C27" s="206" t="s">
        <v>176</v>
      </c>
      <c r="D27" s="194"/>
    </row>
    <row r="28" spans="1:4" ht="12.75" customHeight="1">
      <c r="A28" s="206" t="s">
        <v>178</v>
      </c>
      <c r="B28" s="206" t="s">
        <v>175</v>
      </c>
      <c r="C28" s="206" t="s">
        <v>176</v>
      </c>
      <c r="D28" s="194"/>
    </row>
    <row r="29" spans="1:4" ht="12.75" customHeight="1">
      <c r="A29" s="206" t="s">
        <v>179</v>
      </c>
      <c r="B29" s="206" t="s">
        <v>175</v>
      </c>
      <c r="C29" s="206" t="s">
        <v>176</v>
      </c>
      <c r="D29" s="194"/>
    </row>
    <row r="30" spans="1:4" ht="12.75" customHeight="1">
      <c r="A30" s="206" t="s">
        <v>180</v>
      </c>
      <c r="B30" s="206" t="s">
        <v>181</v>
      </c>
      <c r="C30" s="206" t="s">
        <v>176</v>
      </c>
      <c r="D30" s="194"/>
    </row>
    <row r="31" spans="1:4" ht="12.75" customHeight="1">
      <c r="A31" s="206" t="s">
        <v>182</v>
      </c>
      <c r="B31" s="206" t="s">
        <v>181</v>
      </c>
      <c r="C31" s="206" t="s">
        <v>176</v>
      </c>
      <c r="D31" s="194"/>
    </row>
    <row r="32" spans="1:4" ht="12.75" customHeight="1">
      <c r="A32" s="206" t="s">
        <v>183</v>
      </c>
      <c r="B32" s="206" t="s">
        <v>181</v>
      </c>
      <c r="C32" s="206" t="s">
        <v>176</v>
      </c>
      <c r="D32" s="194"/>
    </row>
    <row r="33" spans="1:4" ht="12.75" customHeight="1">
      <c r="A33" s="206" t="s">
        <v>184</v>
      </c>
      <c r="B33" s="207" t="s">
        <v>181</v>
      </c>
      <c r="C33" s="206" t="s">
        <v>176</v>
      </c>
      <c r="D33" s="194"/>
    </row>
    <row r="34" spans="1:4" ht="12.75" customHeight="1">
      <c r="A34" s="206" t="s">
        <v>185</v>
      </c>
      <c r="B34" s="207" t="s">
        <v>175</v>
      </c>
      <c r="C34" s="206" t="s">
        <v>176</v>
      </c>
      <c r="D34" s="194"/>
    </row>
    <row r="35" spans="1:4" ht="12.75" customHeight="1">
      <c r="A35" s="206" t="s">
        <v>186</v>
      </c>
      <c r="B35" s="206" t="s">
        <v>181</v>
      </c>
      <c r="C35" s="206" t="s">
        <v>176</v>
      </c>
      <c r="D35" s="194"/>
    </row>
    <row r="36" spans="1:4" ht="12.75" customHeight="1">
      <c r="A36" s="206" t="s">
        <v>187</v>
      </c>
      <c r="B36" s="206" t="s">
        <v>181</v>
      </c>
      <c r="C36" s="206" t="s">
        <v>176</v>
      </c>
      <c r="D36" s="194"/>
    </row>
    <row r="37" spans="1:4" ht="12.75" customHeight="1">
      <c r="A37" s="206" t="s">
        <v>188</v>
      </c>
      <c r="B37" s="206" t="s">
        <v>175</v>
      </c>
      <c r="C37" s="206" t="s">
        <v>189</v>
      </c>
      <c r="D37" s="194"/>
    </row>
    <row r="38" spans="1:4" ht="12.75" customHeight="1">
      <c r="A38" s="206" t="s">
        <v>190</v>
      </c>
      <c r="B38" s="206" t="s">
        <v>175</v>
      </c>
      <c r="C38" s="206" t="s">
        <v>189</v>
      </c>
      <c r="D38" s="194"/>
    </row>
    <row r="39" spans="1:4" ht="12.75" customHeight="1">
      <c r="A39" s="206" t="s">
        <v>191</v>
      </c>
      <c r="B39" s="206" t="s">
        <v>175</v>
      </c>
      <c r="C39" s="206" t="s">
        <v>189</v>
      </c>
      <c r="D39" s="194"/>
    </row>
    <row r="40" spans="1:4" ht="12.75" customHeight="1">
      <c r="A40" s="206" t="s">
        <v>192</v>
      </c>
      <c r="B40" s="206" t="s">
        <v>175</v>
      </c>
      <c r="C40" s="206" t="s">
        <v>189</v>
      </c>
      <c r="D40" s="194"/>
    </row>
    <row r="41" spans="1:4" ht="12.75" customHeight="1">
      <c r="A41" s="206" t="s">
        <v>193</v>
      </c>
      <c r="B41" s="206" t="s">
        <v>175</v>
      </c>
      <c r="C41" s="206" t="s">
        <v>189</v>
      </c>
      <c r="D41" s="194"/>
    </row>
    <row r="42" spans="1:4" ht="12.75" customHeight="1">
      <c r="A42" s="206" t="s">
        <v>194</v>
      </c>
      <c r="B42" s="206" t="s">
        <v>175</v>
      </c>
      <c r="C42" s="206" t="s">
        <v>189</v>
      </c>
      <c r="D42" s="194"/>
    </row>
    <row r="43" spans="1:4" ht="12.75" customHeight="1">
      <c r="A43" s="206" t="s">
        <v>195</v>
      </c>
      <c r="B43" s="206" t="s">
        <v>175</v>
      </c>
      <c r="C43" s="206" t="s">
        <v>189</v>
      </c>
      <c r="D43" s="194"/>
    </row>
    <row r="44" spans="1:4" ht="12.75" customHeight="1">
      <c r="A44" s="206" t="s">
        <v>196</v>
      </c>
      <c r="B44" s="206" t="s">
        <v>181</v>
      </c>
      <c r="C44" s="206" t="s">
        <v>189</v>
      </c>
      <c r="D44" s="194"/>
    </row>
    <row r="45" spans="1:4" ht="12.75" customHeight="1">
      <c r="A45" s="206" t="s">
        <v>197</v>
      </c>
      <c r="B45" s="206" t="s">
        <v>181</v>
      </c>
      <c r="C45" s="206" t="s">
        <v>189</v>
      </c>
      <c r="D45" s="194"/>
    </row>
    <row r="46" spans="1:4" ht="12.75" customHeight="1">
      <c r="A46" s="206" t="s">
        <v>198</v>
      </c>
      <c r="B46" s="206" t="s">
        <v>181</v>
      </c>
      <c r="C46" s="206" t="s">
        <v>189</v>
      </c>
      <c r="D46" s="194"/>
    </row>
    <row r="47" spans="1:4" ht="12.75" customHeight="1">
      <c r="A47" s="206" t="s">
        <v>199</v>
      </c>
      <c r="B47" s="206" t="s">
        <v>181</v>
      </c>
      <c r="C47" s="206" t="s">
        <v>189</v>
      </c>
      <c r="D47" s="194"/>
    </row>
    <row r="48" spans="1:4" ht="12.75" customHeight="1">
      <c r="A48" s="206" t="s">
        <v>200</v>
      </c>
      <c r="B48" s="206" t="s">
        <v>181</v>
      </c>
      <c r="C48" s="206" t="s">
        <v>189</v>
      </c>
      <c r="D48" s="194"/>
    </row>
    <row r="49" spans="1:4" ht="12.75" customHeight="1">
      <c r="A49" s="206" t="s">
        <v>201</v>
      </c>
      <c r="B49" s="206" t="s">
        <v>181</v>
      </c>
      <c r="C49" s="206" t="s">
        <v>189</v>
      </c>
      <c r="D49" s="194"/>
    </row>
    <row r="50" spans="1:4" ht="12.75" customHeight="1">
      <c r="A50" s="206" t="s">
        <v>202</v>
      </c>
      <c r="B50" s="206" t="s">
        <v>181</v>
      </c>
      <c r="C50" s="206" t="s">
        <v>189</v>
      </c>
      <c r="D50" s="194"/>
    </row>
    <row r="51" spans="1:4" ht="12.75" customHeight="1">
      <c r="A51" s="206" t="s">
        <v>203</v>
      </c>
      <c r="B51" s="206" t="s">
        <v>204</v>
      </c>
      <c r="C51" s="206" t="s">
        <v>189</v>
      </c>
      <c r="D51" s="194"/>
    </row>
    <row r="52" spans="1:4" ht="12.75" customHeight="1">
      <c r="A52" s="206" t="s">
        <v>205</v>
      </c>
      <c r="B52" s="206" t="s">
        <v>206</v>
      </c>
      <c r="C52" s="206" t="s">
        <v>189</v>
      </c>
      <c r="D52" s="194"/>
    </row>
    <row r="53" spans="1:4" ht="12.75" customHeight="1">
      <c r="A53" s="206" t="s">
        <v>207</v>
      </c>
      <c r="B53" s="206" t="s">
        <v>206</v>
      </c>
      <c r="C53" s="206" t="s">
        <v>189</v>
      </c>
      <c r="D53" s="194"/>
    </row>
    <row r="54" spans="1:4" ht="12.75" customHeight="1">
      <c r="A54" s="206" t="s">
        <v>208</v>
      </c>
      <c r="B54" s="206" t="s">
        <v>206</v>
      </c>
      <c r="C54" s="206" t="s">
        <v>189</v>
      </c>
      <c r="D54" s="194"/>
    </row>
    <row r="55" spans="1:4" ht="12.75" customHeight="1">
      <c r="A55" s="206" t="s">
        <v>334</v>
      </c>
      <c r="B55" s="206" t="s">
        <v>206</v>
      </c>
      <c r="C55" s="206" t="s">
        <v>189</v>
      </c>
      <c r="D55" s="194"/>
    </row>
    <row r="56" spans="1:4" ht="12.75" customHeight="1">
      <c r="A56" s="206" t="s">
        <v>170</v>
      </c>
      <c r="B56" s="206" t="s">
        <v>171</v>
      </c>
      <c r="C56" s="206" t="s">
        <v>189</v>
      </c>
      <c r="D56" s="194"/>
    </row>
    <row r="57" spans="1:4" ht="12.75" customHeight="1">
      <c r="A57" s="206" t="s">
        <v>209</v>
      </c>
      <c r="B57" s="206" t="s">
        <v>210</v>
      </c>
      <c r="C57" s="206" t="s">
        <v>189</v>
      </c>
      <c r="D57" s="194"/>
    </row>
    <row r="58" spans="1:4" ht="12.75" customHeight="1">
      <c r="A58" s="206" t="s">
        <v>211</v>
      </c>
      <c r="B58" s="206" t="s">
        <v>212</v>
      </c>
      <c r="C58" s="206" t="s">
        <v>189</v>
      </c>
      <c r="D58" s="194"/>
    </row>
    <row r="59" spans="1:4" ht="12.75" customHeight="1">
      <c r="A59" s="206" t="s">
        <v>213</v>
      </c>
      <c r="B59" s="206" t="s">
        <v>212</v>
      </c>
      <c r="C59" s="206" t="s">
        <v>189</v>
      </c>
      <c r="D59" s="194"/>
    </row>
    <row r="60" spans="1:4" ht="12.75" customHeight="1">
      <c r="A60" s="206" t="s">
        <v>214</v>
      </c>
      <c r="B60" s="206" t="s">
        <v>215</v>
      </c>
      <c r="C60" s="206" t="s">
        <v>189</v>
      </c>
      <c r="D60" s="194"/>
    </row>
    <row r="61" spans="1:4" ht="12.75" customHeight="1">
      <c r="A61" s="206" t="s">
        <v>216</v>
      </c>
      <c r="B61" s="206" t="s">
        <v>215</v>
      </c>
      <c r="C61" s="206" t="s">
        <v>189</v>
      </c>
      <c r="D61" s="194"/>
    </row>
    <row r="62" spans="1:4" ht="12.75" customHeight="1">
      <c r="A62" s="206" t="s">
        <v>325</v>
      </c>
      <c r="B62" s="206" t="s">
        <v>335</v>
      </c>
      <c r="C62" s="206" t="s">
        <v>336</v>
      </c>
      <c r="D62" s="194"/>
    </row>
    <row r="63" spans="1:4" ht="12.75" customHeight="1">
      <c r="A63" s="208"/>
      <c r="B63" s="208"/>
      <c r="C63" s="208"/>
      <c r="D63" s="194"/>
    </row>
    <row r="64" spans="1:4" ht="12.75" customHeight="1">
      <c r="A64" s="209" t="s">
        <v>217</v>
      </c>
      <c r="B64" s="208"/>
      <c r="C64" s="208"/>
      <c r="D64" s="194"/>
    </row>
    <row r="65" spans="1:4" ht="12.75" customHeight="1">
      <c r="A65" s="194"/>
      <c r="B65" s="194"/>
      <c r="C65" s="194"/>
      <c r="D65" s="194"/>
    </row>
    <row r="66" spans="1:4" ht="12.75" customHeight="1">
      <c r="A66" s="194"/>
      <c r="B66" s="194"/>
      <c r="C66" s="194"/>
      <c r="D66" s="194"/>
    </row>
    <row r="67" spans="1:4" ht="12.75" customHeight="1">
      <c r="A67" s="194"/>
      <c r="B67" s="194"/>
      <c r="C67" s="194"/>
      <c r="D67" s="194"/>
    </row>
    <row r="68" spans="1:4" ht="12.75" customHeight="1">
      <c r="A68" s="194"/>
      <c r="B68" s="194"/>
      <c r="C68" s="194"/>
      <c r="D68" s="194"/>
    </row>
    <row r="69" spans="1:4" ht="12.75" customHeight="1">
      <c r="A69" s="194"/>
      <c r="B69" s="194"/>
      <c r="C69" s="194"/>
      <c r="D69" s="194"/>
    </row>
    <row r="70" spans="1:4" ht="12.75" customHeight="1">
      <c r="A70" s="194"/>
      <c r="B70" s="194"/>
      <c r="C70" s="194"/>
      <c r="D70" s="194"/>
    </row>
    <row r="71" spans="1:4" ht="12.75" customHeight="1">
      <c r="A71" s="194"/>
      <c r="B71" s="194"/>
      <c r="C71" s="194"/>
      <c r="D71" s="194"/>
    </row>
    <row r="72" spans="1:4" ht="12.75" customHeight="1">
      <c r="A72" s="194"/>
      <c r="B72" s="194"/>
      <c r="C72" s="194"/>
      <c r="D72" s="194"/>
    </row>
    <row r="73" spans="1:4" ht="12.75" customHeight="1">
      <c r="A73" s="194"/>
      <c r="B73" s="194"/>
      <c r="C73" s="194"/>
      <c r="D73" s="194"/>
    </row>
    <row r="74" spans="1:4" ht="12.75" customHeight="1">
      <c r="A74" s="194"/>
      <c r="B74" s="194"/>
      <c r="C74" s="194"/>
      <c r="D74" s="194"/>
    </row>
    <row r="75" spans="1:4" ht="12.75" customHeight="1">
      <c r="A75" s="194"/>
      <c r="B75" s="194"/>
      <c r="C75" s="194"/>
      <c r="D75" s="194"/>
    </row>
    <row r="76" spans="1:4" ht="12.75" customHeight="1">
      <c r="A76" s="194"/>
      <c r="B76" s="194"/>
      <c r="C76" s="194"/>
      <c r="D76" s="194"/>
    </row>
    <row r="77" spans="1:4" ht="12.75" customHeight="1">
      <c r="A77" s="194"/>
      <c r="B77" s="194"/>
      <c r="C77" s="194"/>
      <c r="D77" s="194"/>
    </row>
    <row r="78" spans="1:4" ht="12.75" customHeight="1">
      <c r="A78" s="194"/>
      <c r="B78" s="194"/>
      <c r="C78" s="194"/>
      <c r="D78" s="194"/>
    </row>
    <row r="79" spans="1:4" ht="12.75" customHeight="1">
      <c r="A79" s="194"/>
      <c r="B79" s="194"/>
      <c r="C79" s="194"/>
      <c r="D79" s="194"/>
    </row>
    <row r="80" spans="1:4" ht="12.75" customHeight="1">
      <c r="A80" s="194"/>
      <c r="B80" s="194"/>
      <c r="C80" s="194"/>
      <c r="D80" s="194"/>
    </row>
    <row r="81" spans="1:4" ht="12.75" customHeight="1">
      <c r="A81" s="194"/>
      <c r="B81" s="194"/>
      <c r="C81" s="194"/>
      <c r="D81" s="194"/>
    </row>
    <row r="82" spans="1:4" ht="12.75" customHeight="1">
      <c r="A82" s="194"/>
      <c r="B82" s="194"/>
      <c r="C82" s="194"/>
      <c r="D82" s="194"/>
    </row>
    <row r="83" spans="1:4" ht="12.75" customHeight="1">
      <c r="A83" s="194"/>
      <c r="B83" s="194"/>
      <c r="C83" s="194"/>
      <c r="D83" s="194"/>
    </row>
    <row r="84" spans="1:4" ht="12.75" customHeight="1">
      <c r="A84" s="194"/>
      <c r="B84" s="194"/>
      <c r="C84" s="194"/>
      <c r="D84" s="194"/>
    </row>
    <row r="85" spans="1:4" ht="12.75" customHeight="1">
      <c r="A85" s="194"/>
      <c r="B85" s="194"/>
      <c r="C85" s="194"/>
      <c r="D85" s="194"/>
    </row>
    <row r="86" spans="1:4" ht="12.75" customHeight="1">
      <c r="A86" s="194"/>
      <c r="B86" s="194"/>
      <c r="C86" s="194"/>
      <c r="D86" s="194"/>
    </row>
    <row r="87" spans="1:4" ht="12.75" customHeight="1">
      <c r="A87" s="194"/>
      <c r="B87" s="194"/>
      <c r="C87" s="194"/>
      <c r="D87" s="194"/>
    </row>
    <row r="88" spans="1:4" ht="12.75" customHeight="1">
      <c r="A88" s="194"/>
      <c r="B88" s="194"/>
      <c r="C88" s="194"/>
      <c r="D88" s="194"/>
    </row>
    <row r="89" spans="1:4" ht="12.75" customHeight="1">
      <c r="A89" s="194"/>
      <c r="B89" s="194"/>
      <c r="C89" s="194"/>
      <c r="D89" s="194"/>
    </row>
    <row r="90" spans="1:4" ht="12.75" customHeight="1">
      <c r="A90" s="194"/>
      <c r="B90" s="194"/>
      <c r="C90" s="194"/>
      <c r="D90" s="194"/>
    </row>
    <row r="91" spans="1:4" ht="12.75" customHeight="1">
      <c r="A91" s="194"/>
      <c r="B91" s="194"/>
      <c r="C91" s="194"/>
      <c r="D91" s="194"/>
    </row>
    <row r="92" spans="1:4" ht="12.75" customHeight="1">
      <c r="A92" s="194"/>
      <c r="B92" s="194"/>
      <c r="C92" s="194"/>
      <c r="D92" s="194"/>
    </row>
    <row r="93" spans="1:4" ht="12.75" customHeight="1">
      <c r="A93" s="194"/>
      <c r="B93" s="194"/>
      <c r="C93" s="194"/>
      <c r="D93" s="194"/>
    </row>
    <row r="94" spans="1:4" ht="12.75" customHeight="1">
      <c r="A94" s="194"/>
      <c r="B94" s="194"/>
      <c r="C94" s="194"/>
      <c r="D94" s="194"/>
    </row>
    <row r="95" spans="1:4" ht="12.75" customHeight="1">
      <c r="A95" s="194"/>
      <c r="B95" s="194"/>
      <c r="C95" s="194"/>
      <c r="D95" s="194"/>
    </row>
    <row r="96" spans="1:4" ht="12.75" customHeight="1">
      <c r="A96" s="194"/>
      <c r="B96" s="194"/>
      <c r="C96" s="194"/>
      <c r="D96" s="194"/>
    </row>
    <row r="97" spans="1:4" ht="12.75" customHeight="1">
      <c r="A97" s="194"/>
      <c r="B97" s="194"/>
      <c r="C97" s="194"/>
      <c r="D97" s="194"/>
    </row>
    <row r="98" spans="1:4" ht="12.75" customHeight="1">
      <c r="A98" s="194"/>
      <c r="B98" s="194"/>
      <c r="C98" s="194"/>
      <c r="D98" s="194"/>
    </row>
    <row r="99" spans="1:4" ht="12.75" customHeight="1">
      <c r="A99" s="194"/>
      <c r="B99" s="194"/>
      <c r="C99" s="194"/>
      <c r="D99" s="194"/>
    </row>
    <row r="100" spans="1:4" ht="12.75" customHeight="1">
      <c r="A100" s="194"/>
      <c r="B100" s="194"/>
      <c r="C100" s="194"/>
      <c r="D100" s="194"/>
    </row>
    <row r="101" spans="1:4" ht="12.75" customHeight="1">
      <c r="A101" s="194"/>
      <c r="B101" s="194"/>
      <c r="C101" s="194"/>
      <c r="D101" s="194"/>
    </row>
    <row r="102" spans="1:4" ht="12.75" customHeight="1">
      <c r="A102" s="194"/>
      <c r="B102" s="194"/>
      <c r="C102" s="194"/>
      <c r="D102" s="194"/>
    </row>
    <row r="103" spans="1:4" ht="12.75" customHeight="1">
      <c r="A103" s="194"/>
      <c r="B103" s="194"/>
      <c r="C103" s="194"/>
      <c r="D103" s="194"/>
    </row>
    <row r="104" spans="1:4" ht="12.75" customHeight="1">
      <c r="A104" s="194"/>
      <c r="B104" s="194"/>
      <c r="C104" s="194"/>
      <c r="D104" s="194"/>
    </row>
    <row r="105" spans="1:4" ht="12.75" customHeight="1">
      <c r="A105" s="194"/>
      <c r="B105" s="194"/>
      <c r="C105" s="194"/>
      <c r="D105" s="194"/>
    </row>
    <row r="106" spans="1:4" ht="12.75" customHeight="1">
      <c r="A106" s="194"/>
      <c r="B106" s="194"/>
      <c r="C106" s="194"/>
      <c r="D106" s="194"/>
    </row>
    <row r="107" spans="1:4" ht="12.75" customHeight="1">
      <c r="A107" s="194"/>
      <c r="B107" s="194"/>
      <c r="C107" s="194"/>
      <c r="D107" s="194"/>
    </row>
    <row r="108" spans="1:4" ht="12.75" customHeight="1">
      <c r="A108" s="194"/>
      <c r="B108" s="194"/>
      <c r="C108" s="194"/>
      <c r="D108" s="194"/>
    </row>
    <row r="109" spans="1:4" ht="12.75" customHeight="1">
      <c r="A109" s="194"/>
      <c r="B109" s="194"/>
      <c r="C109" s="194"/>
      <c r="D109" s="194"/>
    </row>
    <row r="110" spans="1:4" ht="12.75" customHeight="1">
      <c r="A110" s="194"/>
      <c r="B110" s="194"/>
      <c r="C110" s="194"/>
      <c r="D110" s="194"/>
    </row>
    <row r="111" spans="1:4" ht="12.75" customHeight="1">
      <c r="A111" s="194"/>
      <c r="B111" s="194"/>
      <c r="C111" s="194"/>
      <c r="D111" s="194"/>
    </row>
    <row r="112" spans="1:4" ht="12.75" customHeight="1">
      <c r="A112" s="194"/>
      <c r="B112" s="194"/>
      <c r="C112" s="194"/>
      <c r="D112" s="194"/>
    </row>
    <row r="113" spans="1:4" ht="12.75" customHeight="1">
      <c r="A113" s="194"/>
      <c r="B113" s="194"/>
      <c r="C113" s="194"/>
      <c r="D113" s="194"/>
    </row>
    <row r="114" spans="1:4" ht="12.75" customHeight="1">
      <c r="A114" s="194"/>
      <c r="B114" s="194"/>
      <c r="C114" s="194"/>
      <c r="D114" s="194"/>
    </row>
    <row r="115" spans="1:4" ht="12.75" customHeight="1">
      <c r="A115" s="194"/>
      <c r="B115" s="194"/>
      <c r="C115" s="194"/>
      <c r="D115" s="194"/>
    </row>
    <row r="116" spans="1:4" ht="12.75" customHeight="1">
      <c r="A116" s="194"/>
      <c r="B116" s="194"/>
      <c r="C116" s="194"/>
      <c r="D116" s="194"/>
    </row>
    <row r="117" spans="1:4" ht="12.75" customHeight="1">
      <c r="A117" s="194"/>
      <c r="B117" s="194"/>
      <c r="C117" s="194"/>
      <c r="D117" s="194"/>
    </row>
    <row r="118" spans="1:4" ht="12.75" customHeight="1">
      <c r="A118" s="194"/>
      <c r="B118" s="194"/>
      <c r="C118" s="194"/>
      <c r="D118" s="194"/>
    </row>
    <row r="119" spans="1:4" ht="12.75" customHeight="1">
      <c r="A119" s="194"/>
      <c r="B119" s="194"/>
      <c r="C119" s="194"/>
      <c r="D119" s="194"/>
    </row>
    <row r="120" spans="1:4" ht="12.75" customHeight="1">
      <c r="A120" s="194"/>
      <c r="B120" s="194"/>
      <c r="C120" s="194"/>
      <c r="D120" s="194"/>
    </row>
    <row r="121" spans="1:4" ht="12.75" customHeight="1">
      <c r="A121" s="194"/>
      <c r="B121" s="194"/>
      <c r="C121" s="194"/>
      <c r="D121" s="194"/>
    </row>
    <row r="122" spans="1:4" ht="12.75" customHeight="1">
      <c r="A122" s="194"/>
      <c r="B122" s="194"/>
      <c r="C122" s="194"/>
      <c r="D122" s="194"/>
    </row>
    <row r="123" spans="1:4" ht="12.75" customHeight="1">
      <c r="A123" s="194"/>
      <c r="B123" s="194"/>
      <c r="C123" s="194"/>
      <c r="D123" s="194"/>
    </row>
    <row r="124" spans="1:4" ht="12.75" customHeight="1">
      <c r="A124" s="194"/>
      <c r="B124" s="194"/>
      <c r="C124" s="194"/>
      <c r="D124" s="194"/>
    </row>
    <row r="125" spans="1:4" ht="12.75" customHeight="1">
      <c r="A125" s="194"/>
      <c r="B125" s="194"/>
      <c r="C125" s="194"/>
      <c r="D125" s="194"/>
    </row>
    <row r="126" spans="1:4" ht="12.75" customHeight="1">
      <c r="A126" s="194"/>
      <c r="B126" s="194"/>
      <c r="C126" s="194"/>
      <c r="D126" s="194"/>
    </row>
    <row r="127" spans="1:4" ht="12.75" customHeight="1">
      <c r="A127" s="194"/>
      <c r="B127" s="194"/>
      <c r="C127" s="194"/>
      <c r="D127" s="194"/>
    </row>
    <row r="128" spans="1:4" ht="12.75" customHeight="1">
      <c r="A128" s="194"/>
      <c r="B128" s="194"/>
      <c r="C128" s="194"/>
      <c r="D128" s="194"/>
    </row>
    <row r="129" spans="1:4" ht="12.75" customHeight="1">
      <c r="A129" s="194"/>
      <c r="B129" s="194"/>
      <c r="C129" s="194"/>
      <c r="D129" s="194"/>
    </row>
    <row r="130" spans="1:4" ht="12.75" customHeight="1">
      <c r="A130" s="194"/>
      <c r="B130" s="194"/>
      <c r="C130" s="194"/>
      <c r="D130" s="194"/>
    </row>
    <row r="131" spans="1:4" ht="12.75" customHeight="1">
      <c r="A131" s="194"/>
      <c r="B131" s="194"/>
      <c r="C131" s="194"/>
      <c r="D131" s="194"/>
    </row>
    <row r="132" spans="1:4" ht="12.75" customHeight="1">
      <c r="A132" s="194"/>
      <c r="B132" s="194"/>
      <c r="C132" s="194"/>
      <c r="D132" s="194"/>
    </row>
    <row r="133" spans="1:4" ht="12.75" customHeight="1">
      <c r="A133" s="194"/>
      <c r="B133" s="194"/>
      <c r="C133" s="194"/>
      <c r="D133" s="194"/>
    </row>
    <row r="134" spans="1:4" ht="12.75" customHeight="1">
      <c r="A134" s="194"/>
      <c r="B134" s="194"/>
      <c r="C134" s="194"/>
      <c r="D134" s="194"/>
    </row>
    <row r="135" spans="1:4" ht="12.75" customHeight="1">
      <c r="A135" s="194"/>
      <c r="B135" s="194"/>
      <c r="C135" s="194"/>
      <c r="D135" s="194"/>
    </row>
    <row r="136" spans="1:4" ht="12.75" customHeight="1">
      <c r="A136" s="194"/>
      <c r="B136" s="194"/>
      <c r="C136" s="194"/>
      <c r="D136" s="194"/>
    </row>
    <row r="137" spans="1:4" ht="12.75" customHeight="1">
      <c r="A137" s="194"/>
      <c r="B137" s="194"/>
      <c r="C137" s="194"/>
      <c r="D137" s="194"/>
    </row>
    <row r="138" spans="1:4" ht="12.75" customHeight="1">
      <c r="A138" s="194"/>
      <c r="B138" s="194"/>
      <c r="C138" s="194"/>
      <c r="D138" s="194"/>
    </row>
    <row r="139" spans="1:4" ht="12.75" customHeight="1">
      <c r="A139" s="194"/>
      <c r="B139" s="194"/>
      <c r="C139" s="194"/>
      <c r="D139" s="194"/>
    </row>
    <row r="140" spans="1:4" ht="12.75" customHeight="1">
      <c r="A140" s="194"/>
      <c r="B140" s="194"/>
      <c r="C140" s="194"/>
      <c r="D140" s="194"/>
    </row>
    <row r="141" spans="1:4" ht="12.75" customHeight="1">
      <c r="A141" s="194"/>
      <c r="B141" s="194"/>
      <c r="C141" s="194"/>
      <c r="D141" s="194"/>
    </row>
    <row r="142" spans="1:4" ht="12.75" customHeight="1">
      <c r="A142" s="194"/>
      <c r="B142" s="194"/>
      <c r="C142" s="194"/>
      <c r="D142" s="194"/>
    </row>
    <row r="143" spans="1:4" ht="12.75" customHeight="1">
      <c r="A143" s="194"/>
      <c r="B143" s="194"/>
      <c r="C143" s="194"/>
      <c r="D143" s="194"/>
    </row>
    <row r="144" spans="1:4" ht="12.75" customHeight="1">
      <c r="A144" s="194"/>
      <c r="B144" s="194"/>
      <c r="C144" s="194"/>
      <c r="D144" s="194"/>
    </row>
    <row r="145" spans="1:4" ht="12.75" customHeight="1">
      <c r="A145" s="194"/>
      <c r="B145" s="194"/>
      <c r="C145" s="194"/>
      <c r="D145" s="194"/>
    </row>
    <row r="146" spans="1:4" ht="12.75" customHeight="1">
      <c r="A146" s="194"/>
      <c r="B146" s="194"/>
      <c r="C146" s="194"/>
      <c r="D146" s="194"/>
    </row>
    <row r="147" spans="1:4" ht="12.75" customHeight="1">
      <c r="A147" s="194"/>
      <c r="B147" s="194"/>
      <c r="C147" s="194"/>
      <c r="D147" s="194"/>
    </row>
    <row r="148" spans="1:4" ht="12.75" customHeight="1">
      <c r="A148" s="194"/>
      <c r="B148" s="194"/>
      <c r="C148" s="194"/>
      <c r="D148" s="194"/>
    </row>
    <row r="149" spans="1:4" ht="12.75" customHeight="1">
      <c r="A149" s="194"/>
      <c r="B149" s="194"/>
      <c r="C149" s="194"/>
      <c r="D149" s="194"/>
    </row>
    <row r="150" spans="1:4" ht="12.75" customHeight="1">
      <c r="A150" s="194"/>
      <c r="B150" s="194"/>
      <c r="C150" s="194"/>
      <c r="D150" s="194"/>
    </row>
    <row r="151" spans="1:4" ht="12.75" customHeight="1">
      <c r="A151" s="194"/>
      <c r="B151" s="194"/>
      <c r="C151" s="194"/>
      <c r="D151" s="194"/>
    </row>
    <row r="152" spans="1:4" ht="12.75" customHeight="1">
      <c r="A152" s="194"/>
      <c r="B152" s="194"/>
      <c r="C152" s="194"/>
      <c r="D152" s="194"/>
    </row>
    <row r="153" spans="1:4" ht="12.75" customHeight="1">
      <c r="A153" s="194"/>
      <c r="B153" s="194"/>
      <c r="C153" s="194"/>
      <c r="D153" s="194"/>
    </row>
    <row r="154" spans="1:4" ht="12.75" customHeight="1">
      <c r="A154" s="194"/>
      <c r="B154" s="194"/>
      <c r="C154" s="194"/>
      <c r="D154" s="194"/>
    </row>
    <row r="155" spans="1:4" ht="12.75" customHeight="1">
      <c r="A155" s="194"/>
      <c r="B155" s="194"/>
      <c r="C155" s="194"/>
      <c r="D155" s="194"/>
    </row>
    <row r="156" spans="1:4" ht="12.75" customHeight="1">
      <c r="A156" s="194"/>
      <c r="B156" s="194"/>
      <c r="C156" s="194"/>
      <c r="D156" s="194"/>
    </row>
    <row r="157" spans="1:4" ht="12.75" customHeight="1">
      <c r="A157" s="194"/>
      <c r="B157" s="194"/>
      <c r="C157" s="194"/>
      <c r="D157" s="194"/>
    </row>
    <row r="158" spans="1:4" ht="12.75" customHeight="1">
      <c r="A158" s="194"/>
      <c r="B158" s="194"/>
      <c r="C158" s="194"/>
      <c r="D158" s="194"/>
    </row>
    <row r="159" spans="1:4" ht="12.75" customHeight="1">
      <c r="A159" s="194"/>
      <c r="B159" s="194"/>
      <c r="C159" s="194"/>
      <c r="D159" s="194"/>
    </row>
    <row r="160" spans="1:4" ht="12.75" customHeight="1">
      <c r="A160" s="194"/>
      <c r="B160" s="194"/>
      <c r="C160" s="194"/>
      <c r="D160" s="194"/>
    </row>
    <row r="161" spans="1:4" ht="12.75" customHeight="1">
      <c r="A161" s="194"/>
      <c r="B161" s="194"/>
      <c r="C161" s="194"/>
      <c r="D161" s="194"/>
    </row>
    <row r="162" spans="1:4" ht="12.75" customHeight="1">
      <c r="A162" s="194"/>
      <c r="B162" s="194"/>
      <c r="C162" s="194"/>
      <c r="D162" s="194"/>
    </row>
    <row r="163" spans="1:4" ht="12.75" customHeight="1">
      <c r="A163" s="194"/>
      <c r="B163" s="194"/>
      <c r="C163" s="194"/>
      <c r="D163" s="194"/>
    </row>
    <row r="164" spans="1:4" ht="12.75" customHeight="1">
      <c r="A164" s="194"/>
      <c r="B164" s="194"/>
      <c r="C164" s="194"/>
      <c r="D164" s="194"/>
    </row>
    <row r="165" spans="1:4" ht="12.75" customHeight="1">
      <c r="A165" s="194"/>
      <c r="B165" s="194"/>
      <c r="C165" s="194"/>
      <c r="D165" s="194"/>
    </row>
    <row r="166" spans="1:4" ht="12.75" customHeight="1">
      <c r="A166" s="194"/>
      <c r="B166" s="194"/>
      <c r="C166" s="194"/>
      <c r="D166" s="194"/>
    </row>
    <row r="167" spans="1:4" ht="12.75" customHeight="1">
      <c r="A167" s="194"/>
      <c r="B167" s="194"/>
      <c r="C167" s="194"/>
      <c r="D167" s="194"/>
    </row>
    <row r="168" spans="1:4" ht="12.75" customHeight="1">
      <c r="A168" s="194"/>
      <c r="B168" s="194"/>
      <c r="C168" s="194"/>
      <c r="D168" s="194"/>
    </row>
    <row r="169" spans="1:4" ht="12.75" customHeight="1">
      <c r="A169" s="194"/>
      <c r="B169" s="194"/>
      <c r="C169" s="194"/>
      <c r="D169" s="194"/>
    </row>
    <row r="170" spans="1:4" ht="12.75" customHeight="1">
      <c r="A170" s="194"/>
      <c r="B170" s="194"/>
      <c r="C170" s="194"/>
      <c r="D170" s="194"/>
    </row>
    <row r="171" spans="1:4" ht="12.75" customHeight="1">
      <c r="A171" s="194"/>
      <c r="B171" s="194"/>
      <c r="C171" s="194"/>
      <c r="D171" s="194"/>
    </row>
    <row r="172" spans="1:4" ht="12.75" customHeight="1">
      <c r="A172" s="194"/>
      <c r="B172" s="194"/>
      <c r="C172" s="194"/>
      <c r="D172" s="194"/>
    </row>
    <row r="173" spans="1:4" ht="12.75" customHeight="1">
      <c r="A173" s="194"/>
      <c r="B173" s="194"/>
      <c r="C173" s="194"/>
      <c r="D173" s="194"/>
    </row>
    <row r="174" spans="1:4" ht="12.75" customHeight="1">
      <c r="A174" s="194"/>
      <c r="B174" s="194"/>
      <c r="C174" s="194"/>
      <c r="D174" s="194"/>
    </row>
    <row r="175" spans="1:4" ht="12.75" customHeight="1">
      <c r="A175" s="194"/>
      <c r="B175" s="194"/>
      <c r="C175" s="194"/>
      <c r="D175" s="194"/>
    </row>
    <row r="176" spans="1:4" ht="12.75" customHeight="1">
      <c r="A176" s="194"/>
      <c r="B176" s="194"/>
      <c r="C176" s="194"/>
      <c r="D176" s="194"/>
    </row>
    <row r="177" spans="1:4" ht="12.75" customHeight="1">
      <c r="A177" s="194"/>
      <c r="B177" s="194"/>
      <c r="C177" s="194"/>
      <c r="D177" s="194"/>
    </row>
    <row r="178" spans="1:4" ht="12.75" customHeight="1">
      <c r="A178" s="194"/>
      <c r="B178" s="194"/>
      <c r="C178" s="194"/>
      <c r="D178" s="194"/>
    </row>
    <row r="179" spans="1:4" ht="12.75" customHeight="1">
      <c r="A179" s="194"/>
      <c r="B179" s="194"/>
      <c r="C179" s="194"/>
      <c r="D179" s="194"/>
    </row>
    <row r="180" spans="1:4" ht="12.75" customHeight="1">
      <c r="A180" s="194"/>
      <c r="B180" s="194"/>
      <c r="C180" s="194"/>
      <c r="D180" s="194"/>
    </row>
    <row r="181" spans="1:4" ht="12.75" customHeight="1">
      <c r="A181" s="194"/>
      <c r="B181" s="194"/>
      <c r="C181" s="194"/>
      <c r="D181" s="194"/>
    </row>
    <row r="182" spans="1:4" ht="12.75" customHeight="1">
      <c r="A182" s="194"/>
      <c r="B182" s="194"/>
      <c r="C182" s="194"/>
      <c r="D182" s="194"/>
    </row>
    <row r="183" spans="1:4" ht="12.75" customHeight="1">
      <c r="A183" s="194"/>
      <c r="B183" s="194"/>
      <c r="C183" s="194"/>
      <c r="D183" s="194"/>
    </row>
    <row r="184" spans="1:4" ht="12.75" customHeight="1">
      <c r="A184" s="194"/>
      <c r="B184" s="194"/>
      <c r="C184" s="194"/>
      <c r="D184" s="194"/>
    </row>
    <row r="185" spans="1:4" ht="12.75" customHeight="1">
      <c r="A185" s="194"/>
      <c r="B185" s="194"/>
      <c r="C185" s="194"/>
      <c r="D185" s="194"/>
    </row>
    <row r="186" spans="1:4" ht="12.75" customHeight="1">
      <c r="A186" s="194"/>
      <c r="B186" s="194"/>
      <c r="C186" s="194"/>
      <c r="D186" s="194"/>
    </row>
    <row r="187" spans="1:4" ht="12.75" customHeight="1">
      <c r="A187" s="194"/>
      <c r="B187" s="194"/>
      <c r="C187" s="194"/>
      <c r="D187" s="194"/>
    </row>
    <row r="188" spans="1:4" ht="12.75" customHeight="1">
      <c r="A188" s="194"/>
      <c r="B188" s="194"/>
      <c r="C188" s="194"/>
      <c r="D188" s="194"/>
    </row>
    <row r="189" spans="1:4" ht="12.75" customHeight="1">
      <c r="A189" s="194"/>
      <c r="B189" s="194"/>
      <c r="C189" s="194"/>
      <c r="D189" s="194"/>
    </row>
    <row r="190" spans="1:4" ht="12.75" customHeight="1">
      <c r="A190" s="194"/>
      <c r="B190" s="194"/>
      <c r="C190" s="194"/>
      <c r="D190" s="194"/>
    </row>
    <row r="191" spans="1:4" ht="12.75" customHeight="1">
      <c r="A191" s="194"/>
      <c r="B191" s="194"/>
      <c r="C191" s="194"/>
      <c r="D191" s="194"/>
    </row>
    <row r="192" spans="1:4" ht="12.75" customHeight="1">
      <c r="A192" s="194"/>
      <c r="B192" s="194"/>
      <c r="C192" s="194"/>
      <c r="D192" s="194"/>
    </row>
    <row r="193" spans="1:4" ht="12.75" customHeight="1">
      <c r="A193" s="194"/>
      <c r="B193" s="194"/>
      <c r="C193" s="194"/>
      <c r="D193" s="194"/>
    </row>
    <row r="194" spans="1:4" ht="12.75" customHeight="1">
      <c r="A194" s="194"/>
      <c r="B194" s="194"/>
      <c r="C194" s="194"/>
      <c r="D194" s="194"/>
    </row>
    <row r="195" spans="1:4" ht="12.75" customHeight="1">
      <c r="A195" s="194"/>
      <c r="B195" s="194"/>
      <c r="C195" s="194"/>
      <c r="D195" s="194"/>
    </row>
    <row r="196" spans="1:4" ht="12.75" customHeight="1">
      <c r="A196" s="194"/>
      <c r="B196" s="194"/>
      <c r="C196" s="194"/>
      <c r="D196" s="194"/>
    </row>
    <row r="197" spans="1:4" ht="12.75" customHeight="1">
      <c r="A197" s="194"/>
      <c r="B197" s="194"/>
      <c r="C197" s="194"/>
      <c r="D197" s="194"/>
    </row>
    <row r="198" spans="1:4" ht="12.75" customHeight="1">
      <c r="A198" s="194"/>
      <c r="B198" s="194"/>
      <c r="C198" s="194"/>
      <c r="D198" s="194"/>
    </row>
    <row r="199" spans="1:4" ht="12.75" customHeight="1">
      <c r="A199" s="194"/>
      <c r="B199" s="194"/>
      <c r="C199" s="194"/>
      <c r="D199" s="194"/>
    </row>
    <row r="200" spans="1:4" ht="12.75" customHeight="1">
      <c r="A200" s="194"/>
      <c r="B200" s="194"/>
      <c r="C200" s="194"/>
      <c r="D200" s="194"/>
    </row>
    <row r="201" spans="1:4" ht="12.75" customHeight="1">
      <c r="A201" s="194"/>
      <c r="B201" s="194"/>
      <c r="C201" s="194"/>
      <c r="D201" s="194"/>
    </row>
    <row r="202" spans="1:4" ht="12.75" customHeight="1">
      <c r="A202" s="194"/>
      <c r="B202" s="194"/>
      <c r="C202" s="194"/>
      <c r="D202" s="194"/>
    </row>
    <row r="203" spans="1:4" ht="12.75" customHeight="1">
      <c r="A203" s="194"/>
      <c r="B203" s="194"/>
      <c r="C203" s="194"/>
      <c r="D203" s="194"/>
    </row>
    <row r="204" spans="1:4" ht="12.75" customHeight="1">
      <c r="A204" s="194"/>
      <c r="B204" s="194"/>
      <c r="C204" s="194"/>
      <c r="D204" s="194"/>
    </row>
    <row r="205" spans="1:4" ht="12.75" customHeight="1">
      <c r="A205" s="194"/>
      <c r="B205" s="194"/>
      <c r="C205" s="194"/>
      <c r="D205" s="194"/>
    </row>
    <row r="206" spans="1:4" ht="12.75" customHeight="1">
      <c r="A206" s="194"/>
      <c r="B206" s="194"/>
      <c r="C206" s="194"/>
      <c r="D206" s="194"/>
    </row>
    <row r="207" spans="1:4" ht="12.75" customHeight="1">
      <c r="A207" s="194"/>
      <c r="B207" s="194"/>
      <c r="C207" s="194"/>
      <c r="D207" s="194"/>
    </row>
    <row r="208" spans="1:4" ht="12.75" customHeight="1">
      <c r="A208" s="194"/>
      <c r="B208" s="194"/>
      <c r="C208" s="194"/>
      <c r="D208" s="194"/>
    </row>
    <row r="209" spans="1:4" ht="12.75" customHeight="1">
      <c r="A209" s="194"/>
      <c r="B209" s="194"/>
      <c r="C209" s="194"/>
      <c r="D209" s="194"/>
    </row>
    <row r="210" spans="1:4" ht="12.75" customHeight="1">
      <c r="A210" s="194"/>
      <c r="B210" s="194"/>
      <c r="C210" s="194"/>
      <c r="D210" s="194"/>
    </row>
    <row r="211" spans="1:4" ht="12.75" customHeight="1">
      <c r="A211" s="194"/>
      <c r="B211" s="194"/>
      <c r="C211" s="194"/>
      <c r="D211" s="194"/>
    </row>
    <row r="212" spans="1:4" ht="12.75" customHeight="1">
      <c r="A212" s="194"/>
      <c r="B212" s="194"/>
      <c r="C212" s="194"/>
      <c r="D212" s="194"/>
    </row>
    <row r="213" spans="1:4" ht="12.75" customHeight="1">
      <c r="A213" s="194"/>
      <c r="B213" s="194"/>
      <c r="C213" s="194"/>
      <c r="D213" s="194"/>
    </row>
    <row r="214" spans="1:4" ht="12.75" customHeight="1">
      <c r="A214" s="194"/>
      <c r="B214" s="194"/>
      <c r="C214" s="194"/>
      <c r="D214" s="194"/>
    </row>
    <row r="215" spans="1:4" ht="12.75" customHeight="1">
      <c r="A215" s="194"/>
      <c r="B215" s="194"/>
      <c r="C215" s="194"/>
      <c r="D215" s="194"/>
    </row>
    <row r="216" spans="1:4" ht="12.75" customHeight="1">
      <c r="A216" s="194"/>
      <c r="B216" s="194"/>
      <c r="C216" s="194"/>
      <c r="D216" s="194"/>
    </row>
    <row r="217" spans="1:4" ht="12.75" customHeight="1">
      <c r="A217" s="194"/>
      <c r="B217" s="194"/>
      <c r="C217" s="194"/>
      <c r="D217" s="194"/>
    </row>
    <row r="218" spans="1:4" ht="12.75" customHeight="1">
      <c r="A218" s="194"/>
      <c r="B218" s="194"/>
      <c r="C218" s="194"/>
      <c r="D218" s="194"/>
    </row>
    <row r="219" spans="1:4" ht="12.75" customHeight="1">
      <c r="A219" s="194"/>
      <c r="B219" s="194"/>
      <c r="C219" s="194"/>
      <c r="D219" s="194"/>
    </row>
    <row r="220" spans="1:4" ht="12.75" customHeight="1">
      <c r="A220" s="194"/>
      <c r="B220" s="194"/>
      <c r="C220" s="194"/>
      <c r="D220" s="194"/>
    </row>
    <row r="221" spans="1:4" ht="12.75" customHeight="1">
      <c r="A221" s="194"/>
      <c r="B221" s="194"/>
      <c r="C221" s="194"/>
      <c r="D221" s="194"/>
    </row>
    <row r="222" spans="1:4" ht="12.75" customHeight="1">
      <c r="A222" s="194"/>
      <c r="B222" s="194"/>
      <c r="C222" s="194"/>
      <c r="D222" s="194"/>
    </row>
    <row r="223" spans="1:4" ht="12.75" customHeight="1">
      <c r="A223" s="194"/>
      <c r="B223" s="194"/>
      <c r="C223" s="194"/>
      <c r="D223" s="194"/>
    </row>
    <row r="224" spans="1:4" ht="12.75" customHeight="1">
      <c r="A224" s="194"/>
      <c r="B224" s="194"/>
      <c r="C224" s="194"/>
      <c r="D224" s="194"/>
    </row>
    <row r="225" spans="1:4" ht="12.75" customHeight="1">
      <c r="A225" s="194"/>
      <c r="B225" s="194"/>
      <c r="C225" s="194"/>
      <c r="D225" s="194"/>
    </row>
    <row r="226" spans="1:4" ht="12.75" customHeight="1">
      <c r="A226" s="194"/>
      <c r="B226" s="194"/>
      <c r="C226" s="194"/>
      <c r="D226" s="194"/>
    </row>
    <row r="227" spans="1:4" ht="12.75" customHeight="1">
      <c r="A227" s="194"/>
      <c r="B227" s="194"/>
      <c r="C227" s="194"/>
      <c r="D227" s="194"/>
    </row>
    <row r="228" spans="1:4" ht="12.75" customHeight="1">
      <c r="A228" s="194"/>
      <c r="B228" s="194"/>
      <c r="C228" s="194"/>
      <c r="D228" s="194"/>
    </row>
    <row r="229" spans="1:4" ht="12.75" customHeight="1">
      <c r="A229" s="194"/>
      <c r="B229" s="194"/>
      <c r="C229" s="194"/>
      <c r="D229" s="194"/>
    </row>
    <row r="230" spans="1:4" ht="12.75" customHeight="1">
      <c r="A230" s="194"/>
      <c r="B230" s="194"/>
      <c r="C230" s="194"/>
      <c r="D230" s="194"/>
    </row>
    <row r="231" spans="1:4" ht="12.75" customHeight="1">
      <c r="A231" s="194"/>
      <c r="B231" s="194"/>
      <c r="C231" s="194"/>
      <c r="D231" s="194"/>
    </row>
    <row r="232" spans="1:4" ht="12.75" customHeight="1">
      <c r="A232" s="194"/>
      <c r="B232" s="194"/>
      <c r="C232" s="194"/>
      <c r="D232" s="194"/>
    </row>
    <row r="233" spans="1:4" ht="12.75" customHeight="1">
      <c r="A233" s="194"/>
      <c r="B233" s="194"/>
      <c r="C233" s="194"/>
      <c r="D233" s="194"/>
    </row>
    <row r="234" spans="1:4" ht="12.75" customHeight="1">
      <c r="A234" s="194"/>
      <c r="B234" s="194"/>
      <c r="C234" s="194"/>
      <c r="D234" s="194"/>
    </row>
    <row r="235" spans="1:4" ht="12.75" customHeight="1">
      <c r="A235" s="194"/>
      <c r="B235" s="194"/>
      <c r="C235" s="194"/>
      <c r="D235" s="194"/>
    </row>
    <row r="236" spans="1:4" ht="12.75" customHeight="1">
      <c r="A236" s="194"/>
      <c r="B236" s="194"/>
      <c r="C236" s="194"/>
      <c r="D236" s="194"/>
    </row>
    <row r="237" spans="1:4" ht="12.75" customHeight="1">
      <c r="A237" s="194"/>
      <c r="B237" s="194"/>
      <c r="C237" s="194"/>
      <c r="D237" s="194"/>
    </row>
    <row r="238" spans="1:4" ht="12.75" customHeight="1">
      <c r="A238" s="194"/>
      <c r="B238" s="194"/>
      <c r="C238" s="194"/>
      <c r="D238" s="194"/>
    </row>
    <row r="239" spans="1:4" ht="12.75" customHeight="1">
      <c r="A239" s="194"/>
      <c r="B239" s="194"/>
      <c r="C239" s="194"/>
      <c r="D239" s="194"/>
    </row>
    <row r="240" spans="1:4" ht="12.75" customHeight="1">
      <c r="A240" s="194"/>
      <c r="B240" s="194"/>
      <c r="C240" s="194"/>
      <c r="D240" s="194"/>
    </row>
    <row r="241" spans="1:4" ht="12.75" customHeight="1">
      <c r="A241" s="194"/>
      <c r="B241" s="194"/>
      <c r="C241" s="194"/>
      <c r="D241" s="194"/>
    </row>
    <row r="242" spans="1:4" ht="12.75" customHeight="1">
      <c r="A242" s="194"/>
      <c r="B242" s="194"/>
      <c r="C242" s="194"/>
      <c r="D242" s="194"/>
    </row>
    <row r="243" spans="1:4" ht="12.75" customHeight="1">
      <c r="A243" s="194"/>
      <c r="B243" s="194"/>
      <c r="C243" s="194"/>
      <c r="D243" s="194"/>
    </row>
    <row r="244" spans="1:4" ht="12.75" customHeight="1">
      <c r="A244" s="194"/>
      <c r="B244" s="194"/>
      <c r="C244" s="194"/>
      <c r="D244" s="194"/>
    </row>
    <row r="245" spans="1:4" ht="12.75" customHeight="1">
      <c r="A245" s="194"/>
      <c r="B245" s="194"/>
      <c r="C245" s="194"/>
      <c r="D245" s="194"/>
    </row>
    <row r="246" spans="1:4" ht="12.75" customHeight="1">
      <c r="A246" s="194"/>
      <c r="B246" s="194"/>
      <c r="C246" s="194"/>
      <c r="D246" s="194"/>
    </row>
    <row r="247" spans="1:4" ht="12.75" customHeight="1">
      <c r="A247" s="194"/>
      <c r="B247" s="194"/>
      <c r="C247" s="194"/>
      <c r="D247" s="194"/>
    </row>
    <row r="248" spans="1:4" ht="12.75" customHeight="1">
      <c r="A248" s="194"/>
      <c r="B248" s="194"/>
      <c r="C248" s="194"/>
      <c r="D248" s="194"/>
    </row>
    <row r="249" spans="1:4" ht="12.75" customHeight="1">
      <c r="A249" s="194"/>
      <c r="B249" s="194"/>
      <c r="C249" s="194"/>
      <c r="D249" s="194"/>
    </row>
    <row r="250" spans="1:4" ht="12.75" customHeight="1">
      <c r="A250" s="194"/>
      <c r="B250" s="194"/>
      <c r="C250" s="194"/>
      <c r="D250" s="194"/>
    </row>
    <row r="251" spans="1:4" ht="12.75" customHeight="1">
      <c r="A251" s="194"/>
      <c r="B251" s="194"/>
      <c r="C251" s="194"/>
      <c r="D251" s="194"/>
    </row>
    <row r="252" spans="1:4" ht="12.75" customHeight="1">
      <c r="A252" s="194"/>
      <c r="B252" s="194"/>
      <c r="C252" s="194"/>
      <c r="D252" s="194"/>
    </row>
    <row r="253" spans="1:4" ht="12.75" customHeight="1">
      <c r="A253" s="194"/>
      <c r="B253" s="194"/>
      <c r="C253" s="194"/>
      <c r="D253" s="194"/>
    </row>
    <row r="254" spans="1:4" ht="12.75" customHeight="1">
      <c r="A254" s="194"/>
      <c r="B254" s="194"/>
      <c r="C254" s="194"/>
      <c r="D254" s="194"/>
    </row>
    <row r="255" spans="1:4" ht="12.75" customHeight="1">
      <c r="A255" s="194"/>
      <c r="B255" s="194"/>
      <c r="C255" s="194"/>
      <c r="D255" s="194"/>
    </row>
    <row r="256" spans="1:4" ht="12.75" customHeight="1">
      <c r="A256" s="194"/>
      <c r="B256" s="194"/>
      <c r="C256" s="194"/>
      <c r="D256" s="194"/>
    </row>
    <row r="257" spans="1:4" ht="12.75" customHeight="1">
      <c r="A257" s="194"/>
      <c r="B257" s="194"/>
      <c r="C257" s="194"/>
      <c r="D257" s="194"/>
    </row>
    <row r="258" spans="1:4" ht="12.75" customHeight="1">
      <c r="A258" s="194"/>
      <c r="B258" s="194"/>
      <c r="C258" s="194"/>
      <c r="D258" s="194"/>
    </row>
    <row r="259" spans="1:4" ht="12.75" customHeight="1">
      <c r="A259" s="194"/>
      <c r="B259" s="194"/>
      <c r="C259" s="194"/>
      <c r="D259" s="194"/>
    </row>
    <row r="260" spans="1:4" ht="12.75" customHeight="1">
      <c r="A260" s="194"/>
      <c r="B260" s="194"/>
      <c r="C260" s="194"/>
      <c r="D260" s="194"/>
    </row>
    <row r="261" spans="1:4" ht="12.75" customHeight="1">
      <c r="A261" s="194"/>
      <c r="B261" s="194"/>
      <c r="C261" s="194"/>
      <c r="D261" s="194"/>
    </row>
    <row r="262" spans="1:4" ht="12.75" customHeight="1">
      <c r="A262" s="194"/>
      <c r="B262" s="194"/>
      <c r="C262" s="194"/>
      <c r="D262" s="194"/>
    </row>
    <row r="263" spans="1:4" ht="12.75" customHeight="1">
      <c r="A263" s="194"/>
      <c r="B263" s="194"/>
      <c r="C263" s="194"/>
      <c r="D263" s="194"/>
    </row>
    <row r="264" spans="1:4" ht="12.75" customHeight="1">
      <c r="A264" s="194"/>
      <c r="B264" s="194"/>
      <c r="C264" s="194"/>
      <c r="D264" s="194"/>
    </row>
    <row r="265" spans="1:4" ht="12.75" customHeight="1">
      <c r="A265" s="194"/>
      <c r="B265" s="194"/>
      <c r="C265" s="194"/>
      <c r="D265" s="194"/>
    </row>
    <row r="266" spans="1:4" ht="12.75" customHeight="1">
      <c r="A266" s="194"/>
      <c r="B266" s="194"/>
      <c r="C266" s="194"/>
      <c r="D266" s="194"/>
    </row>
    <row r="267" spans="1:4" ht="12.75" customHeight="1">
      <c r="A267" s="194"/>
      <c r="B267" s="194"/>
      <c r="C267" s="194"/>
      <c r="D267" s="194"/>
    </row>
    <row r="268" spans="1:4" ht="12.75" customHeight="1">
      <c r="A268" s="194"/>
      <c r="B268" s="194"/>
      <c r="C268" s="194"/>
      <c r="D268" s="194"/>
    </row>
    <row r="269" spans="1:4" ht="12.75" customHeight="1">
      <c r="A269" s="194"/>
      <c r="B269" s="194"/>
      <c r="C269" s="194"/>
      <c r="D269" s="194"/>
    </row>
    <row r="270" spans="1:4" ht="12.75" customHeight="1">
      <c r="A270" s="194"/>
      <c r="B270" s="194"/>
      <c r="C270" s="194"/>
      <c r="D270" s="194"/>
    </row>
    <row r="271" spans="1:4" ht="12.75" customHeight="1">
      <c r="A271" s="194"/>
      <c r="B271" s="194"/>
      <c r="C271" s="194"/>
      <c r="D271" s="194"/>
    </row>
    <row r="272" spans="1:4" ht="12.75" customHeight="1">
      <c r="A272" s="194"/>
      <c r="B272" s="194"/>
      <c r="C272" s="194"/>
      <c r="D272" s="194"/>
    </row>
    <row r="273" spans="1:4" ht="12.75" customHeight="1">
      <c r="A273" s="194"/>
      <c r="B273" s="194"/>
      <c r="C273" s="194"/>
      <c r="D273" s="194"/>
    </row>
    <row r="274" spans="1:4" ht="12.75" customHeight="1">
      <c r="A274" s="194"/>
      <c r="B274" s="194"/>
      <c r="C274" s="194"/>
      <c r="D274" s="194"/>
    </row>
    <row r="275" spans="1:4" ht="12.75" customHeight="1">
      <c r="A275" s="194"/>
      <c r="B275" s="194"/>
      <c r="C275" s="194"/>
      <c r="D275" s="194"/>
    </row>
    <row r="276" spans="1:4" ht="12.75" customHeight="1">
      <c r="A276" s="194"/>
      <c r="B276" s="194"/>
      <c r="C276" s="194"/>
      <c r="D276" s="194"/>
    </row>
    <row r="277" spans="1:4" ht="12.75" customHeight="1">
      <c r="A277" s="194"/>
      <c r="B277" s="194"/>
      <c r="C277" s="194"/>
      <c r="D277" s="194"/>
    </row>
    <row r="278" spans="1:4" ht="12.75" customHeight="1">
      <c r="A278" s="194"/>
      <c r="B278" s="194"/>
      <c r="C278" s="194"/>
      <c r="D278" s="194"/>
    </row>
    <row r="279" spans="1:4" ht="12.75" customHeight="1">
      <c r="A279" s="194"/>
      <c r="B279" s="194"/>
      <c r="C279" s="194"/>
      <c r="D279" s="194"/>
    </row>
    <row r="280" spans="1:4" ht="12.75" customHeight="1">
      <c r="A280" s="194"/>
      <c r="B280" s="194"/>
      <c r="C280" s="194"/>
      <c r="D280" s="194"/>
    </row>
    <row r="281" spans="1:4" ht="12.75" customHeight="1">
      <c r="A281" s="194"/>
      <c r="B281" s="194"/>
      <c r="C281" s="194"/>
      <c r="D281" s="194"/>
    </row>
    <row r="282" spans="1:4" ht="12.75" customHeight="1">
      <c r="A282" s="194"/>
      <c r="B282" s="194"/>
      <c r="C282" s="194"/>
      <c r="D282" s="194"/>
    </row>
    <row r="283" spans="1:4" ht="12.75" customHeight="1">
      <c r="A283" s="194"/>
      <c r="B283" s="194"/>
      <c r="C283" s="194"/>
      <c r="D283" s="194"/>
    </row>
    <row r="284" spans="1:4" ht="12.75" customHeight="1">
      <c r="A284" s="194"/>
      <c r="B284" s="194"/>
      <c r="C284" s="194"/>
      <c r="D284" s="194"/>
    </row>
    <row r="285" spans="1:4" ht="12.75" customHeight="1">
      <c r="A285" s="194"/>
      <c r="B285" s="194"/>
      <c r="C285" s="194"/>
      <c r="D285" s="194"/>
    </row>
    <row r="286" spans="1:4" ht="12.75" customHeight="1">
      <c r="A286" s="194"/>
      <c r="B286" s="194"/>
      <c r="C286" s="194"/>
      <c r="D286" s="194"/>
    </row>
    <row r="287" spans="1:4" ht="12.75" customHeight="1">
      <c r="A287" s="194"/>
      <c r="B287" s="194"/>
      <c r="C287" s="194"/>
      <c r="D287" s="194"/>
    </row>
    <row r="288" spans="1:4" ht="12.75" customHeight="1">
      <c r="A288" s="194"/>
      <c r="B288" s="194"/>
      <c r="C288" s="194"/>
      <c r="D288" s="194"/>
    </row>
    <row r="289" spans="1:4" ht="12.75" customHeight="1">
      <c r="A289" s="194"/>
      <c r="B289" s="194"/>
      <c r="C289" s="194"/>
      <c r="D289" s="194"/>
    </row>
    <row r="290" spans="1:4" ht="12.75" customHeight="1">
      <c r="A290" s="194"/>
      <c r="B290" s="194"/>
      <c r="C290" s="194"/>
      <c r="D290" s="194"/>
    </row>
    <row r="291" spans="1:4" ht="12.75" customHeight="1">
      <c r="A291" s="194"/>
      <c r="B291" s="194"/>
      <c r="C291" s="194"/>
      <c r="D291" s="194"/>
    </row>
    <row r="292" spans="1:4" ht="12.75" customHeight="1">
      <c r="A292" s="194"/>
      <c r="B292" s="194"/>
      <c r="C292" s="194"/>
      <c r="D292" s="194"/>
    </row>
    <row r="293" spans="1:4" ht="12.75" customHeight="1">
      <c r="A293" s="194"/>
      <c r="B293" s="194"/>
      <c r="C293" s="194"/>
      <c r="D293" s="194"/>
    </row>
    <row r="294" spans="1:4" ht="12.75" customHeight="1">
      <c r="A294" s="194"/>
      <c r="B294" s="194"/>
      <c r="C294" s="194"/>
      <c r="D294" s="194"/>
    </row>
    <row r="295" spans="1:4" ht="12.75" customHeight="1">
      <c r="A295" s="194"/>
      <c r="B295" s="194"/>
      <c r="C295" s="194"/>
      <c r="D295" s="194"/>
    </row>
    <row r="296" spans="1:4" ht="12.75" customHeight="1">
      <c r="A296" s="194"/>
      <c r="B296" s="194"/>
      <c r="C296" s="194"/>
      <c r="D296" s="194"/>
    </row>
    <row r="297" spans="1:4" ht="12.75" customHeight="1">
      <c r="A297" s="194"/>
      <c r="B297" s="194"/>
      <c r="C297" s="194"/>
      <c r="D297" s="194"/>
    </row>
    <row r="298" spans="1:4" ht="12.75" customHeight="1">
      <c r="A298" s="194"/>
      <c r="B298" s="194"/>
      <c r="C298" s="194"/>
      <c r="D298" s="194"/>
    </row>
    <row r="299" spans="1:4" ht="12.75" customHeight="1">
      <c r="A299" s="194"/>
      <c r="B299" s="194"/>
      <c r="C299" s="194"/>
      <c r="D299" s="194"/>
    </row>
    <row r="300" spans="1:4" ht="12.75" customHeight="1">
      <c r="A300" s="194"/>
      <c r="B300" s="194"/>
      <c r="C300" s="194"/>
      <c r="D300" s="194"/>
    </row>
    <row r="301" spans="1:4" ht="12.75" customHeight="1">
      <c r="A301" s="194"/>
      <c r="B301" s="194"/>
      <c r="C301" s="194"/>
      <c r="D301" s="194"/>
    </row>
    <row r="302" spans="1:4" ht="12.75" customHeight="1">
      <c r="A302" s="194"/>
      <c r="B302" s="194"/>
      <c r="C302" s="194"/>
      <c r="D302" s="194"/>
    </row>
    <row r="303" spans="1:4" ht="12.75" customHeight="1">
      <c r="A303" s="194"/>
      <c r="B303" s="194"/>
      <c r="C303" s="194"/>
      <c r="D303" s="194"/>
    </row>
    <row r="304" spans="1:4" ht="12.75" customHeight="1">
      <c r="A304" s="194"/>
      <c r="B304" s="194"/>
      <c r="C304" s="194"/>
      <c r="D304" s="194"/>
    </row>
    <row r="305" spans="1:4" ht="12.75" customHeight="1">
      <c r="A305" s="194"/>
      <c r="B305" s="194"/>
      <c r="C305" s="194"/>
      <c r="D305" s="194"/>
    </row>
    <row r="306" spans="1:4" ht="12.75" customHeight="1">
      <c r="A306" s="194"/>
      <c r="B306" s="194"/>
      <c r="C306" s="194"/>
      <c r="D306" s="194"/>
    </row>
    <row r="307" spans="1:4" ht="12.75" customHeight="1">
      <c r="A307" s="194"/>
      <c r="B307" s="194"/>
      <c r="C307" s="194"/>
      <c r="D307" s="194"/>
    </row>
    <row r="308" spans="1:4" ht="12.75" customHeight="1">
      <c r="A308" s="194"/>
      <c r="B308" s="194"/>
      <c r="C308" s="194"/>
      <c r="D308" s="194"/>
    </row>
    <row r="309" spans="1:4" ht="12.75" customHeight="1">
      <c r="A309" s="194"/>
      <c r="B309" s="194"/>
      <c r="C309" s="194"/>
      <c r="D309" s="194"/>
    </row>
    <row r="310" spans="1:4" ht="12.75" customHeight="1">
      <c r="A310" s="194"/>
      <c r="B310" s="194"/>
      <c r="C310" s="194"/>
      <c r="D310" s="194"/>
    </row>
    <row r="311" spans="1:4" ht="12.75" customHeight="1">
      <c r="A311" s="194"/>
      <c r="B311" s="194"/>
      <c r="C311" s="194"/>
      <c r="D311" s="194"/>
    </row>
    <row r="312" spans="1:4" ht="12.75" customHeight="1">
      <c r="A312" s="194"/>
      <c r="B312" s="194"/>
      <c r="C312" s="194"/>
      <c r="D312" s="194"/>
    </row>
    <row r="313" spans="1:4" ht="12.75" customHeight="1">
      <c r="A313" s="194"/>
      <c r="B313" s="194"/>
      <c r="C313" s="194"/>
      <c r="D313" s="194"/>
    </row>
    <row r="314" spans="1:4" ht="12.75" customHeight="1">
      <c r="A314" s="194"/>
      <c r="B314" s="194"/>
      <c r="C314" s="194"/>
      <c r="D314" s="194"/>
    </row>
    <row r="315" spans="1:4" ht="12.75" customHeight="1">
      <c r="A315" s="194"/>
      <c r="B315" s="194"/>
      <c r="C315" s="194"/>
      <c r="D315" s="194"/>
    </row>
    <row r="316" spans="1:4" ht="12.75" customHeight="1">
      <c r="A316" s="194"/>
      <c r="B316" s="194"/>
      <c r="C316" s="194"/>
      <c r="D316" s="194"/>
    </row>
    <row r="317" spans="1:4" ht="12.75" customHeight="1">
      <c r="A317" s="194"/>
      <c r="B317" s="194"/>
      <c r="C317" s="194"/>
      <c r="D317" s="194"/>
    </row>
    <row r="318" spans="1:4" ht="12.75" customHeight="1">
      <c r="A318" s="194"/>
      <c r="B318" s="194"/>
      <c r="C318" s="194"/>
      <c r="D318" s="194"/>
    </row>
    <row r="319" spans="1:4" ht="12.75" customHeight="1">
      <c r="A319" s="194"/>
      <c r="B319" s="194"/>
      <c r="C319" s="194"/>
      <c r="D319" s="194"/>
    </row>
    <row r="320" spans="1:4" ht="12.75" customHeight="1">
      <c r="A320" s="194"/>
      <c r="B320" s="194"/>
      <c r="C320" s="194"/>
      <c r="D320" s="194"/>
    </row>
    <row r="321" spans="1:4" ht="12.75" customHeight="1">
      <c r="A321" s="194"/>
      <c r="B321" s="194"/>
      <c r="C321" s="194"/>
      <c r="D321" s="194"/>
    </row>
    <row r="322" spans="1:4" ht="12.75" customHeight="1">
      <c r="A322" s="194"/>
      <c r="B322" s="194"/>
      <c r="C322" s="194"/>
      <c r="D322" s="194"/>
    </row>
    <row r="323" spans="1:4" ht="12.75" customHeight="1">
      <c r="A323" s="194"/>
      <c r="B323" s="194"/>
      <c r="C323" s="194"/>
      <c r="D323" s="194"/>
    </row>
    <row r="324" spans="1:4" ht="12.75" customHeight="1">
      <c r="A324" s="194"/>
      <c r="B324" s="194"/>
      <c r="C324" s="194"/>
      <c r="D324" s="194"/>
    </row>
    <row r="325" spans="1:4" ht="12.75" customHeight="1">
      <c r="A325" s="194"/>
      <c r="B325" s="194"/>
      <c r="C325" s="194"/>
      <c r="D325" s="194"/>
    </row>
    <row r="326" spans="1:4" ht="12.75" customHeight="1">
      <c r="A326" s="194"/>
      <c r="B326" s="194"/>
      <c r="C326" s="194"/>
      <c r="D326" s="194"/>
    </row>
    <row r="327" spans="1:4" ht="12.75" customHeight="1">
      <c r="A327" s="194"/>
      <c r="B327" s="194"/>
      <c r="C327" s="194"/>
      <c r="D327" s="194"/>
    </row>
    <row r="328" spans="1:4" ht="12.75" customHeight="1">
      <c r="A328" s="194"/>
      <c r="B328" s="194"/>
      <c r="C328" s="194"/>
      <c r="D328" s="194"/>
    </row>
    <row r="329" spans="1:4" ht="12.75" customHeight="1">
      <c r="A329" s="194"/>
      <c r="B329" s="194"/>
      <c r="C329" s="194"/>
      <c r="D329" s="194"/>
    </row>
    <row r="330" spans="1:4" ht="12.75" customHeight="1">
      <c r="A330" s="194"/>
      <c r="B330" s="194"/>
      <c r="C330" s="194"/>
      <c r="D330" s="194"/>
    </row>
    <row r="331" spans="1:4" ht="12.75" customHeight="1">
      <c r="A331" s="194"/>
      <c r="B331" s="194"/>
      <c r="C331" s="194"/>
      <c r="D331" s="194"/>
    </row>
    <row r="332" spans="1:4" ht="12.75" customHeight="1">
      <c r="A332" s="194"/>
      <c r="B332" s="194"/>
      <c r="C332" s="194"/>
      <c r="D332" s="194"/>
    </row>
    <row r="333" spans="1:4" ht="12.75" customHeight="1">
      <c r="A333" s="194"/>
      <c r="B333" s="194"/>
      <c r="C333" s="194"/>
      <c r="D333" s="194"/>
    </row>
    <row r="334" spans="1:4" ht="12.75" customHeight="1">
      <c r="A334" s="194"/>
      <c r="B334" s="194"/>
      <c r="C334" s="194"/>
      <c r="D334" s="194"/>
    </row>
    <row r="335" spans="1:4" ht="12.75" customHeight="1">
      <c r="A335" s="194"/>
      <c r="B335" s="194"/>
      <c r="C335" s="194"/>
      <c r="D335" s="194"/>
    </row>
    <row r="336" spans="1:4" ht="12.75" customHeight="1">
      <c r="A336" s="194"/>
      <c r="B336" s="194"/>
      <c r="C336" s="194"/>
      <c r="D336" s="194"/>
    </row>
    <row r="337" spans="1:4" ht="12.75" customHeight="1">
      <c r="A337" s="194"/>
      <c r="B337" s="194"/>
      <c r="C337" s="194"/>
      <c r="D337" s="194"/>
    </row>
    <row r="338" spans="1:4" ht="12.75" customHeight="1">
      <c r="A338" s="194"/>
      <c r="B338" s="194"/>
      <c r="C338" s="194"/>
      <c r="D338" s="194"/>
    </row>
    <row r="339" spans="1:4" ht="12.75" customHeight="1">
      <c r="A339" s="194"/>
      <c r="B339" s="194"/>
      <c r="C339" s="194"/>
      <c r="D339" s="194"/>
    </row>
    <row r="340" spans="1:4" ht="12.75" customHeight="1">
      <c r="A340" s="194"/>
      <c r="B340" s="194"/>
      <c r="C340" s="194"/>
      <c r="D340" s="194"/>
    </row>
    <row r="341" spans="1:4" ht="12.75" customHeight="1">
      <c r="A341" s="194"/>
      <c r="B341" s="194"/>
      <c r="C341" s="194"/>
      <c r="D341" s="194"/>
    </row>
    <row r="342" spans="1:4" ht="12.75" customHeight="1">
      <c r="A342" s="194"/>
      <c r="B342" s="194"/>
      <c r="C342" s="194"/>
      <c r="D342" s="194"/>
    </row>
    <row r="343" spans="1:4" ht="12.75" customHeight="1">
      <c r="A343" s="194"/>
      <c r="B343" s="194"/>
      <c r="C343" s="194"/>
      <c r="D343" s="194"/>
    </row>
    <row r="344" spans="1:4" ht="12.75" customHeight="1">
      <c r="A344" s="194"/>
      <c r="B344" s="194"/>
      <c r="C344" s="194"/>
      <c r="D344" s="194"/>
    </row>
    <row r="345" spans="1:4" ht="12.75" customHeight="1">
      <c r="A345" s="194"/>
      <c r="B345" s="194"/>
      <c r="C345" s="194"/>
      <c r="D345" s="194"/>
    </row>
    <row r="346" spans="1:4" ht="12.75" customHeight="1">
      <c r="A346" s="194"/>
      <c r="B346" s="194"/>
      <c r="C346" s="194"/>
      <c r="D346" s="194"/>
    </row>
    <row r="347" spans="1:4" ht="12.75" customHeight="1">
      <c r="A347" s="194"/>
      <c r="B347" s="194"/>
      <c r="C347" s="194"/>
      <c r="D347" s="194"/>
    </row>
    <row r="348" spans="1:4" ht="12.75" customHeight="1">
      <c r="A348" s="194"/>
      <c r="B348" s="194"/>
      <c r="C348" s="194"/>
      <c r="D348" s="194"/>
    </row>
    <row r="349" spans="1:4" ht="12.75" customHeight="1">
      <c r="A349" s="194"/>
      <c r="B349" s="194"/>
      <c r="C349" s="194"/>
      <c r="D349" s="194"/>
    </row>
    <row r="350" spans="1:4" ht="12.75" customHeight="1">
      <c r="A350" s="194"/>
      <c r="B350" s="194"/>
      <c r="C350" s="194"/>
      <c r="D350" s="194"/>
    </row>
    <row r="351" spans="1:4" ht="12.75" customHeight="1">
      <c r="A351" s="194"/>
      <c r="B351" s="194"/>
      <c r="C351" s="194"/>
      <c r="D351" s="194"/>
    </row>
    <row r="352" spans="1:4" ht="12.75" customHeight="1">
      <c r="A352" s="194"/>
      <c r="B352" s="194"/>
      <c r="C352" s="194"/>
      <c r="D352" s="194"/>
    </row>
    <row r="353" spans="1:4" ht="12.75" customHeight="1">
      <c r="A353" s="194"/>
      <c r="B353" s="194"/>
      <c r="C353" s="194"/>
      <c r="D353" s="194"/>
    </row>
    <row r="354" spans="1:4" ht="12.75" customHeight="1">
      <c r="A354" s="194"/>
      <c r="B354" s="194"/>
      <c r="C354" s="194"/>
      <c r="D354" s="194"/>
    </row>
    <row r="355" spans="1:4" ht="12.75" customHeight="1">
      <c r="A355" s="194"/>
      <c r="B355" s="194"/>
      <c r="C355" s="194"/>
      <c r="D355" s="194"/>
    </row>
    <row r="356" spans="1:4" ht="12.75" customHeight="1">
      <c r="A356" s="194"/>
      <c r="B356" s="194"/>
      <c r="C356" s="194"/>
      <c r="D356" s="194"/>
    </row>
    <row r="357" spans="1:4" ht="12.75" customHeight="1">
      <c r="A357" s="194"/>
      <c r="B357" s="194"/>
      <c r="C357" s="194"/>
      <c r="D357" s="194"/>
    </row>
    <row r="358" spans="1:4" ht="12.75" customHeight="1">
      <c r="A358" s="194"/>
      <c r="B358" s="194"/>
      <c r="C358" s="194"/>
      <c r="D358" s="194"/>
    </row>
    <row r="359" spans="1:4" ht="12.75" customHeight="1">
      <c r="A359" s="194"/>
      <c r="B359" s="194"/>
      <c r="C359" s="194"/>
      <c r="D359" s="194"/>
    </row>
    <row r="360" spans="1:4" ht="12.75" customHeight="1">
      <c r="A360" s="194"/>
      <c r="B360" s="194"/>
      <c r="C360" s="194"/>
      <c r="D360" s="194"/>
    </row>
    <row r="361" spans="1:4" ht="12.75" customHeight="1">
      <c r="A361" s="194"/>
      <c r="B361" s="194"/>
      <c r="C361" s="194"/>
      <c r="D361" s="194"/>
    </row>
    <row r="362" spans="1:4" ht="12.75" customHeight="1">
      <c r="A362" s="194"/>
      <c r="B362" s="194"/>
      <c r="C362" s="194"/>
      <c r="D362" s="194"/>
    </row>
    <row r="363" spans="1:4" ht="12.75" customHeight="1">
      <c r="A363" s="194"/>
      <c r="B363" s="194"/>
      <c r="C363" s="194"/>
      <c r="D363" s="194"/>
    </row>
    <row r="364" spans="1:4" ht="12.75" customHeight="1">
      <c r="A364" s="194"/>
      <c r="B364" s="194"/>
      <c r="C364" s="194"/>
      <c r="D364" s="194"/>
    </row>
    <row r="365" spans="1:4" ht="12.75" customHeight="1">
      <c r="A365" s="194"/>
      <c r="B365" s="194"/>
      <c r="C365" s="194"/>
      <c r="D365" s="194"/>
    </row>
    <row r="366" spans="1:4" ht="12.75" customHeight="1">
      <c r="A366" s="194"/>
      <c r="B366" s="194"/>
      <c r="C366" s="194"/>
      <c r="D366" s="194"/>
    </row>
    <row r="367" spans="1:4" ht="12.75" customHeight="1">
      <c r="A367" s="194"/>
      <c r="B367" s="194"/>
      <c r="C367" s="194"/>
      <c r="D367" s="194"/>
    </row>
    <row r="368" spans="1:4" ht="12.75" customHeight="1">
      <c r="A368" s="194"/>
      <c r="B368" s="194"/>
      <c r="C368" s="194"/>
      <c r="D368" s="194"/>
    </row>
    <row r="369" spans="1:4" ht="12.75" customHeight="1">
      <c r="A369" s="194"/>
      <c r="B369" s="194"/>
      <c r="C369" s="194"/>
      <c r="D369" s="194"/>
    </row>
    <row r="370" spans="1:4" ht="12.75" customHeight="1">
      <c r="A370" s="194"/>
      <c r="B370" s="194"/>
      <c r="C370" s="194"/>
      <c r="D370" s="194"/>
    </row>
    <row r="371" spans="1:4" ht="12.75" customHeight="1">
      <c r="A371" s="194"/>
      <c r="B371" s="194"/>
      <c r="C371" s="194"/>
      <c r="D371" s="194"/>
    </row>
    <row r="372" spans="1:4" ht="12.75" customHeight="1">
      <c r="A372" s="194"/>
      <c r="B372" s="194"/>
      <c r="C372" s="194"/>
      <c r="D372" s="194"/>
    </row>
    <row r="373" spans="1:4" ht="12.75" customHeight="1">
      <c r="A373" s="194"/>
      <c r="B373" s="194"/>
      <c r="C373" s="194"/>
      <c r="D373" s="194"/>
    </row>
    <row r="374" spans="1:4" ht="12.75" customHeight="1">
      <c r="A374" s="194"/>
      <c r="B374" s="194"/>
      <c r="C374" s="194"/>
      <c r="D374" s="194"/>
    </row>
    <row r="375" spans="1:4" ht="12.75" customHeight="1">
      <c r="A375" s="194"/>
      <c r="B375" s="194"/>
      <c r="C375" s="194"/>
      <c r="D375" s="194"/>
    </row>
    <row r="376" spans="1:4" ht="12.75" customHeight="1">
      <c r="A376" s="194"/>
      <c r="B376" s="194"/>
      <c r="C376" s="194"/>
      <c r="D376" s="194"/>
    </row>
    <row r="377" spans="1:4" ht="12.75" customHeight="1">
      <c r="A377" s="194"/>
      <c r="B377" s="194"/>
      <c r="C377" s="194"/>
      <c r="D377" s="194"/>
    </row>
    <row r="378" spans="1:4" ht="12.75" customHeight="1">
      <c r="A378" s="194"/>
      <c r="B378" s="194"/>
      <c r="C378" s="194"/>
      <c r="D378" s="194"/>
    </row>
    <row r="379" spans="1:4" ht="12.75" customHeight="1">
      <c r="A379" s="194"/>
      <c r="B379" s="194"/>
      <c r="C379" s="194"/>
      <c r="D379" s="194"/>
    </row>
    <row r="380" spans="1:4" ht="12.75" customHeight="1">
      <c r="A380" s="194"/>
      <c r="B380" s="194"/>
      <c r="C380" s="194"/>
      <c r="D380" s="194"/>
    </row>
    <row r="381" spans="1:4" ht="12.75" customHeight="1">
      <c r="A381" s="194"/>
      <c r="B381" s="194"/>
      <c r="C381" s="194"/>
      <c r="D381" s="194"/>
    </row>
    <row r="382" spans="1:4" ht="12.75" customHeight="1">
      <c r="A382" s="194"/>
      <c r="B382" s="194"/>
      <c r="C382" s="194"/>
      <c r="D382" s="194"/>
    </row>
    <row r="383" spans="1:4" ht="12.75" customHeight="1">
      <c r="A383" s="194"/>
      <c r="B383" s="194"/>
      <c r="C383" s="194"/>
      <c r="D383" s="194"/>
    </row>
    <row r="384" spans="1:4" ht="12.75" customHeight="1">
      <c r="A384" s="194"/>
      <c r="B384" s="194"/>
      <c r="C384" s="194"/>
      <c r="D384" s="194"/>
    </row>
    <row r="385" spans="1:4" ht="12.75" customHeight="1">
      <c r="A385" s="194"/>
      <c r="B385" s="194"/>
      <c r="C385" s="194"/>
      <c r="D385" s="194"/>
    </row>
    <row r="386" spans="1:4" ht="12.75" customHeight="1">
      <c r="A386" s="194"/>
      <c r="B386" s="194"/>
      <c r="C386" s="194"/>
      <c r="D386" s="194"/>
    </row>
    <row r="387" spans="1:4" ht="12.75" customHeight="1">
      <c r="A387" s="194"/>
      <c r="B387" s="194"/>
      <c r="C387" s="194"/>
      <c r="D387" s="194"/>
    </row>
    <row r="388" spans="1:4" ht="12.75" customHeight="1">
      <c r="A388" s="194"/>
      <c r="B388" s="194"/>
      <c r="C388" s="194"/>
      <c r="D388" s="194"/>
    </row>
    <row r="389" spans="1:4" ht="12.75" customHeight="1">
      <c r="A389" s="194"/>
      <c r="B389" s="194"/>
      <c r="C389" s="194"/>
      <c r="D389" s="194"/>
    </row>
    <row r="390" spans="1:4" ht="12.75" customHeight="1">
      <c r="A390" s="194"/>
      <c r="B390" s="194"/>
      <c r="C390" s="194"/>
      <c r="D390" s="194"/>
    </row>
    <row r="391" spans="1:4" ht="12.75" customHeight="1">
      <c r="A391" s="194"/>
      <c r="B391" s="194"/>
      <c r="C391" s="194"/>
      <c r="D391" s="194"/>
    </row>
    <row r="392" spans="1:4" ht="12.75" customHeight="1">
      <c r="A392" s="194"/>
      <c r="B392" s="194"/>
      <c r="C392" s="194"/>
      <c r="D392" s="194"/>
    </row>
    <row r="393" spans="1:4" ht="12.75" customHeight="1">
      <c r="A393" s="194"/>
      <c r="B393" s="194"/>
      <c r="C393" s="194"/>
      <c r="D393" s="194"/>
    </row>
    <row r="394" spans="1:4" ht="12.75" customHeight="1">
      <c r="A394" s="194"/>
      <c r="B394" s="194"/>
      <c r="C394" s="194"/>
      <c r="D394" s="194"/>
    </row>
    <row r="395" spans="1:4" ht="12.75" customHeight="1">
      <c r="A395" s="194"/>
      <c r="B395" s="194"/>
      <c r="C395" s="194"/>
      <c r="D395" s="194"/>
    </row>
    <row r="396" spans="1:4" ht="12.75" customHeight="1">
      <c r="A396" s="194"/>
      <c r="B396" s="194"/>
      <c r="C396" s="194"/>
      <c r="D396" s="194"/>
    </row>
    <row r="397" spans="1:4" ht="12.75" customHeight="1">
      <c r="A397" s="194"/>
      <c r="B397" s="194"/>
      <c r="C397" s="194"/>
      <c r="D397" s="194"/>
    </row>
    <row r="398" spans="1:4" ht="12.75" customHeight="1">
      <c r="A398" s="194"/>
      <c r="B398" s="194"/>
      <c r="C398" s="194"/>
      <c r="D398" s="194"/>
    </row>
    <row r="399" spans="1:4" ht="12.75" customHeight="1">
      <c r="A399" s="194"/>
      <c r="B399" s="194"/>
      <c r="C399" s="194"/>
      <c r="D399" s="194"/>
    </row>
    <row r="400" spans="1:4" ht="12.75" customHeight="1">
      <c r="A400" s="194"/>
      <c r="B400" s="194"/>
      <c r="C400" s="194"/>
      <c r="D400" s="194"/>
    </row>
    <row r="401" spans="1:4" ht="12.75" customHeight="1">
      <c r="A401" s="194"/>
      <c r="B401" s="194"/>
      <c r="C401" s="194"/>
      <c r="D401" s="194"/>
    </row>
    <row r="402" spans="1:4" ht="12.75" customHeight="1">
      <c r="A402" s="194"/>
      <c r="B402" s="194"/>
      <c r="C402" s="194"/>
      <c r="D402" s="194"/>
    </row>
    <row r="403" spans="1:4" ht="12.75" customHeight="1">
      <c r="A403" s="194"/>
      <c r="B403" s="194"/>
      <c r="C403" s="194"/>
      <c r="D403" s="194"/>
    </row>
    <row r="404" spans="1:4" ht="12.75" customHeight="1">
      <c r="A404" s="194"/>
      <c r="B404" s="194"/>
      <c r="C404" s="194"/>
      <c r="D404" s="194"/>
    </row>
    <row r="405" spans="1:4" ht="12.75" customHeight="1">
      <c r="A405" s="194"/>
      <c r="B405" s="194"/>
      <c r="C405" s="194"/>
      <c r="D405" s="194"/>
    </row>
    <row r="406" spans="1:4" ht="12.75" customHeight="1">
      <c r="A406" s="194"/>
      <c r="B406" s="194"/>
      <c r="C406" s="194"/>
      <c r="D406" s="194"/>
    </row>
    <row r="407" spans="1:4" ht="12.75" customHeight="1">
      <c r="A407" s="194"/>
      <c r="B407" s="194"/>
      <c r="C407" s="194"/>
      <c r="D407" s="194"/>
    </row>
    <row r="408" spans="1:4" ht="12.75" customHeight="1">
      <c r="A408" s="194"/>
      <c r="B408" s="194"/>
      <c r="C408" s="194"/>
      <c r="D408" s="194"/>
    </row>
    <row r="409" spans="1:4" ht="12.75" customHeight="1">
      <c r="A409" s="194"/>
      <c r="B409" s="194"/>
      <c r="C409" s="194"/>
      <c r="D409" s="194"/>
    </row>
    <row r="410" spans="1:4" ht="12.75" customHeight="1">
      <c r="A410" s="194"/>
      <c r="B410" s="194"/>
      <c r="C410" s="194"/>
      <c r="D410" s="194"/>
    </row>
    <row r="411" spans="1:4" ht="12.75" customHeight="1">
      <c r="A411" s="194"/>
      <c r="B411" s="194"/>
      <c r="C411" s="194"/>
      <c r="D411" s="194"/>
    </row>
    <row r="412" spans="1:4" ht="12.75" customHeight="1">
      <c r="A412" s="194"/>
      <c r="B412" s="194"/>
      <c r="C412" s="194"/>
      <c r="D412" s="194"/>
    </row>
    <row r="413" spans="1:4" ht="12.75" customHeight="1">
      <c r="A413" s="194"/>
      <c r="B413" s="194"/>
      <c r="C413" s="194"/>
      <c r="D413" s="194"/>
    </row>
    <row r="414" spans="1:4" ht="12.75" customHeight="1">
      <c r="A414" s="194"/>
      <c r="B414" s="194"/>
      <c r="C414" s="194"/>
      <c r="D414" s="194"/>
    </row>
    <row r="415" spans="1:4" ht="12.75" customHeight="1">
      <c r="A415" s="194"/>
      <c r="B415" s="194"/>
      <c r="C415" s="194"/>
      <c r="D415" s="194"/>
    </row>
    <row r="416" spans="1:4" ht="12.75" customHeight="1">
      <c r="A416" s="194"/>
      <c r="B416" s="194"/>
      <c r="C416" s="194"/>
      <c r="D416" s="194"/>
    </row>
    <row r="417" spans="1:4" ht="12.75" customHeight="1">
      <c r="A417" s="194"/>
      <c r="B417" s="194"/>
      <c r="C417" s="194"/>
      <c r="D417" s="194"/>
    </row>
    <row r="418" spans="1:4" ht="12.75" customHeight="1">
      <c r="A418" s="194"/>
      <c r="B418" s="194"/>
      <c r="C418" s="194"/>
      <c r="D418" s="194"/>
    </row>
    <row r="419" spans="1:4" ht="12.75" customHeight="1">
      <c r="A419" s="194"/>
      <c r="B419" s="194"/>
      <c r="C419" s="194"/>
      <c r="D419" s="194"/>
    </row>
    <row r="420" spans="1:4" ht="12.75" customHeight="1">
      <c r="A420" s="194"/>
      <c r="B420" s="194"/>
      <c r="C420" s="194"/>
      <c r="D420" s="194"/>
    </row>
    <row r="421" spans="1:4" ht="12.75" customHeight="1">
      <c r="A421" s="194"/>
      <c r="B421" s="194"/>
      <c r="C421" s="194"/>
      <c r="D421" s="194"/>
    </row>
    <row r="422" spans="1:4" ht="12.75" customHeight="1">
      <c r="A422" s="194"/>
      <c r="B422" s="194"/>
      <c r="C422" s="194"/>
      <c r="D422" s="194"/>
    </row>
    <row r="423" spans="1:4" ht="12.75" customHeight="1">
      <c r="A423" s="194"/>
      <c r="B423" s="194"/>
      <c r="C423" s="194"/>
      <c r="D423" s="194"/>
    </row>
    <row r="424" spans="1:4" ht="12.75" customHeight="1">
      <c r="A424" s="194"/>
      <c r="B424" s="194"/>
      <c r="C424" s="194"/>
      <c r="D424" s="194"/>
    </row>
    <row r="425" spans="1:4" ht="12.75" customHeight="1">
      <c r="A425" s="194"/>
      <c r="B425" s="194"/>
      <c r="C425" s="194"/>
      <c r="D425" s="194"/>
    </row>
    <row r="426" spans="1:4" ht="12.75" customHeight="1">
      <c r="A426" s="194"/>
      <c r="B426" s="194"/>
      <c r="C426" s="194"/>
      <c r="D426" s="194"/>
    </row>
    <row r="427" spans="1:4" ht="12.75" customHeight="1">
      <c r="A427" s="194"/>
      <c r="B427" s="194"/>
      <c r="C427" s="194"/>
      <c r="D427" s="194"/>
    </row>
    <row r="428" spans="1:4" ht="12.75" customHeight="1">
      <c r="A428" s="194"/>
      <c r="B428" s="194"/>
      <c r="C428" s="194"/>
      <c r="D428" s="194"/>
    </row>
    <row r="429" spans="1:4" ht="12.75" customHeight="1">
      <c r="A429" s="194"/>
      <c r="B429" s="194"/>
      <c r="C429" s="194"/>
      <c r="D429" s="194"/>
    </row>
    <row r="430" spans="1:4" ht="12.75" customHeight="1">
      <c r="A430" s="194"/>
      <c r="B430" s="194"/>
      <c r="C430" s="194"/>
      <c r="D430" s="194"/>
    </row>
    <row r="431" spans="1:4" ht="12.75" customHeight="1">
      <c r="A431" s="194"/>
      <c r="B431" s="194"/>
      <c r="C431" s="194"/>
      <c r="D431" s="194"/>
    </row>
    <row r="432" spans="1:4" ht="12.75" customHeight="1">
      <c r="A432" s="194"/>
      <c r="B432" s="194"/>
      <c r="C432" s="194"/>
      <c r="D432" s="194"/>
    </row>
    <row r="433" spans="1:4" ht="12.75" customHeight="1">
      <c r="A433" s="194"/>
      <c r="B433" s="194"/>
      <c r="C433" s="194"/>
      <c r="D433" s="194"/>
    </row>
    <row r="434" spans="1:4" ht="12.75" customHeight="1">
      <c r="A434" s="194"/>
      <c r="B434" s="194"/>
      <c r="C434" s="194"/>
      <c r="D434" s="194"/>
    </row>
    <row r="435" spans="1:4" ht="12.75" customHeight="1">
      <c r="A435" s="194"/>
      <c r="B435" s="194"/>
      <c r="C435" s="194"/>
      <c r="D435" s="194"/>
    </row>
    <row r="436" spans="1:4" ht="12.75" customHeight="1">
      <c r="A436" s="194"/>
      <c r="B436" s="194"/>
      <c r="C436" s="194"/>
      <c r="D436" s="194"/>
    </row>
    <row r="437" spans="1:4" ht="12.75" customHeight="1">
      <c r="A437" s="194"/>
      <c r="B437" s="194"/>
      <c r="C437" s="194"/>
      <c r="D437" s="194"/>
    </row>
    <row r="438" spans="1:4" ht="12.75" customHeight="1">
      <c r="A438" s="194"/>
      <c r="B438" s="194"/>
      <c r="C438" s="194"/>
      <c r="D438" s="194"/>
    </row>
    <row r="439" spans="1:4" ht="12.75" customHeight="1">
      <c r="A439" s="194"/>
      <c r="B439" s="194"/>
      <c r="C439" s="194"/>
      <c r="D439" s="194"/>
    </row>
    <row r="440" spans="1:4" ht="12.75" customHeight="1">
      <c r="A440" s="194"/>
      <c r="B440" s="194"/>
      <c r="C440" s="194"/>
      <c r="D440" s="194"/>
    </row>
    <row r="441" spans="1:4" ht="12.75" customHeight="1">
      <c r="A441" s="194"/>
      <c r="B441" s="194"/>
      <c r="C441" s="194"/>
      <c r="D441" s="194"/>
    </row>
    <row r="442" spans="1:4" ht="12.75" customHeight="1">
      <c r="A442" s="194"/>
      <c r="B442" s="194"/>
      <c r="C442" s="194"/>
      <c r="D442" s="194"/>
    </row>
    <row r="443" spans="1:4" ht="12.75" customHeight="1">
      <c r="A443" s="194"/>
      <c r="B443" s="194"/>
      <c r="C443" s="194"/>
      <c r="D443" s="194"/>
    </row>
    <row r="444" spans="1:4" ht="12.75" customHeight="1">
      <c r="A444" s="194"/>
      <c r="B444" s="194"/>
      <c r="C444" s="194"/>
      <c r="D444" s="194"/>
    </row>
    <row r="445" spans="1:4" ht="12.75" customHeight="1">
      <c r="A445" s="194"/>
      <c r="B445" s="194"/>
      <c r="C445" s="194"/>
      <c r="D445" s="194"/>
    </row>
    <row r="446" spans="1:4" ht="12.75" customHeight="1">
      <c r="A446" s="194"/>
      <c r="B446" s="194"/>
      <c r="C446" s="194"/>
      <c r="D446" s="194"/>
    </row>
    <row r="447" spans="1:4" ht="12.75" customHeight="1">
      <c r="A447" s="194"/>
      <c r="B447" s="194"/>
      <c r="C447" s="194"/>
      <c r="D447" s="194"/>
    </row>
    <row r="448" spans="1:4" ht="12.75" customHeight="1">
      <c r="A448" s="194"/>
      <c r="B448" s="194"/>
      <c r="C448" s="194"/>
      <c r="D448" s="194"/>
    </row>
    <row r="449" spans="1:4" ht="12.75" customHeight="1">
      <c r="A449" s="194"/>
      <c r="B449" s="194"/>
      <c r="C449" s="194"/>
      <c r="D449" s="194"/>
    </row>
    <row r="450" spans="1:4" ht="12.75" customHeight="1">
      <c r="A450" s="194"/>
      <c r="B450" s="194"/>
      <c r="C450" s="194"/>
      <c r="D450" s="194"/>
    </row>
    <row r="451" spans="1:4" ht="12.75" customHeight="1">
      <c r="A451" s="194"/>
      <c r="B451" s="194"/>
      <c r="C451" s="194"/>
      <c r="D451" s="194"/>
    </row>
    <row r="452" spans="1:4" ht="12.75" customHeight="1">
      <c r="A452" s="194"/>
      <c r="B452" s="194"/>
      <c r="C452" s="194"/>
      <c r="D452" s="194"/>
    </row>
    <row r="453" spans="1:4" ht="12.75" customHeight="1">
      <c r="A453" s="194"/>
      <c r="B453" s="194"/>
      <c r="C453" s="194"/>
      <c r="D453" s="194"/>
    </row>
    <row r="454" spans="1:4" ht="12.75" customHeight="1">
      <c r="A454" s="194"/>
      <c r="B454" s="194"/>
      <c r="C454" s="194"/>
      <c r="D454" s="194"/>
    </row>
    <row r="455" spans="1:4" ht="12.75" customHeight="1">
      <c r="A455" s="194"/>
      <c r="B455" s="194"/>
      <c r="C455" s="194"/>
      <c r="D455" s="194"/>
    </row>
    <row r="456" spans="1:4" ht="12.75" customHeight="1">
      <c r="A456" s="194"/>
      <c r="B456" s="194"/>
      <c r="C456" s="194"/>
      <c r="D456" s="194"/>
    </row>
    <row r="457" spans="1:4" ht="12.75" customHeight="1">
      <c r="A457" s="194"/>
      <c r="B457" s="194"/>
      <c r="C457" s="194"/>
      <c r="D457" s="194"/>
    </row>
    <row r="458" spans="1:4" ht="12.75" customHeight="1">
      <c r="A458" s="194"/>
      <c r="B458" s="194"/>
      <c r="C458" s="194"/>
      <c r="D458" s="194"/>
    </row>
    <row r="459" spans="1:4" ht="12.75" customHeight="1">
      <c r="A459" s="194"/>
      <c r="B459" s="194"/>
      <c r="C459" s="194"/>
      <c r="D459" s="194"/>
    </row>
    <row r="460" spans="1:4" ht="12.75" customHeight="1">
      <c r="A460" s="194"/>
      <c r="B460" s="194"/>
      <c r="C460" s="194"/>
      <c r="D460" s="194"/>
    </row>
    <row r="461" spans="1:4" ht="12.75" customHeight="1">
      <c r="A461" s="194"/>
      <c r="B461" s="194"/>
      <c r="C461" s="194"/>
      <c r="D461" s="194"/>
    </row>
    <row r="462" spans="1:4" ht="12.75" customHeight="1">
      <c r="A462" s="194"/>
      <c r="B462" s="194"/>
      <c r="C462" s="194"/>
      <c r="D462" s="194"/>
    </row>
    <row r="463" spans="1:4" ht="12.75" customHeight="1">
      <c r="A463" s="194"/>
      <c r="B463" s="194"/>
      <c r="C463" s="194"/>
      <c r="D463" s="194"/>
    </row>
    <row r="464" spans="1:4" ht="12.75" customHeight="1">
      <c r="A464" s="194"/>
      <c r="B464" s="194"/>
      <c r="C464" s="194"/>
      <c r="D464" s="194"/>
    </row>
    <row r="465" spans="1:4" ht="12.75" customHeight="1">
      <c r="A465" s="194"/>
      <c r="B465" s="194"/>
      <c r="C465" s="194"/>
      <c r="D465" s="194"/>
    </row>
    <row r="466" spans="1:4" ht="12.75" customHeight="1">
      <c r="A466" s="194"/>
      <c r="B466" s="194"/>
      <c r="C466" s="194"/>
      <c r="D466" s="194"/>
    </row>
    <row r="467" spans="1:4" ht="12.75" customHeight="1">
      <c r="A467" s="194"/>
      <c r="B467" s="194"/>
      <c r="C467" s="194"/>
      <c r="D467" s="194"/>
    </row>
    <row r="468" spans="1:4" ht="12.75" customHeight="1">
      <c r="A468" s="194"/>
      <c r="B468" s="194"/>
      <c r="C468" s="194"/>
      <c r="D468" s="194"/>
    </row>
    <row r="469" spans="1:4" ht="12.75" customHeight="1">
      <c r="A469" s="194"/>
      <c r="B469" s="194"/>
      <c r="C469" s="194"/>
      <c r="D469" s="194"/>
    </row>
    <row r="470" spans="1:4" ht="12.75" customHeight="1">
      <c r="A470" s="194"/>
      <c r="B470" s="194"/>
      <c r="C470" s="194"/>
      <c r="D470" s="194"/>
    </row>
    <row r="471" spans="1:4" ht="12.75" customHeight="1">
      <c r="A471" s="194"/>
      <c r="B471" s="194"/>
      <c r="C471" s="194"/>
      <c r="D471" s="194"/>
    </row>
    <row r="472" spans="1:4" ht="12.75" customHeight="1">
      <c r="A472" s="194"/>
      <c r="B472" s="194"/>
      <c r="C472" s="194"/>
      <c r="D472" s="194"/>
    </row>
    <row r="473" spans="1:4" ht="12.75" customHeight="1">
      <c r="A473" s="194"/>
      <c r="B473" s="194"/>
      <c r="C473" s="194"/>
      <c r="D473" s="194"/>
    </row>
    <row r="474" spans="1:4" ht="12.75" customHeight="1">
      <c r="A474" s="194"/>
      <c r="B474" s="194"/>
      <c r="C474" s="194"/>
      <c r="D474" s="194"/>
    </row>
    <row r="475" spans="1:4" ht="12.75" customHeight="1">
      <c r="A475" s="194"/>
      <c r="B475" s="194"/>
      <c r="C475" s="194"/>
      <c r="D475" s="194"/>
    </row>
    <row r="476" spans="1:4" ht="12.75" customHeight="1">
      <c r="A476" s="194"/>
      <c r="B476" s="194"/>
      <c r="C476" s="194"/>
      <c r="D476" s="194"/>
    </row>
    <row r="477" spans="1:4" ht="12.75" customHeight="1">
      <c r="A477" s="194"/>
      <c r="B477" s="194"/>
      <c r="C477" s="194"/>
      <c r="D477" s="194"/>
    </row>
    <row r="478" spans="1:4" ht="12.75" customHeight="1">
      <c r="A478" s="194"/>
      <c r="B478" s="194"/>
      <c r="C478" s="194"/>
      <c r="D478" s="194"/>
    </row>
    <row r="479" spans="1:4" ht="12.75" customHeight="1">
      <c r="A479" s="194"/>
      <c r="B479" s="194"/>
      <c r="C479" s="194"/>
      <c r="D479" s="194"/>
    </row>
    <row r="480" spans="1:4" ht="12.75" customHeight="1">
      <c r="A480" s="194"/>
      <c r="B480" s="194"/>
      <c r="C480" s="194"/>
      <c r="D480" s="194"/>
    </row>
    <row r="481" spans="1:4" ht="12.75" customHeight="1">
      <c r="A481" s="194"/>
      <c r="B481" s="194"/>
      <c r="C481" s="194"/>
      <c r="D481" s="194"/>
    </row>
    <row r="482" spans="1:4" ht="12.75" customHeight="1">
      <c r="A482" s="194"/>
      <c r="B482" s="194"/>
      <c r="C482" s="194"/>
      <c r="D482" s="194"/>
    </row>
    <row r="483" spans="1:4" ht="12.75" customHeight="1">
      <c r="A483" s="194"/>
      <c r="B483" s="194"/>
      <c r="C483" s="194"/>
      <c r="D483" s="194"/>
    </row>
    <row r="484" spans="1:4" ht="12.75" customHeight="1">
      <c r="A484" s="194"/>
      <c r="B484" s="194"/>
      <c r="C484" s="194"/>
      <c r="D484" s="194"/>
    </row>
    <row r="485" spans="1:4" ht="12.75" customHeight="1">
      <c r="A485" s="194"/>
      <c r="B485" s="194"/>
      <c r="C485" s="194"/>
      <c r="D485" s="194"/>
    </row>
    <row r="486" spans="1:4" ht="12.75" customHeight="1">
      <c r="A486" s="194"/>
      <c r="B486" s="194"/>
      <c r="C486" s="194"/>
      <c r="D486" s="194"/>
    </row>
    <row r="487" spans="1:4" ht="12.75" customHeight="1">
      <c r="A487" s="194"/>
      <c r="B487" s="194"/>
      <c r="C487" s="194"/>
      <c r="D487" s="194"/>
    </row>
    <row r="488" spans="1:4" ht="12.75" customHeight="1">
      <c r="A488" s="194"/>
      <c r="B488" s="194"/>
      <c r="C488" s="194"/>
      <c r="D488" s="194"/>
    </row>
    <row r="489" spans="1:4" ht="12.75" customHeight="1">
      <c r="A489" s="194"/>
      <c r="B489" s="194"/>
      <c r="C489" s="194"/>
      <c r="D489" s="194"/>
    </row>
    <row r="490" spans="1:4" ht="12.75" customHeight="1">
      <c r="A490" s="194"/>
      <c r="B490" s="194"/>
      <c r="C490" s="194"/>
      <c r="D490" s="194"/>
    </row>
    <row r="491" spans="1:4" ht="12.75" customHeight="1">
      <c r="A491" s="194"/>
      <c r="B491" s="194"/>
      <c r="C491" s="194"/>
      <c r="D491" s="194"/>
    </row>
    <row r="492" spans="1:4" ht="12.75" customHeight="1">
      <c r="A492" s="194"/>
      <c r="B492" s="194"/>
      <c r="C492" s="194"/>
      <c r="D492" s="194"/>
    </row>
    <row r="493" spans="1:4" ht="12.75" customHeight="1">
      <c r="A493" s="194"/>
      <c r="B493" s="194"/>
      <c r="C493" s="194"/>
      <c r="D493" s="194"/>
    </row>
    <row r="494" spans="1:4" ht="12.75" customHeight="1">
      <c r="A494" s="194"/>
      <c r="B494" s="194"/>
      <c r="C494" s="194"/>
      <c r="D494" s="194"/>
    </row>
    <row r="495" spans="1:4" ht="12.75" customHeight="1">
      <c r="A495" s="194"/>
      <c r="B495" s="194"/>
      <c r="C495" s="194"/>
      <c r="D495" s="194"/>
    </row>
    <row r="496" spans="1:4" ht="12.75" customHeight="1">
      <c r="A496" s="194"/>
      <c r="B496" s="194"/>
      <c r="C496" s="194"/>
      <c r="D496" s="194"/>
    </row>
    <row r="497" spans="1:4" ht="12.75" customHeight="1">
      <c r="A497" s="194"/>
      <c r="B497" s="194"/>
      <c r="C497" s="194"/>
      <c r="D497" s="194"/>
    </row>
    <row r="498" spans="1:4" ht="12.75" customHeight="1">
      <c r="A498" s="194"/>
      <c r="B498" s="194"/>
      <c r="C498" s="194"/>
      <c r="D498" s="194"/>
    </row>
    <row r="499" spans="1:4" ht="12.75" customHeight="1">
      <c r="A499" s="194"/>
      <c r="B499" s="194"/>
      <c r="C499" s="194"/>
      <c r="D499" s="194"/>
    </row>
    <row r="500" spans="1:4" ht="12.75" customHeight="1">
      <c r="A500" s="194"/>
      <c r="B500" s="194"/>
      <c r="C500" s="194"/>
      <c r="D500" s="194"/>
    </row>
    <row r="501" spans="1:4" ht="12.75" customHeight="1">
      <c r="A501" s="194"/>
      <c r="B501" s="194"/>
      <c r="C501" s="194"/>
      <c r="D501" s="194"/>
    </row>
    <row r="502" spans="1:4" ht="12.75" customHeight="1">
      <c r="A502" s="194"/>
      <c r="B502" s="194"/>
      <c r="C502" s="194"/>
      <c r="D502" s="194"/>
    </row>
    <row r="503" spans="1:4" ht="12.75" customHeight="1">
      <c r="A503" s="194"/>
      <c r="B503" s="194"/>
      <c r="C503" s="194"/>
      <c r="D503" s="194"/>
    </row>
    <row r="504" spans="1:4" ht="12.75" customHeight="1">
      <c r="A504" s="194"/>
      <c r="B504" s="194"/>
      <c r="C504" s="194"/>
      <c r="D504" s="194"/>
    </row>
    <row r="505" spans="1:4" ht="12.75" customHeight="1">
      <c r="A505" s="194"/>
      <c r="B505" s="194"/>
      <c r="C505" s="194"/>
      <c r="D505" s="194"/>
    </row>
    <row r="506" spans="1:4" ht="12.75" customHeight="1">
      <c r="A506" s="194"/>
      <c r="B506" s="194"/>
      <c r="C506" s="194"/>
      <c r="D506" s="194"/>
    </row>
    <row r="507" spans="1:4" ht="12.75" customHeight="1">
      <c r="A507" s="194"/>
      <c r="B507" s="194"/>
      <c r="C507" s="194"/>
      <c r="D507" s="194"/>
    </row>
    <row r="508" spans="1:4" ht="12.75" customHeight="1">
      <c r="A508" s="194"/>
      <c r="B508" s="194"/>
      <c r="C508" s="194"/>
      <c r="D508" s="194"/>
    </row>
    <row r="509" spans="1:4" ht="12.75" customHeight="1">
      <c r="A509" s="194"/>
      <c r="B509" s="194"/>
      <c r="C509" s="194"/>
      <c r="D509" s="194"/>
    </row>
    <row r="510" spans="1:4" ht="12.75" customHeight="1">
      <c r="A510" s="194"/>
      <c r="B510" s="194"/>
      <c r="C510" s="194"/>
      <c r="D510" s="194"/>
    </row>
    <row r="511" spans="1:4" ht="12.75" customHeight="1">
      <c r="A511" s="194"/>
      <c r="B511" s="194"/>
      <c r="C511" s="194"/>
      <c r="D511" s="194"/>
    </row>
    <row r="512" spans="1:4" ht="12.75" customHeight="1">
      <c r="A512" s="194"/>
      <c r="B512" s="194"/>
      <c r="C512" s="194"/>
      <c r="D512" s="194"/>
    </row>
    <row r="513" spans="1:4" ht="12.75" customHeight="1">
      <c r="A513" s="194"/>
      <c r="B513" s="194"/>
      <c r="C513" s="194"/>
      <c r="D513" s="194"/>
    </row>
    <row r="514" spans="1:4" ht="12.75" customHeight="1">
      <c r="A514" s="194"/>
      <c r="B514" s="194"/>
      <c r="C514" s="194"/>
      <c r="D514" s="194"/>
    </row>
    <row r="515" spans="1:4" ht="12.75" customHeight="1">
      <c r="A515" s="194"/>
      <c r="B515" s="194"/>
      <c r="C515" s="194"/>
      <c r="D515" s="194"/>
    </row>
    <row r="516" spans="1:4" ht="12.75" customHeight="1">
      <c r="A516" s="194"/>
      <c r="B516" s="194"/>
      <c r="C516" s="194"/>
      <c r="D516" s="194"/>
    </row>
    <row r="517" spans="1:4" ht="12.75" customHeight="1">
      <c r="A517" s="194"/>
      <c r="B517" s="194"/>
      <c r="C517" s="194"/>
      <c r="D517" s="194"/>
    </row>
    <row r="518" spans="1:4" ht="12.75" customHeight="1">
      <c r="A518" s="194"/>
      <c r="B518" s="194"/>
      <c r="C518" s="194"/>
      <c r="D518" s="194"/>
    </row>
    <row r="519" spans="1:4" ht="12.75" customHeight="1">
      <c r="A519" s="194"/>
      <c r="B519" s="194"/>
      <c r="C519" s="194"/>
      <c r="D519" s="194"/>
    </row>
    <row r="520" spans="1:4" ht="12.75" customHeight="1">
      <c r="A520" s="194"/>
      <c r="B520" s="194"/>
      <c r="C520" s="194"/>
      <c r="D520" s="194"/>
    </row>
    <row r="521" spans="1:4" ht="12.75" customHeight="1">
      <c r="A521" s="194"/>
      <c r="B521" s="194"/>
      <c r="C521" s="194"/>
      <c r="D521" s="194"/>
    </row>
    <row r="522" spans="1:4" ht="12.75" customHeight="1">
      <c r="A522" s="194"/>
      <c r="B522" s="194"/>
      <c r="C522" s="194"/>
      <c r="D522" s="194"/>
    </row>
    <row r="523" spans="1:4" ht="12.75" customHeight="1">
      <c r="A523" s="194"/>
      <c r="B523" s="194"/>
      <c r="C523" s="194"/>
      <c r="D523" s="194"/>
    </row>
    <row r="524" spans="1:4" ht="12.75" customHeight="1">
      <c r="A524" s="194"/>
      <c r="B524" s="194"/>
      <c r="C524" s="194"/>
      <c r="D524" s="194"/>
    </row>
    <row r="525" spans="1:4" ht="12.75" customHeight="1">
      <c r="A525" s="194"/>
      <c r="B525" s="194"/>
      <c r="C525" s="194"/>
      <c r="D525" s="194"/>
    </row>
    <row r="526" spans="1:4" ht="12.75" customHeight="1">
      <c r="A526" s="194"/>
      <c r="B526" s="194"/>
      <c r="C526" s="194"/>
      <c r="D526" s="194"/>
    </row>
    <row r="527" spans="1:4" ht="12.75" customHeight="1">
      <c r="A527" s="194"/>
      <c r="B527" s="194"/>
      <c r="C527" s="194"/>
      <c r="D527" s="194"/>
    </row>
    <row r="528" spans="1:4" ht="12.75" customHeight="1">
      <c r="A528" s="194"/>
      <c r="B528" s="194"/>
      <c r="C528" s="194"/>
      <c r="D528" s="194"/>
    </row>
    <row r="529" spans="1:4" ht="12.75" customHeight="1">
      <c r="A529" s="194"/>
      <c r="B529" s="194"/>
      <c r="C529" s="194"/>
      <c r="D529" s="194"/>
    </row>
    <row r="530" spans="1:4" ht="12.75" customHeight="1">
      <c r="A530" s="194"/>
      <c r="B530" s="194"/>
      <c r="C530" s="194"/>
      <c r="D530" s="194"/>
    </row>
    <row r="531" spans="1:4" ht="12.75" customHeight="1">
      <c r="A531" s="194"/>
      <c r="B531" s="194"/>
      <c r="C531" s="194"/>
      <c r="D531" s="194"/>
    </row>
    <row r="532" spans="1:4" ht="12.75" customHeight="1">
      <c r="A532" s="194"/>
      <c r="B532" s="194"/>
      <c r="C532" s="194"/>
      <c r="D532" s="194"/>
    </row>
    <row r="533" spans="1:4" ht="12.75" customHeight="1">
      <c r="A533" s="194"/>
      <c r="B533" s="194"/>
      <c r="C533" s="194"/>
      <c r="D533" s="194"/>
    </row>
    <row r="534" spans="1:4" ht="12.75" customHeight="1">
      <c r="A534" s="194"/>
      <c r="B534" s="194"/>
      <c r="C534" s="194"/>
      <c r="D534" s="194"/>
    </row>
    <row r="535" spans="1:4" ht="12.75" customHeight="1">
      <c r="A535" s="194"/>
      <c r="B535" s="194"/>
      <c r="C535" s="194"/>
      <c r="D535" s="194"/>
    </row>
    <row r="536" spans="1:4" ht="12.75" customHeight="1">
      <c r="A536" s="194"/>
      <c r="B536" s="194"/>
      <c r="C536" s="194"/>
      <c r="D536" s="194"/>
    </row>
    <row r="537" spans="1:4" ht="12.75" customHeight="1">
      <c r="A537" s="194"/>
      <c r="B537" s="194"/>
      <c r="C537" s="194"/>
      <c r="D537" s="194"/>
    </row>
    <row r="538" spans="1:4" ht="12.75" customHeight="1">
      <c r="A538" s="194"/>
      <c r="B538" s="194"/>
      <c r="C538" s="194"/>
      <c r="D538" s="194"/>
    </row>
    <row r="539" spans="1:4" ht="12.75" customHeight="1">
      <c r="A539" s="194"/>
      <c r="B539" s="194"/>
      <c r="C539" s="194"/>
      <c r="D539" s="194"/>
    </row>
    <row r="540" spans="1:4" ht="12.75" customHeight="1">
      <c r="A540" s="194"/>
      <c r="B540" s="194"/>
      <c r="C540" s="194"/>
      <c r="D540" s="194"/>
    </row>
    <row r="541" spans="1:4" ht="12.75" customHeight="1">
      <c r="A541" s="194"/>
      <c r="B541" s="194"/>
      <c r="C541" s="194"/>
      <c r="D541" s="194"/>
    </row>
    <row r="542" spans="1:4" ht="12.75" customHeight="1">
      <c r="A542" s="194"/>
      <c r="B542" s="194"/>
      <c r="C542" s="194"/>
      <c r="D542" s="194"/>
    </row>
    <row r="543" spans="1:4" ht="12.75" customHeight="1">
      <c r="A543" s="194"/>
      <c r="B543" s="194"/>
      <c r="C543" s="194"/>
      <c r="D543" s="194"/>
    </row>
    <row r="544" spans="1:4" ht="12.75" customHeight="1">
      <c r="A544" s="194"/>
      <c r="B544" s="194"/>
      <c r="C544" s="194"/>
      <c r="D544" s="194"/>
    </row>
    <row r="545" spans="1:4" ht="12.75" customHeight="1">
      <c r="A545" s="194"/>
      <c r="B545" s="194"/>
      <c r="C545" s="194"/>
      <c r="D545" s="194"/>
    </row>
    <row r="546" spans="1:4" ht="12.75" customHeight="1">
      <c r="A546" s="194"/>
      <c r="B546" s="194"/>
      <c r="C546" s="194"/>
      <c r="D546" s="194"/>
    </row>
    <row r="547" spans="1:4" ht="12.75" customHeight="1">
      <c r="A547" s="194"/>
      <c r="B547" s="194"/>
      <c r="C547" s="194"/>
      <c r="D547" s="194"/>
    </row>
    <row r="548" spans="1:4" ht="12.75" customHeight="1">
      <c r="A548" s="194"/>
      <c r="B548" s="194"/>
      <c r="C548" s="194"/>
      <c r="D548" s="194"/>
    </row>
    <row r="549" spans="1:4" ht="12.75" customHeight="1">
      <c r="A549" s="194"/>
      <c r="B549" s="194"/>
      <c r="C549" s="194"/>
      <c r="D549" s="194"/>
    </row>
    <row r="550" spans="1:4" ht="12.75" customHeight="1">
      <c r="A550" s="194"/>
      <c r="B550" s="194"/>
      <c r="C550" s="194"/>
      <c r="D550" s="194"/>
    </row>
    <row r="551" spans="1:4" ht="12.75" customHeight="1">
      <c r="A551" s="194"/>
      <c r="B551" s="194"/>
      <c r="C551" s="194"/>
      <c r="D551" s="194"/>
    </row>
    <row r="552" spans="1:4" ht="12.75" customHeight="1">
      <c r="A552" s="194"/>
      <c r="B552" s="194"/>
      <c r="C552" s="194"/>
      <c r="D552" s="194"/>
    </row>
    <row r="553" spans="1:4" ht="12.75" customHeight="1">
      <c r="A553" s="194"/>
      <c r="B553" s="194"/>
      <c r="C553" s="194"/>
      <c r="D553" s="194"/>
    </row>
    <row r="554" spans="1:4" ht="12.75" customHeight="1">
      <c r="A554" s="194"/>
      <c r="B554" s="194"/>
      <c r="C554" s="194"/>
      <c r="D554" s="194"/>
    </row>
    <row r="555" spans="1:4" ht="12.75" customHeight="1">
      <c r="A555" s="194"/>
      <c r="B555" s="194"/>
      <c r="C555" s="194"/>
      <c r="D555" s="194"/>
    </row>
    <row r="556" spans="1:4" ht="12.75" customHeight="1">
      <c r="A556" s="194"/>
      <c r="B556" s="194"/>
      <c r="C556" s="194"/>
      <c r="D556" s="194"/>
    </row>
    <row r="557" spans="1:4" ht="12.75" customHeight="1">
      <c r="A557" s="194"/>
      <c r="B557" s="194"/>
      <c r="C557" s="194"/>
      <c r="D557" s="194"/>
    </row>
    <row r="558" spans="1:4" ht="12.75" customHeight="1">
      <c r="A558" s="194"/>
      <c r="B558" s="194"/>
      <c r="C558" s="194"/>
      <c r="D558" s="194"/>
    </row>
    <row r="559" spans="1:4" ht="12.75" customHeight="1">
      <c r="A559" s="194"/>
      <c r="B559" s="194"/>
      <c r="C559" s="194"/>
      <c r="D559" s="194"/>
    </row>
    <row r="560" spans="1:4" ht="12.75" customHeight="1">
      <c r="A560" s="194"/>
      <c r="B560" s="194"/>
      <c r="C560" s="194"/>
      <c r="D560" s="194"/>
    </row>
    <row r="561" spans="1:4" ht="12.75" customHeight="1">
      <c r="A561" s="194"/>
      <c r="B561" s="194"/>
      <c r="C561" s="194"/>
      <c r="D561" s="194"/>
    </row>
    <row r="562" spans="1:4" ht="12.75" customHeight="1">
      <c r="A562" s="194"/>
      <c r="B562" s="194"/>
      <c r="C562" s="194"/>
      <c r="D562" s="194"/>
    </row>
    <row r="563" spans="1:4" ht="12.75" customHeight="1">
      <c r="A563" s="194"/>
      <c r="B563" s="194"/>
      <c r="C563" s="194"/>
      <c r="D563" s="194"/>
    </row>
    <row r="564" spans="1:4" ht="12.75" customHeight="1">
      <c r="A564" s="194"/>
      <c r="B564" s="194"/>
      <c r="C564" s="194"/>
      <c r="D564" s="194"/>
    </row>
    <row r="565" spans="1:4" ht="12.75" customHeight="1">
      <c r="A565" s="194"/>
      <c r="B565" s="194"/>
      <c r="C565" s="194"/>
      <c r="D565" s="194"/>
    </row>
    <row r="566" spans="1:4" ht="12.75" customHeight="1">
      <c r="A566" s="194"/>
      <c r="B566" s="194"/>
      <c r="C566" s="194"/>
      <c r="D566" s="194"/>
    </row>
    <row r="567" spans="1:4" ht="12.75" customHeight="1">
      <c r="A567" s="194"/>
      <c r="B567" s="194"/>
      <c r="C567" s="194"/>
      <c r="D567" s="194"/>
    </row>
    <row r="568" spans="1:4" ht="12.75" customHeight="1">
      <c r="A568" s="194"/>
      <c r="B568" s="194"/>
      <c r="C568" s="194"/>
      <c r="D568" s="194"/>
    </row>
    <row r="569" spans="1:4" ht="12.75" customHeight="1">
      <c r="A569" s="194"/>
      <c r="B569" s="194"/>
      <c r="C569" s="194"/>
      <c r="D569" s="194"/>
    </row>
    <row r="570" spans="1:4" ht="12.75" customHeight="1">
      <c r="A570" s="194"/>
      <c r="B570" s="194"/>
      <c r="C570" s="194"/>
      <c r="D570" s="194"/>
    </row>
    <row r="571" spans="1:4" ht="12.75" customHeight="1">
      <c r="A571" s="194"/>
      <c r="B571" s="194"/>
      <c r="C571" s="194"/>
      <c r="D571" s="194"/>
    </row>
    <row r="572" spans="1:4" ht="12.75" customHeight="1">
      <c r="A572" s="194"/>
      <c r="B572" s="194"/>
      <c r="C572" s="194"/>
      <c r="D572" s="194"/>
    </row>
    <row r="573" spans="1:4" ht="12.75" customHeight="1">
      <c r="A573" s="194"/>
      <c r="B573" s="194"/>
      <c r="C573" s="194"/>
      <c r="D573" s="194"/>
    </row>
    <row r="574" spans="1:4" ht="12.75" customHeight="1">
      <c r="A574" s="194"/>
      <c r="B574" s="194"/>
      <c r="C574" s="194"/>
      <c r="D574" s="194"/>
    </row>
    <row r="575" spans="1:4" ht="12.75" customHeight="1">
      <c r="A575" s="194"/>
      <c r="B575" s="194"/>
      <c r="C575" s="194"/>
      <c r="D575" s="194"/>
    </row>
    <row r="576" spans="1:4" ht="12.75" customHeight="1">
      <c r="A576" s="194"/>
      <c r="B576" s="194"/>
      <c r="C576" s="194"/>
      <c r="D576" s="194"/>
    </row>
    <row r="577" spans="1:4" ht="12.75" customHeight="1">
      <c r="A577" s="194"/>
      <c r="B577" s="194"/>
      <c r="C577" s="194"/>
      <c r="D577" s="194"/>
    </row>
    <row r="578" spans="1:4" ht="12.75" customHeight="1">
      <c r="A578" s="194"/>
      <c r="B578" s="194"/>
      <c r="C578" s="194"/>
      <c r="D578" s="194"/>
    </row>
    <row r="579" spans="1:4" ht="12.75" customHeight="1">
      <c r="A579" s="194"/>
      <c r="B579" s="194"/>
      <c r="C579" s="194"/>
      <c r="D579" s="194"/>
    </row>
    <row r="580" spans="1:4" ht="12.75" customHeight="1">
      <c r="A580" s="194"/>
      <c r="B580" s="194"/>
      <c r="C580" s="194"/>
      <c r="D580" s="194"/>
    </row>
    <row r="581" spans="1:4" ht="12.75" customHeight="1">
      <c r="A581" s="194"/>
      <c r="B581" s="194"/>
      <c r="C581" s="194"/>
      <c r="D581" s="194"/>
    </row>
    <row r="582" spans="1:4" ht="12.75" customHeight="1">
      <c r="A582" s="194"/>
      <c r="B582" s="194"/>
      <c r="C582" s="194"/>
      <c r="D582" s="194"/>
    </row>
    <row r="583" spans="1:4" ht="12.75" customHeight="1">
      <c r="A583" s="194"/>
      <c r="B583" s="194"/>
      <c r="C583" s="194"/>
      <c r="D583" s="194"/>
    </row>
    <row r="584" spans="1:4" ht="12.75" customHeight="1">
      <c r="A584" s="194"/>
      <c r="B584" s="194"/>
      <c r="C584" s="194"/>
      <c r="D584" s="194"/>
    </row>
    <row r="585" spans="1:4" ht="12.75" customHeight="1">
      <c r="A585" s="194"/>
      <c r="B585" s="194"/>
      <c r="C585" s="194"/>
      <c r="D585" s="194"/>
    </row>
    <row r="586" spans="1:4" ht="12.75" customHeight="1">
      <c r="A586" s="194"/>
      <c r="B586" s="194"/>
      <c r="C586" s="194"/>
      <c r="D586" s="194"/>
    </row>
    <row r="587" spans="1:4" ht="12.75" customHeight="1">
      <c r="A587" s="194"/>
      <c r="B587" s="194"/>
      <c r="C587" s="194"/>
      <c r="D587" s="194"/>
    </row>
    <row r="588" spans="1:4" ht="12.75" customHeight="1">
      <c r="A588" s="194"/>
      <c r="B588" s="194"/>
      <c r="C588" s="194"/>
      <c r="D588" s="194"/>
    </row>
    <row r="589" spans="1:4" ht="12.75" customHeight="1">
      <c r="A589" s="194"/>
      <c r="B589" s="194"/>
      <c r="C589" s="194"/>
      <c r="D589" s="194"/>
    </row>
    <row r="590" spans="1:4" ht="12.75" customHeight="1">
      <c r="A590" s="194"/>
      <c r="B590" s="194"/>
      <c r="C590" s="194"/>
      <c r="D590" s="194"/>
    </row>
    <row r="591" spans="1:4" ht="12.75" customHeight="1">
      <c r="A591" s="194"/>
      <c r="B591" s="194"/>
      <c r="C591" s="194"/>
      <c r="D591" s="194"/>
    </row>
    <row r="592" spans="1:4" ht="12.75" customHeight="1">
      <c r="A592" s="194"/>
      <c r="B592" s="194"/>
      <c r="C592" s="194"/>
      <c r="D592" s="194"/>
    </row>
    <row r="593" spans="1:4" ht="12.75" customHeight="1">
      <c r="A593" s="194"/>
      <c r="B593" s="194"/>
      <c r="C593" s="194"/>
      <c r="D593" s="194"/>
    </row>
    <row r="594" spans="1:4" ht="12.75" customHeight="1">
      <c r="A594" s="194"/>
      <c r="B594" s="194"/>
      <c r="C594" s="194"/>
      <c r="D594" s="194"/>
    </row>
    <row r="595" spans="1:4" ht="12.75" customHeight="1">
      <c r="A595" s="194"/>
      <c r="B595" s="194"/>
      <c r="C595" s="194"/>
      <c r="D595" s="194"/>
    </row>
    <row r="596" spans="1:4" ht="12.75" customHeight="1">
      <c r="A596" s="194"/>
      <c r="B596" s="194"/>
      <c r="C596" s="194"/>
      <c r="D596" s="194"/>
    </row>
    <row r="597" spans="1:4" ht="12.75" customHeight="1">
      <c r="A597" s="194"/>
      <c r="B597" s="194"/>
      <c r="C597" s="194"/>
      <c r="D597" s="194"/>
    </row>
    <row r="598" spans="1:4" ht="12.75" customHeight="1">
      <c r="A598" s="194"/>
      <c r="B598" s="194"/>
      <c r="C598" s="194"/>
      <c r="D598" s="194"/>
    </row>
    <row r="599" spans="1:4" ht="12.75" customHeight="1">
      <c r="A599" s="194"/>
      <c r="B599" s="194"/>
      <c r="C599" s="194"/>
      <c r="D599" s="194"/>
    </row>
    <row r="600" spans="1:4" ht="12.75" customHeight="1">
      <c r="A600" s="194"/>
      <c r="B600" s="194"/>
      <c r="C600" s="194"/>
      <c r="D600" s="194"/>
    </row>
    <row r="601" spans="1:4" ht="12.75" customHeight="1">
      <c r="A601" s="194"/>
      <c r="B601" s="194"/>
      <c r="C601" s="194"/>
      <c r="D601" s="194"/>
    </row>
    <row r="602" spans="1:4" ht="12.75" customHeight="1">
      <c r="A602" s="194"/>
      <c r="B602" s="194"/>
      <c r="C602" s="194"/>
      <c r="D602" s="194"/>
    </row>
    <row r="603" spans="1:4" ht="12.75" customHeight="1">
      <c r="A603" s="194"/>
      <c r="B603" s="194"/>
      <c r="C603" s="194"/>
      <c r="D603" s="194"/>
    </row>
    <row r="604" spans="1:4" ht="12.75" customHeight="1">
      <c r="A604" s="194"/>
      <c r="B604" s="194"/>
      <c r="C604" s="194"/>
      <c r="D604" s="194"/>
    </row>
    <row r="605" spans="1:4" ht="12.75" customHeight="1">
      <c r="A605" s="194"/>
      <c r="B605" s="194"/>
      <c r="C605" s="194"/>
      <c r="D605" s="194"/>
    </row>
    <row r="606" spans="1:4" ht="12.75" customHeight="1">
      <c r="A606" s="194"/>
      <c r="B606" s="194"/>
      <c r="C606" s="194"/>
      <c r="D606" s="194"/>
    </row>
    <row r="607" spans="1:4" ht="12.75" customHeight="1">
      <c r="A607" s="194"/>
      <c r="B607" s="194"/>
      <c r="C607" s="194"/>
      <c r="D607" s="194"/>
    </row>
    <row r="608" spans="1:4" ht="12.75" customHeight="1">
      <c r="A608" s="194"/>
      <c r="B608" s="194"/>
      <c r="C608" s="194"/>
      <c r="D608" s="194"/>
    </row>
    <row r="609" spans="1:4" ht="12.75" customHeight="1">
      <c r="A609" s="194"/>
      <c r="B609" s="194"/>
      <c r="C609" s="194"/>
      <c r="D609" s="194"/>
    </row>
    <row r="610" spans="1:4" ht="12.75" customHeight="1">
      <c r="A610" s="194"/>
      <c r="B610" s="194"/>
      <c r="C610" s="194"/>
      <c r="D610" s="194"/>
    </row>
    <row r="611" spans="1:4" ht="12.75" customHeight="1">
      <c r="A611" s="194"/>
      <c r="B611" s="194"/>
      <c r="C611" s="194"/>
      <c r="D611" s="194"/>
    </row>
    <row r="612" spans="1:4" ht="12.75" customHeight="1">
      <c r="A612" s="194"/>
      <c r="B612" s="194"/>
      <c r="C612" s="194"/>
      <c r="D612" s="194"/>
    </row>
    <row r="613" spans="1:4" ht="12.75" customHeight="1">
      <c r="A613" s="194"/>
      <c r="B613" s="194"/>
      <c r="C613" s="194"/>
      <c r="D613" s="194"/>
    </row>
    <row r="614" spans="1:4" ht="12.75" customHeight="1">
      <c r="A614" s="194"/>
      <c r="B614" s="194"/>
      <c r="C614" s="194"/>
      <c r="D614" s="194"/>
    </row>
    <row r="615" spans="1:4" ht="12.75" customHeight="1">
      <c r="A615" s="194"/>
      <c r="B615" s="194"/>
      <c r="C615" s="194"/>
      <c r="D615" s="194"/>
    </row>
    <row r="616" spans="1:4" ht="12.75" customHeight="1">
      <c r="A616" s="194"/>
      <c r="B616" s="194"/>
      <c r="C616" s="194"/>
      <c r="D616" s="194"/>
    </row>
    <row r="617" spans="1:4" ht="12.75" customHeight="1">
      <c r="A617" s="194"/>
      <c r="B617" s="194"/>
      <c r="C617" s="194"/>
      <c r="D617" s="194"/>
    </row>
    <row r="618" spans="1:4" ht="12.75" customHeight="1">
      <c r="A618" s="194"/>
      <c r="B618" s="194"/>
      <c r="C618" s="194"/>
      <c r="D618" s="194"/>
    </row>
    <row r="619" spans="1:4" ht="12.75" customHeight="1">
      <c r="A619" s="194"/>
      <c r="B619" s="194"/>
      <c r="C619" s="194"/>
      <c r="D619" s="194"/>
    </row>
    <row r="620" spans="1:4" ht="12.75" customHeight="1">
      <c r="A620" s="194"/>
      <c r="B620" s="194"/>
      <c r="C620" s="194"/>
      <c r="D620" s="194"/>
    </row>
    <row r="621" spans="1:4" ht="12.75" customHeight="1">
      <c r="A621" s="194"/>
      <c r="B621" s="194"/>
      <c r="C621" s="194"/>
      <c r="D621" s="194"/>
    </row>
    <row r="622" spans="1:4" ht="12.75" customHeight="1">
      <c r="A622" s="194"/>
      <c r="B622" s="194"/>
      <c r="C622" s="194"/>
      <c r="D622" s="194"/>
    </row>
    <row r="623" spans="1:4" ht="12.75" customHeight="1">
      <c r="A623" s="194"/>
      <c r="B623" s="194"/>
      <c r="C623" s="194"/>
      <c r="D623" s="194"/>
    </row>
    <row r="624" spans="1:4" ht="12.75" customHeight="1">
      <c r="A624" s="194"/>
      <c r="B624" s="194"/>
      <c r="C624" s="194"/>
      <c r="D624" s="194"/>
    </row>
    <row r="625" spans="1:4" ht="12.75" customHeight="1">
      <c r="A625" s="194"/>
      <c r="B625" s="194"/>
      <c r="C625" s="194"/>
      <c r="D625" s="194"/>
    </row>
    <row r="626" spans="1:4" ht="12.75" customHeight="1">
      <c r="A626" s="194"/>
      <c r="B626" s="194"/>
      <c r="C626" s="194"/>
      <c r="D626" s="194"/>
    </row>
    <row r="627" spans="1:4" ht="12.75" customHeight="1">
      <c r="A627" s="194"/>
      <c r="B627" s="194"/>
      <c r="C627" s="194"/>
      <c r="D627" s="194"/>
    </row>
    <row r="628" spans="1:4" ht="12.75" customHeight="1">
      <c r="A628" s="194"/>
      <c r="B628" s="194"/>
      <c r="C628" s="194"/>
      <c r="D628" s="194"/>
    </row>
    <row r="629" spans="1:4" ht="12.75" customHeight="1">
      <c r="A629" s="194"/>
      <c r="B629" s="194"/>
      <c r="C629" s="194"/>
      <c r="D629" s="194"/>
    </row>
    <row r="630" spans="1:4" ht="12.75" customHeight="1">
      <c r="A630" s="194"/>
      <c r="B630" s="194"/>
      <c r="C630" s="194"/>
      <c r="D630" s="194"/>
    </row>
    <row r="631" spans="1:4" ht="12.75" customHeight="1">
      <c r="A631" s="194"/>
      <c r="B631" s="194"/>
      <c r="C631" s="194"/>
      <c r="D631" s="194"/>
    </row>
    <row r="632" spans="1:4" ht="12.75" customHeight="1">
      <c r="A632" s="194"/>
      <c r="B632" s="194"/>
      <c r="C632" s="194"/>
      <c r="D632" s="194"/>
    </row>
    <row r="633" spans="1:4" ht="12.75" customHeight="1">
      <c r="A633" s="194"/>
      <c r="B633" s="194"/>
      <c r="C633" s="194"/>
      <c r="D633" s="194"/>
    </row>
    <row r="634" spans="1:4" ht="12.75" customHeight="1">
      <c r="A634" s="194"/>
      <c r="B634" s="194"/>
      <c r="C634" s="194"/>
      <c r="D634" s="194"/>
    </row>
    <row r="635" spans="1:4" ht="12.75" customHeight="1">
      <c r="A635" s="194"/>
      <c r="B635" s="194"/>
      <c r="C635" s="194"/>
      <c r="D635" s="194"/>
    </row>
    <row r="636" spans="1:4" ht="12.75" customHeight="1">
      <c r="A636" s="194"/>
      <c r="B636" s="194"/>
      <c r="C636" s="194"/>
      <c r="D636" s="194"/>
    </row>
    <row r="637" spans="1:4" ht="12.75" customHeight="1">
      <c r="A637" s="194"/>
      <c r="B637" s="194"/>
      <c r="C637" s="194"/>
      <c r="D637" s="194"/>
    </row>
    <row r="638" spans="1:4" ht="12.75" customHeight="1">
      <c r="A638" s="194"/>
      <c r="B638" s="194"/>
      <c r="C638" s="194"/>
      <c r="D638" s="194"/>
    </row>
    <row r="639" spans="1:4" ht="12.75" customHeight="1">
      <c r="A639" s="194"/>
      <c r="B639" s="194"/>
      <c r="C639" s="194"/>
      <c r="D639" s="194"/>
    </row>
    <row r="640" spans="1:4" ht="12.75" customHeight="1">
      <c r="A640" s="194"/>
      <c r="B640" s="194"/>
      <c r="C640" s="194"/>
      <c r="D640" s="194"/>
    </row>
    <row r="641" spans="1:4" ht="12.75" customHeight="1">
      <c r="A641" s="194"/>
      <c r="B641" s="194"/>
      <c r="C641" s="194"/>
      <c r="D641" s="194"/>
    </row>
    <row r="642" spans="1:4" ht="12.75" customHeight="1">
      <c r="A642" s="194"/>
      <c r="B642" s="194"/>
      <c r="C642" s="194"/>
      <c r="D642" s="194"/>
    </row>
    <row r="643" spans="1:4" ht="12.75" customHeight="1">
      <c r="A643" s="194"/>
      <c r="B643" s="194"/>
      <c r="C643" s="194"/>
      <c r="D643" s="194"/>
    </row>
    <row r="644" spans="1:4" ht="12.75" customHeight="1">
      <c r="A644" s="194"/>
      <c r="B644" s="194"/>
      <c r="C644" s="194"/>
      <c r="D644" s="194"/>
    </row>
    <row r="645" spans="1:4" ht="12.75" customHeight="1">
      <c r="A645" s="194"/>
      <c r="B645" s="194"/>
      <c r="C645" s="194"/>
      <c r="D645" s="194"/>
    </row>
    <row r="646" spans="1:4" ht="12.75" customHeight="1">
      <c r="A646" s="194"/>
      <c r="B646" s="194"/>
      <c r="C646" s="194"/>
      <c r="D646" s="194"/>
    </row>
    <row r="647" spans="1:4" ht="12.75" customHeight="1">
      <c r="A647" s="194"/>
      <c r="B647" s="194"/>
      <c r="C647" s="194"/>
      <c r="D647" s="194"/>
    </row>
    <row r="648" spans="1:4" ht="12.75" customHeight="1">
      <c r="A648" s="194"/>
      <c r="B648" s="194"/>
      <c r="C648" s="194"/>
      <c r="D648" s="194"/>
    </row>
    <row r="649" spans="1:4" ht="12.75" customHeight="1">
      <c r="A649" s="194"/>
      <c r="B649" s="194"/>
      <c r="C649" s="194"/>
      <c r="D649" s="194"/>
    </row>
    <row r="650" spans="1:4" ht="12.75" customHeight="1">
      <c r="A650" s="194"/>
      <c r="B650" s="194"/>
      <c r="C650" s="194"/>
      <c r="D650" s="194"/>
    </row>
    <row r="651" spans="1:4" ht="12.75" customHeight="1">
      <c r="A651" s="194"/>
      <c r="B651" s="194"/>
      <c r="C651" s="194"/>
      <c r="D651" s="194"/>
    </row>
    <row r="652" spans="1:4" ht="12.75" customHeight="1">
      <c r="A652" s="194"/>
      <c r="B652" s="194"/>
      <c r="C652" s="194"/>
      <c r="D652" s="194"/>
    </row>
    <row r="653" spans="1:4" ht="12.75" customHeight="1">
      <c r="A653" s="194"/>
      <c r="B653" s="194"/>
      <c r="C653" s="194"/>
      <c r="D653" s="194"/>
    </row>
    <row r="654" spans="1:4" ht="12.75" customHeight="1">
      <c r="A654" s="194"/>
      <c r="B654" s="194"/>
      <c r="C654" s="194"/>
      <c r="D654" s="194"/>
    </row>
    <row r="655" spans="1:4" ht="12.75" customHeight="1">
      <c r="A655" s="194"/>
      <c r="B655" s="194"/>
      <c r="C655" s="194"/>
      <c r="D655" s="194"/>
    </row>
    <row r="656" spans="1:4" ht="12.75" customHeight="1">
      <c r="A656" s="194"/>
      <c r="B656" s="194"/>
      <c r="C656" s="194"/>
      <c r="D656" s="194"/>
    </row>
    <row r="657" spans="1:4" ht="12.75" customHeight="1">
      <c r="A657" s="194"/>
      <c r="B657" s="194"/>
      <c r="C657" s="194"/>
      <c r="D657" s="194"/>
    </row>
    <row r="658" spans="1:4" ht="12.75" customHeight="1">
      <c r="A658" s="194"/>
      <c r="B658" s="194"/>
      <c r="C658" s="194"/>
      <c r="D658" s="194"/>
    </row>
    <row r="659" spans="1:4" ht="12.75" customHeight="1">
      <c r="A659" s="194"/>
      <c r="B659" s="194"/>
      <c r="C659" s="194"/>
      <c r="D659" s="194"/>
    </row>
    <row r="660" spans="1:4" ht="12.75" customHeight="1">
      <c r="A660" s="194"/>
      <c r="B660" s="194"/>
      <c r="C660" s="194"/>
      <c r="D660" s="194"/>
    </row>
    <row r="661" spans="1:4" ht="12.75" customHeight="1">
      <c r="A661" s="194"/>
      <c r="B661" s="194"/>
      <c r="C661" s="194"/>
      <c r="D661" s="194"/>
    </row>
    <row r="662" spans="1:4" ht="12.75" customHeight="1">
      <c r="A662" s="194"/>
      <c r="B662" s="194"/>
      <c r="C662" s="194"/>
      <c r="D662" s="194"/>
    </row>
    <row r="663" spans="1:4" ht="12.75" customHeight="1">
      <c r="A663" s="194"/>
      <c r="B663" s="194"/>
      <c r="C663" s="194"/>
      <c r="D663" s="194"/>
    </row>
    <row r="664" spans="1:4" ht="12.75" customHeight="1">
      <c r="A664" s="194"/>
      <c r="B664" s="194"/>
      <c r="C664" s="194"/>
      <c r="D664" s="194"/>
    </row>
    <row r="665" spans="1:4" ht="12.75" customHeight="1">
      <c r="A665" s="194"/>
      <c r="B665" s="194"/>
      <c r="C665" s="194"/>
      <c r="D665" s="194"/>
    </row>
    <row r="666" spans="1:4" ht="12.75" customHeight="1">
      <c r="A666" s="194"/>
      <c r="B666" s="194"/>
      <c r="C666" s="194"/>
      <c r="D666" s="194"/>
    </row>
    <row r="667" spans="1:4" ht="12.75" customHeight="1">
      <c r="A667" s="194"/>
      <c r="B667" s="194"/>
      <c r="C667" s="194"/>
      <c r="D667" s="194"/>
    </row>
    <row r="668" spans="1:4" ht="12.75" customHeight="1">
      <c r="A668" s="194"/>
      <c r="B668" s="194"/>
      <c r="C668" s="194"/>
      <c r="D668" s="194"/>
    </row>
    <row r="669" spans="1:4" ht="12.75" customHeight="1">
      <c r="A669" s="194"/>
      <c r="B669" s="194"/>
      <c r="C669" s="194"/>
      <c r="D669" s="194"/>
    </row>
    <row r="670" spans="1:4" ht="12.75" customHeight="1">
      <c r="A670" s="194"/>
      <c r="B670" s="194"/>
      <c r="C670" s="194"/>
      <c r="D670" s="194"/>
    </row>
    <row r="671" spans="1:4" ht="12.75" customHeight="1">
      <c r="A671" s="194"/>
      <c r="B671" s="194"/>
      <c r="C671" s="194"/>
      <c r="D671" s="194"/>
    </row>
    <row r="672" spans="1:4" ht="12.75" customHeight="1">
      <c r="A672" s="194"/>
      <c r="B672" s="194"/>
      <c r="C672" s="194"/>
      <c r="D672" s="194"/>
    </row>
    <row r="673" spans="1:4" ht="12.75" customHeight="1">
      <c r="A673" s="194"/>
      <c r="B673" s="194"/>
      <c r="C673" s="194"/>
      <c r="D673" s="194"/>
    </row>
    <row r="674" spans="1:4" ht="12.75" customHeight="1">
      <c r="A674" s="194"/>
      <c r="B674" s="194"/>
      <c r="C674" s="194"/>
      <c r="D674" s="194"/>
    </row>
    <row r="675" spans="1:4" ht="12.75" customHeight="1">
      <c r="A675" s="194"/>
      <c r="B675" s="194"/>
      <c r="C675" s="194"/>
      <c r="D675" s="194"/>
    </row>
    <row r="676" spans="1:4" ht="12.75" customHeight="1">
      <c r="A676" s="194"/>
      <c r="B676" s="194"/>
      <c r="C676" s="194"/>
      <c r="D676" s="194"/>
    </row>
    <row r="677" spans="1:4" ht="12.75" customHeight="1">
      <c r="A677" s="194"/>
      <c r="B677" s="194"/>
      <c r="C677" s="194"/>
      <c r="D677" s="194"/>
    </row>
    <row r="678" spans="1:4" ht="12.75" customHeight="1">
      <c r="A678" s="194"/>
      <c r="B678" s="194"/>
      <c r="C678" s="194"/>
      <c r="D678" s="194"/>
    </row>
    <row r="679" spans="1:4" ht="12.75" customHeight="1">
      <c r="A679" s="194"/>
      <c r="B679" s="194"/>
      <c r="C679" s="194"/>
      <c r="D679" s="194"/>
    </row>
    <row r="680" spans="1:4" ht="12.75" customHeight="1">
      <c r="A680" s="194"/>
      <c r="B680" s="194"/>
      <c r="C680" s="194"/>
      <c r="D680" s="194"/>
    </row>
    <row r="681" spans="1:4" ht="12.75" customHeight="1">
      <c r="A681" s="194"/>
      <c r="B681" s="194"/>
      <c r="C681" s="194"/>
      <c r="D681" s="194"/>
    </row>
    <row r="682" spans="1:4" ht="12.75" customHeight="1">
      <c r="A682" s="194"/>
      <c r="B682" s="194"/>
      <c r="C682" s="194"/>
      <c r="D682" s="194"/>
    </row>
    <row r="683" spans="1:4" ht="12.75" customHeight="1">
      <c r="A683" s="194"/>
      <c r="B683" s="194"/>
      <c r="C683" s="194"/>
      <c r="D683" s="194"/>
    </row>
    <row r="684" spans="1:4" ht="12.75" customHeight="1">
      <c r="A684" s="194"/>
      <c r="B684" s="194"/>
      <c r="C684" s="194"/>
      <c r="D684" s="194"/>
    </row>
    <row r="685" spans="1:4" ht="12.75" customHeight="1">
      <c r="A685" s="194"/>
      <c r="B685" s="194"/>
      <c r="C685" s="194"/>
      <c r="D685" s="194"/>
    </row>
    <row r="686" spans="1:4" ht="12.75" customHeight="1">
      <c r="A686" s="194"/>
      <c r="B686" s="194"/>
      <c r="C686" s="194"/>
      <c r="D686" s="194"/>
    </row>
    <row r="687" spans="1:4" ht="12.75" customHeight="1">
      <c r="A687" s="194"/>
      <c r="B687" s="194"/>
      <c r="C687" s="194"/>
      <c r="D687" s="194"/>
    </row>
    <row r="688" spans="1:4" ht="12.75" customHeight="1">
      <c r="A688" s="194"/>
      <c r="B688" s="194"/>
      <c r="C688" s="194"/>
      <c r="D688" s="194"/>
    </row>
    <row r="689" spans="1:4" ht="12.75" customHeight="1">
      <c r="A689" s="194"/>
      <c r="B689" s="194"/>
      <c r="C689" s="194"/>
      <c r="D689" s="194"/>
    </row>
    <row r="690" spans="1:4" ht="12.75" customHeight="1">
      <c r="A690" s="194"/>
      <c r="B690" s="194"/>
      <c r="C690" s="194"/>
      <c r="D690" s="194"/>
    </row>
    <row r="691" spans="1:4" ht="12.75" customHeight="1">
      <c r="A691" s="194"/>
      <c r="B691" s="194"/>
      <c r="C691" s="194"/>
      <c r="D691" s="194"/>
    </row>
    <row r="692" spans="1:4" ht="12.75" customHeight="1">
      <c r="A692" s="194"/>
      <c r="B692" s="194"/>
      <c r="C692" s="194"/>
      <c r="D692" s="194"/>
    </row>
    <row r="693" spans="1:4" ht="12.75" customHeight="1">
      <c r="A693" s="194"/>
      <c r="B693" s="194"/>
      <c r="C693" s="194"/>
      <c r="D693" s="194"/>
    </row>
    <row r="694" spans="1:4" ht="12.75" customHeight="1">
      <c r="A694" s="194"/>
      <c r="B694" s="194"/>
      <c r="C694" s="194"/>
      <c r="D694" s="194"/>
    </row>
    <row r="695" spans="1:4" ht="12.75" customHeight="1">
      <c r="A695" s="194"/>
      <c r="B695" s="194"/>
      <c r="C695" s="194"/>
      <c r="D695" s="194"/>
    </row>
    <row r="696" spans="1:4" ht="12.75" customHeight="1">
      <c r="A696" s="194"/>
      <c r="B696" s="194"/>
      <c r="C696" s="194"/>
      <c r="D696" s="194"/>
    </row>
    <row r="697" spans="1:4" ht="12.75" customHeight="1">
      <c r="A697" s="194"/>
      <c r="B697" s="194"/>
      <c r="C697" s="194"/>
      <c r="D697" s="194"/>
    </row>
    <row r="698" spans="1:4" ht="12.75" customHeight="1">
      <c r="A698" s="194"/>
      <c r="B698" s="194"/>
      <c r="C698" s="194"/>
      <c r="D698" s="194"/>
    </row>
    <row r="699" spans="1:4" ht="12.75" customHeight="1">
      <c r="A699" s="194"/>
      <c r="B699" s="194"/>
      <c r="C699" s="194"/>
      <c r="D699" s="194"/>
    </row>
    <row r="700" spans="1:4" ht="12.75" customHeight="1">
      <c r="A700" s="194"/>
      <c r="B700" s="194"/>
      <c r="C700" s="194"/>
      <c r="D700" s="194"/>
    </row>
    <row r="701" spans="1:4" ht="12.75" customHeight="1">
      <c r="A701" s="194"/>
      <c r="B701" s="194"/>
      <c r="C701" s="194"/>
      <c r="D701" s="194"/>
    </row>
    <row r="702" spans="1:4" ht="12.75" customHeight="1">
      <c r="A702" s="194"/>
      <c r="B702" s="194"/>
      <c r="C702" s="194"/>
      <c r="D702" s="194"/>
    </row>
    <row r="703" spans="1:4" ht="12.75" customHeight="1">
      <c r="A703" s="194"/>
      <c r="B703" s="194"/>
      <c r="C703" s="194"/>
      <c r="D703" s="194"/>
    </row>
    <row r="704" spans="1:4" ht="12.75" customHeight="1">
      <c r="A704" s="194"/>
      <c r="B704" s="194"/>
      <c r="C704" s="194"/>
      <c r="D704" s="194"/>
    </row>
    <row r="705" spans="1:4" ht="12.75" customHeight="1">
      <c r="A705" s="194"/>
      <c r="B705" s="194"/>
      <c r="C705" s="194"/>
      <c r="D705" s="194"/>
    </row>
    <row r="706" spans="1:4" ht="12.75" customHeight="1">
      <c r="A706" s="194"/>
      <c r="B706" s="194"/>
      <c r="C706" s="194"/>
      <c r="D706" s="194"/>
    </row>
    <row r="707" spans="1:4" ht="12.75" customHeight="1">
      <c r="A707" s="194"/>
      <c r="B707" s="194"/>
      <c r="C707" s="194"/>
      <c r="D707" s="194"/>
    </row>
    <row r="708" spans="1:4" ht="12.75" customHeight="1">
      <c r="A708" s="194"/>
      <c r="B708" s="194"/>
      <c r="C708" s="194"/>
      <c r="D708" s="194"/>
    </row>
    <row r="709" spans="1:4" ht="12.75" customHeight="1">
      <c r="A709" s="194"/>
      <c r="B709" s="194"/>
      <c r="C709" s="194"/>
      <c r="D709" s="194"/>
    </row>
    <row r="710" spans="1:4" ht="12.75" customHeight="1">
      <c r="A710" s="194"/>
      <c r="B710" s="194"/>
      <c r="C710" s="194"/>
      <c r="D710" s="194"/>
    </row>
    <row r="711" spans="1:4" ht="12.75" customHeight="1">
      <c r="A711" s="194"/>
      <c r="B711" s="194"/>
      <c r="C711" s="194"/>
      <c r="D711" s="194"/>
    </row>
    <row r="712" spans="1:4" ht="12.75" customHeight="1">
      <c r="A712" s="194"/>
      <c r="B712" s="194"/>
      <c r="C712" s="194"/>
      <c r="D712" s="194"/>
    </row>
    <row r="713" spans="1:4" ht="12.75" customHeight="1">
      <c r="A713" s="194"/>
      <c r="B713" s="194"/>
      <c r="C713" s="194"/>
      <c r="D713" s="194"/>
    </row>
    <row r="714" spans="1:4" ht="12.75" customHeight="1">
      <c r="A714" s="194"/>
      <c r="B714" s="194"/>
      <c r="C714" s="194"/>
      <c r="D714" s="194"/>
    </row>
    <row r="715" spans="1:4" ht="12.75" customHeight="1">
      <c r="A715" s="194"/>
      <c r="B715" s="194"/>
      <c r="C715" s="194"/>
      <c r="D715" s="194"/>
    </row>
    <row r="716" spans="1:4" ht="12.75" customHeight="1">
      <c r="A716" s="194"/>
      <c r="B716" s="194"/>
      <c r="C716" s="194"/>
      <c r="D716" s="194"/>
    </row>
    <row r="717" spans="1:4" ht="12.75" customHeight="1">
      <c r="A717" s="194"/>
      <c r="B717" s="194"/>
      <c r="C717" s="194"/>
      <c r="D717" s="194"/>
    </row>
    <row r="718" spans="1:4" ht="12.75" customHeight="1">
      <c r="A718" s="194"/>
      <c r="B718" s="194"/>
      <c r="C718" s="194"/>
      <c r="D718" s="194"/>
    </row>
    <row r="719" spans="1:4" ht="12.75" customHeight="1">
      <c r="A719" s="194"/>
      <c r="B719" s="194"/>
      <c r="C719" s="194"/>
      <c r="D719" s="194"/>
    </row>
    <row r="720" spans="1:4" ht="12.75" customHeight="1">
      <c r="A720" s="194"/>
      <c r="B720" s="194"/>
      <c r="C720" s="194"/>
      <c r="D720" s="194"/>
    </row>
    <row r="721" spans="1:4" ht="12.75" customHeight="1">
      <c r="A721" s="194"/>
      <c r="B721" s="194"/>
      <c r="C721" s="194"/>
      <c r="D721" s="194"/>
    </row>
    <row r="722" spans="1:4" ht="12.75" customHeight="1">
      <c r="A722" s="194"/>
      <c r="B722" s="194"/>
      <c r="C722" s="194"/>
      <c r="D722" s="194"/>
    </row>
    <row r="723" spans="1:4" ht="12.75" customHeight="1">
      <c r="A723" s="194"/>
      <c r="B723" s="194"/>
      <c r="C723" s="194"/>
      <c r="D723" s="194"/>
    </row>
    <row r="724" spans="1:4" ht="12.75" customHeight="1">
      <c r="A724" s="194"/>
      <c r="B724" s="194"/>
      <c r="C724" s="194"/>
      <c r="D724" s="194"/>
    </row>
    <row r="725" spans="1:4" ht="12.75" customHeight="1">
      <c r="A725" s="194"/>
      <c r="B725" s="194"/>
      <c r="C725" s="194"/>
      <c r="D725" s="194"/>
    </row>
    <row r="726" spans="1:4" ht="12.75" customHeight="1">
      <c r="A726" s="194"/>
      <c r="B726" s="194"/>
      <c r="C726" s="194"/>
      <c r="D726" s="194"/>
    </row>
    <row r="727" spans="1:4" ht="12.75" customHeight="1">
      <c r="A727" s="194"/>
      <c r="B727" s="194"/>
      <c r="C727" s="194"/>
      <c r="D727" s="194"/>
    </row>
    <row r="728" spans="1:4" ht="12.75" customHeight="1">
      <c r="A728" s="194"/>
      <c r="B728" s="194"/>
      <c r="C728" s="194"/>
      <c r="D728" s="194"/>
    </row>
    <row r="729" spans="1:4" ht="12.75" customHeight="1">
      <c r="A729" s="194"/>
      <c r="B729" s="194"/>
      <c r="C729" s="194"/>
      <c r="D729" s="194"/>
    </row>
    <row r="730" spans="1:4" ht="12.75" customHeight="1">
      <c r="A730" s="194"/>
      <c r="B730" s="194"/>
      <c r="C730" s="194"/>
      <c r="D730" s="194"/>
    </row>
    <row r="731" spans="1:4" ht="12.75" customHeight="1">
      <c r="A731" s="194"/>
      <c r="B731" s="194"/>
      <c r="C731" s="194"/>
      <c r="D731" s="194"/>
    </row>
    <row r="732" spans="1:4" ht="12.75" customHeight="1">
      <c r="A732" s="194"/>
      <c r="B732" s="194"/>
      <c r="C732" s="194"/>
      <c r="D732" s="194"/>
    </row>
    <row r="733" spans="1:4" ht="12.75" customHeight="1">
      <c r="A733" s="194"/>
      <c r="B733" s="194"/>
      <c r="C733" s="194"/>
      <c r="D733" s="194"/>
    </row>
    <row r="734" spans="1:4" ht="12.75" customHeight="1">
      <c r="A734" s="194"/>
      <c r="B734" s="194"/>
      <c r="C734" s="194"/>
      <c r="D734" s="194"/>
    </row>
    <row r="735" spans="1:4" ht="12.75" customHeight="1">
      <c r="A735" s="194"/>
      <c r="B735" s="194"/>
      <c r="C735" s="194"/>
      <c r="D735" s="194"/>
    </row>
    <row r="736" spans="1:4" ht="12.75" customHeight="1">
      <c r="A736" s="194"/>
      <c r="B736" s="194"/>
      <c r="C736" s="194"/>
      <c r="D736" s="194"/>
    </row>
    <row r="737" spans="1:4" ht="12.75" customHeight="1">
      <c r="A737" s="194"/>
      <c r="B737" s="194"/>
      <c r="C737" s="194"/>
      <c r="D737" s="194"/>
    </row>
    <row r="738" spans="1:4" ht="12.75" customHeight="1">
      <c r="A738" s="194"/>
      <c r="B738" s="194"/>
      <c r="C738" s="194"/>
      <c r="D738" s="194"/>
    </row>
    <row r="739" spans="1:4" ht="12.75" customHeight="1">
      <c r="A739" s="194"/>
      <c r="B739" s="194"/>
      <c r="C739" s="194"/>
      <c r="D739" s="194"/>
    </row>
    <row r="740" spans="1:4" ht="12.75" customHeight="1">
      <c r="A740" s="194"/>
      <c r="B740" s="194"/>
      <c r="C740" s="194"/>
      <c r="D740" s="194"/>
    </row>
    <row r="741" spans="1:4" ht="12.75" customHeight="1">
      <c r="A741" s="194"/>
      <c r="B741" s="194"/>
      <c r="C741" s="194"/>
      <c r="D741" s="194"/>
    </row>
    <row r="742" spans="1:4" ht="12.75" customHeight="1">
      <c r="A742" s="194"/>
      <c r="B742" s="194"/>
      <c r="C742" s="194"/>
      <c r="D742" s="194"/>
    </row>
    <row r="743" spans="1:4" ht="12.75" customHeight="1">
      <c r="A743" s="194"/>
      <c r="B743" s="194"/>
      <c r="C743" s="194"/>
      <c r="D743" s="194"/>
    </row>
    <row r="744" spans="1:4" ht="12.75" customHeight="1">
      <c r="A744" s="194"/>
      <c r="B744" s="194"/>
      <c r="C744" s="194"/>
      <c r="D744" s="194"/>
    </row>
    <row r="745" spans="1:4" ht="12.75" customHeight="1">
      <c r="A745" s="194"/>
      <c r="B745" s="194"/>
      <c r="C745" s="194"/>
      <c r="D745" s="194"/>
    </row>
    <row r="746" spans="1:4" ht="12.75" customHeight="1">
      <c r="A746" s="194"/>
      <c r="B746" s="194"/>
      <c r="C746" s="194"/>
      <c r="D746" s="194"/>
    </row>
    <row r="747" spans="1:4" ht="12.75" customHeight="1">
      <c r="A747" s="194"/>
      <c r="B747" s="194"/>
      <c r="C747" s="194"/>
      <c r="D747" s="194"/>
    </row>
    <row r="748" spans="1:4" ht="12.75" customHeight="1">
      <c r="A748" s="194"/>
      <c r="B748" s="194"/>
      <c r="C748" s="194"/>
      <c r="D748" s="194"/>
    </row>
    <row r="749" spans="1:4" ht="12.75" customHeight="1">
      <c r="A749" s="194"/>
      <c r="B749" s="194"/>
      <c r="C749" s="194"/>
      <c r="D749" s="194"/>
    </row>
    <row r="750" spans="1:4" ht="12.75" customHeight="1">
      <c r="A750" s="194"/>
      <c r="B750" s="194"/>
      <c r="C750" s="194"/>
      <c r="D750" s="194"/>
    </row>
    <row r="751" spans="1:4" ht="12.75" customHeight="1">
      <c r="A751" s="194"/>
      <c r="B751" s="194"/>
      <c r="C751" s="194"/>
      <c r="D751" s="194"/>
    </row>
    <row r="752" spans="1:4" ht="12.75" customHeight="1">
      <c r="A752" s="194"/>
      <c r="B752" s="194"/>
      <c r="C752" s="194"/>
      <c r="D752" s="194"/>
    </row>
    <row r="753" spans="1:4" ht="12.75" customHeight="1">
      <c r="A753" s="194"/>
      <c r="B753" s="194"/>
      <c r="C753" s="194"/>
      <c r="D753" s="194"/>
    </row>
    <row r="754" spans="1:4" ht="12.75" customHeight="1">
      <c r="A754" s="194"/>
      <c r="B754" s="194"/>
      <c r="C754" s="194"/>
      <c r="D754" s="194"/>
    </row>
    <row r="755" spans="1:4" ht="12.75" customHeight="1">
      <c r="A755" s="194"/>
      <c r="B755" s="194"/>
      <c r="C755" s="194"/>
      <c r="D755" s="194"/>
    </row>
    <row r="756" spans="1:4" ht="12.75" customHeight="1">
      <c r="A756" s="194"/>
      <c r="B756" s="194"/>
      <c r="C756" s="194"/>
      <c r="D756" s="194"/>
    </row>
    <row r="757" spans="1:4" ht="12.75" customHeight="1">
      <c r="A757" s="194"/>
      <c r="B757" s="194"/>
      <c r="C757" s="194"/>
      <c r="D757" s="194"/>
    </row>
    <row r="758" spans="1:4" ht="12.75" customHeight="1">
      <c r="A758" s="194"/>
      <c r="B758" s="194"/>
      <c r="C758" s="194"/>
      <c r="D758" s="194"/>
    </row>
    <row r="759" spans="1:4" ht="12.75" customHeight="1">
      <c r="A759" s="194"/>
      <c r="B759" s="194"/>
      <c r="C759" s="194"/>
      <c r="D759" s="194"/>
    </row>
    <row r="760" spans="1:4" ht="12.75" customHeight="1">
      <c r="A760" s="194"/>
      <c r="B760" s="194"/>
      <c r="C760" s="194"/>
      <c r="D760" s="194"/>
    </row>
    <row r="761" spans="1:4" ht="12.75" customHeight="1">
      <c r="A761" s="194"/>
      <c r="B761" s="194"/>
      <c r="C761" s="194"/>
      <c r="D761" s="194"/>
    </row>
    <row r="762" spans="1:4" ht="12.75" customHeight="1">
      <c r="A762" s="194"/>
      <c r="B762" s="194"/>
      <c r="C762" s="194"/>
      <c r="D762" s="194"/>
    </row>
    <row r="763" spans="1:4" ht="12.75" customHeight="1">
      <c r="A763" s="194"/>
      <c r="B763" s="194"/>
      <c r="C763" s="194"/>
      <c r="D763" s="194"/>
    </row>
    <row r="764" spans="1:4" ht="12.75" customHeight="1">
      <c r="A764" s="194"/>
      <c r="B764" s="194"/>
      <c r="C764" s="194"/>
      <c r="D764" s="194"/>
    </row>
    <row r="765" spans="1:4" ht="12.75" customHeight="1">
      <c r="A765" s="194"/>
      <c r="B765" s="194"/>
      <c r="C765" s="194"/>
      <c r="D765" s="194"/>
    </row>
    <row r="766" spans="1:4" ht="12.75" customHeight="1">
      <c r="A766" s="194"/>
      <c r="B766" s="194"/>
      <c r="C766" s="194"/>
      <c r="D766" s="194"/>
    </row>
    <row r="767" spans="1:4" ht="12.75" customHeight="1">
      <c r="A767" s="194"/>
      <c r="B767" s="194"/>
      <c r="C767" s="194"/>
      <c r="D767" s="194"/>
    </row>
    <row r="768" spans="1:4" ht="12.75" customHeight="1">
      <c r="A768" s="194"/>
      <c r="B768" s="194"/>
      <c r="C768" s="194"/>
      <c r="D768" s="194"/>
    </row>
    <row r="769" spans="1:4" ht="12.75" customHeight="1">
      <c r="A769" s="194"/>
      <c r="B769" s="194"/>
      <c r="C769" s="194"/>
      <c r="D769" s="194"/>
    </row>
    <row r="770" spans="1:4" ht="12.75" customHeight="1">
      <c r="A770" s="194"/>
      <c r="B770" s="194"/>
      <c r="C770" s="194"/>
      <c r="D770" s="194"/>
    </row>
    <row r="771" spans="1:4" ht="12.75" customHeight="1">
      <c r="A771" s="194"/>
      <c r="B771" s="194"/>
      <c r="C771" s="194"/>
      <c r="D771" s="194"/>
    </row>
    <row r="772" spans="1:4" ht="12.75" customHeight="1">
      <c r="A772" s="194"/>
      <c r="B772" s="194"/>
      <c r="C772" s="194"/>
      <c r="D772" s="194"/>
    </row>
    <row r="773" spans="1:4" ht="12.75" customHeight="1">
      <c r="A773" s="194"/>
      <c r="B773" s="194"/>
      <c r="C773" s="194"/>
      <c r="D773" s="194"/>
    </row>
    <row r="774" spans="1:4" ht="12.75" customHeight="1">
      <c r="A774" s="194"/>
      <c r="B774" s="194"/>
      <c r="C774" s="194"/>
      <c r="D774" s="194"/>
    </row>
    <row r="775" spans="1:4" ht="12.75" customHeight="1">
      <c r="A775" s="194"/>
      <c r="B775" s="194"/>
      <c r="C775" s="194"/>
      <c r="D775" s="194"/>
    </row>
    <row r="776" spans="1:4" ht="12.75" customHeight="1">
      <c r="A776" s="194"/>
      <c r="B776" s="194"/>
      <c r="C776" s="194"/>
      <c r="D776" s="194"/>
    </row>
    <row r="777" spans="1:4" ht="12.75" customHeight="1">
      <c r="A777" s="194"/>
      <c r="B777" s="194"/>
      <c r="C777" s="194"/>
      <c r="D777" s="194"/>
    </row>
    <row r="778" spans="1:4" ht="12.75" customHeight="1">
      <c r="A778" s="194"/>
      <c r="B778" s="194"/>
      <c r="C778" s="194"/>
      <c r="D778" s="194"/>
    </row>
    <row r="779" spans="1:4" ht="12.75" customHeight="1">
      <c r="A779" s="194"/>
      <c r="B779" s="194"/>
      <c r="C779" s="194"/>
      <c r="D779" s="194"/>
    </row>
    <row r="780" spans="1:4" ht="12.75" customHeight="1">
      <c r="A780" s="194"/>
      <c r="B780" s="194"/>
      <c r="C780" s="194"/>
      <c r="D780" s="194"/>
    </row>
    <row r="781" spans="1:4" ht="12.75" customHeight="1">
      <c r="A781" s="194"/>
      <c r="B781" s="194"/>
      <c r="C781" s="194"/>
      <c r="D781" s="194"/>
    </row>
    <row r="782" spans="1:4" ht="12.75" customHeight="1">
      <c r="A782" s="194"/>
      <c r="B782" s="194"/>
      <c r="C782" s="194"/>
      <c r="D782" s="194"/>
    </row>
    <row r="783" spans="1:4" ht="12.75" customHeight="1">
      <c r="A783" s="194"/>
      <c r="B783" s="194"/>
      <c r="C783" s="194"/>
      <c r="D783" s="194"/>
    </row>
    <row r="784" spans="1:4" ht="12.75" customHeight="1">
      <c r="A784" s="194"/>
      <c r="B784" s="194"/>
      <c r="C784" s="194"/>
      <c r="D784" s="194"/>
    </row>
    <row r="785" spans="1:4" ht="12.75" customHeight="1">
      <c r="A785" s="194"/>
      <c r="B785" s="194"/>
      <c r="C785" s="194"/>
      <c r="D785" s="194"/>
    </row>
    <row r="786" spans="1:4" ht="12.75" customHeight="1">
      <c r="A786" s="194"/>
      <c r="B786" s="194"/>
      <c r="C786" s="194"/>
      <c r="D786" s="194"/>
    </row>
    <row r="787" spans="1:4" ht="12.75" customHeight="1">
      <c r="A787" s="194"/>
      <c r="B787" s="194"/>
      <c r="C787" s="194"/>
      <c r="D787" s="194"/>
    </row>
    <row r="788" spans="1:4" ht="12.75" customHeight="1">
      <c r="A788" s="194"/>
      <c r="B788" s="194"/>
      <c r="C788" s="194"/>
      <c r="D788" s="194"/>
    </row>
    <row r="789" spans="1:4" ht="12.75" customHeight="1">
      <c r="A789" s="194"/>
      <c r="B789" s="194"/>
      <c r="C789" s="194"/>
      <c r="D789" s="194"/>
    </row>
    <row r="790" spans="1:4" ht="12.75" customHeight="1">
      <c r="A790" s="194"/>
      <c r="B790" s="194"/>
      <c r="C790" s="194"/>
      <c r="D790" s="194"/>
    </row>
    <row r="791" spans="1:4" ht="12.75" customHeight="1">
      <c r="A791" s="194"/>
      <c r="B791" s="194"/>
      <c r="C791" s="194"/>
      <c r="D791" s="194"/>
    </row>
    <row r="792" spans="1:4" ht="12.75" customHeight="1">
      <c r="A792" s="194"/>
      <c r="B792" s="194"/>
      <c r="C792" s="194"/>
      <c r="D792" s="194"/>
    </row>
    <row r="793" spans="1:4" ht="12.75" customHeight="1">
      <c r="A793" s="194"/>
      <c r="B793" s="194"/>
      <c r="C793" s="194"/>
      <c r="D793" s="194"/>
    </row>
    <row r="794" spans="1:4" ht="12.75" customHeight="1">
      <c r="A794" s="194"/>
      <c r="B794" s="194"/>
      <c r="C794" s="194"/>
      <c r="D794" s="194"/>
    </row>
    <row r="795" spans="1:4" ht="12.75" customHeight="1">
      <c r="A795" s="194"/>
      <c r="B795" s="194"/>
      <c r="C795" s="194"/>
      <c r="D795" s="194"/>
    </row>
    <row r="796" spans="1:4" ht="12.75" customHeight="1">
      <c r="A796" s="194"/>
      <c r="B796" s="194"/>
      <c r="C796" s="194"/>
      <c r="D796" s="194"/>
    </row>
    <row r="797" spans="1:4" ht="12.75" customHeight="1">
      <c r="A797" s="194"/>
      <c r="B797" s="194"/>
      <c r="C797" s="194"/>
      <c r="D797" s="194"/>
    </row>
    <row r="798" spans="1:4" ht="12.75" customHeight="1">
      <c r="A798" s="194"/>
      <c r="B798" s="194"/>
      <c r="C798" s="194"/>
      <c r="D798" s="194"/>
    </row>
    <row r="799" spans="1:4" ht="12.75" customHeight="1">
      <c r="A799" s="194"/>
      <c r="B799" s="194"/>
      <c r="C799" s="194"/>
      <c r="D799" s="194"/>
    </row>
    <row r="800" spans="1:4" ht="12.75" customHeight="1">
      <c r="A800" s="194"/>
      <c r="B800" s="194"/>
      <c r="C800" s="194"/>
      <c r="D800" s="194"/>
    </row>
    <row r="801" spans="1:4" ht="12.75" customHeight="1">
      <c r="A801" s="194"/>
      <c r="B801" s="194"/>
      <c r="C801" s="194"/>
      <c r="D801" s="194"/>
    </row>
    <row r="802" spans="1:4" ht="12.75" customHeight="1">
      <c r="A802" s="194"/>
      <c r="B802" s="194"/>
      <c r="C802" s="194"/>
      <c r="D802" s="194"/>
    </row>
    <row r="803" spans="1:4" ht="12.75" customHeight="1">
      <c r="A803" s="194"/>
      <c r="B803" s="194"/>
      <c r="C803" s="194"/>
      <c r="D803" s="194"/>
    </row>
    <row r="804" spans="1:4" ht="12.75" customHeight="1">
      <c r="A804" s="194"/>
      <c r="B804" s="194"/>
      <c r="C804" s="194"/>
      <c r="D804" s="194"/>
    </row>
    <row r="805" spans="1:4" ht="12.75" customHeight="1">
      <c r="A805" s="194"/>
      <c r="B805" s="194"/>
      <c r="C805" s="194"/>
      <c r="D805" s="194"/>
    </row>
    <row r="806" spans="1:4" ht="12.75" customHeight="1">
      <c r="A806" s="194"/>
      <c r="B806" s="194"/>
      <c r="C806" s="194"/>
      <c r="D806" s="194"/>
    </row>
    <row r="807" spans="1:4" ht="12.75" customHeight="1">
      <c r="A807" s="194"/>
      <c r="B807" s="194"/>
      <c r="C807" s="194"/>
      <c r="D807" s="194"/>
    </row>
    <row r="808" spans="1:4" ht="12.75" customHeight="1">
      <c r="A808" s="194"/>
      <c r="B808" s="194"/>
      <c r="C808" s="194"/>
      <c r="D808" s="194"/>
    </row>
    <row r="809" spans="1:4" ht="12.75" customHeight="1">
      <c r="A809" s="194"/>
      <c r="B809" s="194"/>
      <c r="C809" s="194"/>
      <c r="D809" s="194"/>
    </row>
    <row r="810" spans="1:4" ht="12.75" customHeight="1">
      <c r="A810" s="194"/>
      <c r="B810" s="194"/>
      <c r="C810" s="194"/>
      <c r="D810" s="194"/>
    </row>
    <row r="811" spans="1:4" ht="12.75" customHeight="1">
      <c r="A811" s="194"/>
      <c r="B811" s="194"/>
      <c r="C811" s="194"/>
      <c r="D811" s="194"/>
    </row>
    <row r="812" spans="1:4" ht="12.75" customHeight="1">
      <c r="A812" s="194"/>
      <c r="B812" s="194"/>
      <c r="C812" s="194"/>
      <c r="D812" s="194"/>
    </row>
    <row r="813" spans="1:4" ht="12.75" customHeight="1">
      <c r="A813" s="194"/>
      <c r="B813" s="194"/>
      <c r="C813" s="194"/>
      <c r="D813" s="194"/>
    </row>
    <row r="814" spans="1:4" ht="12.75" customHeight="1">
      <c r="A814" s="194"/>
      <c r="B814" s="194"/>
      <c r="C814" s="194"/>
      <c r="D814" s="194"/>
    </row>
    <row r="815" spans="1:4" ht="12.75" customHeight="1">
      <c r="A815" s="194"/>
      <c r="B815" s="194"/>
      <c r="C815" s="194"/>
      <c r="D815" s="194"/>
    </row>
    <row r="816" spans="1:4" ht="12.75" customHeight="1">
      <c r="A816" s="194"/>
      <c r="B816" s="194"/>
      <c r="C816" s="194"/>
      <c r="D816" s="194"/>
    </row>
    <row r="817" spans="1:4" ht="12.75" customHeight="1">
      <c r="A817" s="194"/>
      <c r="B817" s="194"/>
      <c r="C817" s="194"/>
      <c r="D817" s="194"/>
    </row>
    <row r="818" spans="1:4" ht="12.75" customHeight="1">
      <c r="A818" s="194"/>
      <c r="B818" s="194"/>
      <c r="C818" s="194"/>
      <c r="D818" s="194"/>
    </row>
    <row r="819" spans="1:4" ht="12.75" customHeight="1">
      <c r="A819" s="194"/>
      <c r="B819" s="194"/>
      <c r="C819" s="194"/>
      <c r="D819" s="194"/>
    </row>
    <row r="820" spans="1:4" ht="12.75" customHeight="1">
      <c r="A820" s="194"/>
      <c r="B820" s="194"/>
      <c r="C820" s="194"/>
      <c r="D820" s="194"/>
    </row>
    <row r="821" spans="1:4" ht="12.75" customHeight="1">
      <c r="A821" s="194"/>
      <c r="B821" s="194"/>
      <c r="C821" s="194"/>
      <c r="D821" s="194"/>
    </row>
    <row r="822" spans="1:4" ht="12.75" customHeight="1">
      <c r="A822" s="194"/>
      <c r="B822" s="194"/>
      <c r="C822" s="194"/>
      <c r="D822" s="194"/>
    </row>
    <row r="823" spans="1:4" ht="12.75" customHeight="1">
      <c r="A823" s="194"/>
      <c r="B823" s="194"/>
      <c r="C823" s="194"/>
      <c r="D823" s="194"/>
    </row>
    <row r="824" spans="1:4" ht="12.75" customHeight="1">
      <c r="A824" s="194"/>
      <c r="B824" s="194"/>
      <c r="C824" s="194"/>
      <c r="D824" s="194"/>
    </row>
    <row r="825" spans="1:4" ht="12.75" customHeight="1">
      <c r="A825" s="194"/>
      <c r="B825" s="194"/>
      <c r="C825" s="194"/>
      <c r="D825" s="194"/>
    </row>
    <row r="826" spans="1:4" ht="12.75" customHeight="1">
      <c r="A826" s="194"/>
      <c r="B826" s="194"/>
      <c r="C826" s="194"/>
      <c r="D826" s="194"/>
    </row>
    <row r="827" spans="1:4" ht="12.75" customHeight="1">
      <c r="A827" s="194"/>
      <c r="B827" s="194"/>
      <c r="C827" s="194"/>
      <c r="D827" s="194"/>
    </row>
    <row r="828" spans="1:4" ht="12.75" customHeight="1">
      <c r="A828" s="194"/>
      <c r="B828" s="194"/>
      <c r="C828" s="194"/>
      <c r="D828" s="194"/>
    </row>
    <row r="829" spans="1:4" ht="12.75" customHeight="1">
      <c r="A829" s="194"/>
      <c r="B829" s="194"/>
      <c r="C829" s="194"/>
      <c r="D829" s="194"/>
    </row>
    <row r="830" spans="1:4" ht="12.75" customHeight="1">
      <c r="A830" s="194"/>
      <c r="B830" s="194"/>
      <c r="C830" s="194"/>
      <c r="D830" s="194"/>
    </row>
    <row r="831" spans="1:4" ht="12.75" customHeight="1">
      <c r="A831" s="194"/>
      <c r="B831" s="194"/>
      <c r="C831" s="194"/>
      <c r="D831" s="194"/>
    </row>
    <row r="832" spans="1:4" ht="12.75" customHeight="1">
      <c r="A832" s="194"/>
      <c r="B832" s="194"/>
      <c r="C832" s="194"/>
      <c r="D832" s="194"/>
    </row>
    <row r="833" spans="1:4" ht="12.75" customHeight="1">
      <c r="A833" s="194"/>
      <c r="B833" s="194"/>
      <c r="C833" s="194"/>
      <c r="D833" s="194"/>
    </row>
    <row r="834" spans="1:4" ht="12.75" customHeight="1">
      <c r="A834" s="194"/>
      <c r="B834" s="194"/>
      <c r="C834" s="194"/>
      <c r="D834" s="194"/>
    </row>
    <row r="835" spans="1:4" ht="12.75" customHeight="1">
      <c r="A835" s="194"/>
      <c r="B835" s="194"/>
      <c r="C835" s="194"/>
      <c r="D835" s="194"/>
    </row>
    <row r="836" spans="1:4" ht="12.75" customHeight="1">
      <c r="A836" s="194"/>
      <c r="B836" s="194"/>
      <c r="C836" s="194"/>
      <c r="D836" s="194"/>
    </row>
    <row r="837" spans="1:4" ht="12.75" customHeight="1">
      <c r="A837" s="194"/>
      <c r="B837" s="194"/>
      <c r="C837" s="194"/>
      <c r="D837" s="194"/>
    </row>
    <row r="838" spans="1:4" ht="12.75" customHeight="1">
      <c r="A838" s="194"/>
      <c r="B838" s="194"/>
      <c r="C838" s="194"/>
      <c r="D838" s="194"/>
    </row>
    <row r="839" spans="1:4" ht="12.75" customHeight="1">
      <c r="A839" s="194"/>
      <c r="B839" s="194"/>
      <c r="C839" s="194"/>
      <c r="D839" s="194"/>
    </row>
    <row r="840" spans="1:4" ht="12.75" customHeight="1">
      <c r="A840" s="194"/>
      <c r="B840" s="194"/>
      <c r="C840" s="194"/>
      <c r="D840" s="194"/>
    </row>
    <row r="841" spans="1:4" ht="12.75" customHeight="1">
      <c r="A841" s="194"/>
      <c r="B841" s="194"/>
      <c r="C841" s="194"/>
      <c r="D841" s="194"/>
    </row>
    <row r="842" spans="1:4" ht="12.75" customHeight="1">
      <c r="A842" s="194"/>
      <c r="B842" s="194"/>
      <c r="C842" s="194"/>
      <c r="D842" s="194"/>
    </row>
    <row r="843" spans="1:4" ht="12.75" customHeight="1">
      <c r="A843" s="194"/>
      <c r="B843" s="194"/>
      <c r="C843" s="194"/>
      <c r="D843" s="194"/>
    </row>
    <row r="844" spans="1:4" ht="12.75" customHeight="1">
      <c r="A844" s="194"/>
      <c r="B844" s="194"/>
      <c r="C844" s="194"/>
      <c r="D844" s="194"/>
    </row>
    <row r="845" spans="1:4" ht="12.75" customHeight="1">
      <c r="A845" s="194"/>
      <c r="B845" s="194"/>
      <c r="C845" s="194"/>
      <c r="D845" s="194"/>
    </row>
    <row r="846" spans="1:4" ht="12.75" customHeight="1">
      <c r="A846" s="194"/>
      <c r="B846" s="194"/>
      <c r="C846" s="194"/>
      <c r="D846" s="194"/>
    </row>
    <row r="847" spans="1:4" ht="12.75" customHeight="1">
      <c r="A847" s="194"/>
      <c r="B847" s="194"/>
      <c r="C847" s="194"/>
      <c r="D847" s="194"/>
    </row>
    <row r="848" spans="1:4" ht="12.75" customHeight="1">
      <c r="A848" s="194"/>
      <c r="B848" s="194"/>
      <c r="C848" s="194"/>
      <c r="D848" s="194"/>
    </row>
    <row r="849" spans="1:4" ht="12.75" customHeight="1">
      <c r="A849" s="194"/>
      <c r="B849" s="194"/>
      <c r="C849" s="194"/>
      <c r="D849" s="194"/>
    </row>
    <row r="850" spans="1:4" ht="12.75" customHeight="1">
      <c r="A850" s="194"/>
      <c r="B850" s="194"/>
      <c r="C850" s="194"/>
      <c r="D850" s="194"/>
    </row>
    <row r="851" spans="1:4" ht="12.75" customHeight="1">
      <c r="A851" s="194"/>
      <c r="B851" s="194"/>
      <c r="C851" s="194"/>
      <c r="D851" s="194"/>
    </row>
    <row r="852" spans="1:4" ht="12.75" customHeight="1">
      <c r="A852" s="194"/>
      <c r="B852" s="194"/>
      <c r="C852" s="194"/>
      <c r="D852" s="194"/>
    </row>
    <row r="853" spans="1:4" ht="12.75" customHeight="1">
      <c r="A853" s="194"/>
      <c r="B853" s="194"/>
      <c r="C853" s="194"/>
      <c r="D853" s="194"/>
    </row>
    <row r="854" spans="1:4" ht="12.75" customHeight="1">
      <c r="A854" s="194"/>
      <c r="B854" s="194"/>
      <c r="C854" s="194"/>
      <c r="D854" s="194"/>
    </row>
    <row r="855" spans="1:4" ht="12.75" customHeight="1">
      <c r="A855" s="194"/>
      <c r="B855" s="194"/>
      <c r="C855" s="194"/>
      <c r="D855" s="194"/>
    </row>
    <row r="856" spans="1:4" ht="12.75" customHeight="1">
      <c r="A856" s="194"/>
      <c r="B856" s="194"/>
      <c r="C856" s="194"/>
      <c r="D856" s="194"/>
    </row>
    <row r="857" spans="1:4" ht="12.75" customHeight="1">
      <c r="A857" s="194"/>
      <c r="B857" s="194"/>
      <c r="C857" s="194"/>
      <c r="D857" s="194"/>
    </row>
    <row r="858" spans="1:4" ht="12.75" customHeight="1">
      <c r="A858" s="194"/>
      <c r="B858" s="194"/>
      <c r="C858" s="194"/>
      <c r="D858" s="194"/>
    </row>
    <row r="859" spans="1:4" ht="12.75" customHeight="1">
      <c r="A859" s="194"/>
      <c r="B859" s="194"/>
      <c r="C859" s="194"/>
      <c r="D859" s="194"/>
    </row>
    <row r="860" spans="1:4" ht="12.75" customHeight="1">
      <c r="A860" s="194"/>
      <c r="B860" s="194"/>
      <c r="C860" s="194"/>
      <c r="D860" s="194"/>
    </row>
    <row r="861" spans="1:4" ht="12.75" customHeight="1">
      <c r="A861" s="194"/>
      <c r="B861" s="194"/>
      <c r="C861" s="194"/>
      <c r="D861" s="194"/>
    </row>
    <row r="862" spans="1:4" ht="12.75" customHeight="1">
      <c r="A862" s="194"/>
      <c r="B862" s="194"/>
      <c r="C862" s="194"/>
      <c r="D862" s="194"/>
    </row>
    <row r="863" spans="1:4" ht="12.75" customHeight="1">
      <c r="A863" s="194"/>
      <c r="B863" s="194"/>
      <c r="C863" s="194"/>
      <c r="D863" s="194"/>
    </row>
    <row r="864" spans="1:4" ht="12.75" customHeight="1">
      <c r="A864" s="194"/>
      <c r="B864" s="194"/>
      <c r="C864" s="194"/>
      <c r="D864" s="194"/>
    </row>
    <row r="865" spans="1:4" ht="12.75" customHeight="1">
      <c r="A865" s="194"/>
      <c r="B865" s="194"/>
      <c r="C865" s="194"/>
      <c r="D865" s="194"/>
    </row>
    <row r="866" spans="1:4" ht="12.75" customHeight="1">
      <c r="A866" s="194"/>
      <c r="B866" s="194"/>
      <c r="C866" s="194"/>
      <c r="D866" s="194"/>
    </row>
    <row r="867" spans="1:4" ht="12.75" customHeight="1">
      <c r="A867" s="194"/>
      <c r="B867" s="194"/>
      <c r="C867" s="194"/>
      <c r="D867" s="194"/>
    </row>
    <row r="868" spans="1:4" ht="12.75" customHeight="1">
      <c r="A868" s="194"/>
      <c r="B868" s="194"/>
      <c r="C868" s="194"/>
      <c r="D868" s="194"/>
    </row>
    <row r="869" spans="1:4" ht="12.75" customHeight="1">
      <c r="A869" s="194"/>
      <c r="B869" s="194"/>
      <c r="C869" s="194"/>
      <c r="D869" s="194"/>
    </row>
    <row r="870" spans="1:4" ht="12.75" customHeight="1">
      <c r="A870" s="194"/>
      <c r="B870" s="194"/>
      <c r="C870" s="194"/>
      <c r="D870" s="194"/>
    </row>
    <row r="871" spans="1:4" ht="12.75" customHeight="1">
      <c r="A871" s="194"/>
      <c r="B871" s="194"/>
      <c r="C871" s="194"/>
      <c r="D871" s="194"/>
    </row>
    <row r="872" spans="1:4" ht="12.75" customHeight="1">
      <c r="A872" s="194"/>
      <c r="B872" s="194"/>
      <c r="C872" s="194"/>
      <c r="D872" s="194"/>
    </row>
    <row r="873" spans="1:4" ht="12.75" customHeight="1">
      <c r="A873" s="194"/>
      <c r="B873" s="194"/>
      <c r="C873" s="194"/>
      <c r="D873" s="194"/>
    </row>
    <row r="874" spans="1:4" ht="12.75" customHeight="1">
      <c r="A874" s="194"/>
      <c r="B874" s="194"/>
      <c r="C874" s="194"/>
      <c r="D874" s="194"/>
    </row>
    <row r="875" spans="1:4" ht="12.75" customHeight="1">
      <c r="A875" s="194"/>
      <c r="B875" s="194"/>
      <c r="C875" s="194"/>
      <c r="D875" s="194"/>
    </row>
    <row r="876" spans="1:4" ht="12.75" customHeight="1">
      <c r="A876" s="194"/>
      <c r="B876" s="194"/>
      <c r="C876" s="194"/>
      <c r="D876" s="194"/>
    </row>
    <row r="877" spans="1:4" ht="12.75" customHeight="1">
      <c r="A877" s="194"/>
      <c r="B877" s="194"/>
      <c r="C877" s="194"/>
      <c r="D877" s="194"/>
    </row>
    <row r="878" spans="1:4" ht="12.75" customHeight="1">
      <c r="A878" s="194"/>
      <c r="B878" s="194"/>
      <c r="C878" s="194"/>
      <c r="D878" s="194"/>
    </row>
    <row r="879" spans="1:4" ht="12.75" customHeight="1">
      <c r="A879" s="194"/>
      <c r="B879" s="194"/>
      <c r="C879" s="194"/>
      <c r="D879" s="194"/>
    </row>
    <row r="880" spans="1:4" ht="12.75" customHeight="1">
      <c r="A880" s="194"/>
      <c r="B880" s="194"/>
      <c r="C880" s="194"/>
      <c r="D880" s="194"/>
    </row>
    <row r="881" spans="1:4" ht="12.75" customHeight="1">
      <c r="A881" s="194"/>
      <c r="B881" s="194"/>
      <c r="C881" s="194"/>
      <c r="D881" s="194"/>
    </row>
    <row r="882" spans="1:4" ht="12.75" customHeight="1">
      <c r="A882" s="194"/>
      <c r="B882" s="194"/>
      <c r="C882" s="194"/>
      <c r="D882" s="194"/>
    </row>
    <row r="883" spans="1:4" ht="12.75" customHeight="1">
      <c r="A883" s="194"/>
      <c r="B883" s="194"/>
      <c r="C883" s="194"/>
      <c r="D883" s="194"/>
    </row>
    <row r="884" spans="1:4" ht="12.75" customHeight="1">
      <c r="A884" s="194"/>
      <c r="B884" s="194"/>
      <c r="C884" s="194"/>
      <c r="D884" s="194"/>
    </row>
    <row r="885" spans="1:4" ht="12.75" customHeight="1">
      <c r="A885" s="194"/>
      <c r="B885" s="194"/>
      <c r="C885" s="194"/>
      <c r="D885" s="194"/>
    </row>
    <row r="886" spans="1:4" ht="12.75" customHeight="1">
      <c r="A886" s="194"/>
      <c r="B886" s="194"/>
      <c r="C886" s="194"/>
      <c r="D886" s="194"/>
    </row>
    <row r="887" spans="1:4" ht="12.75" customHeight="1">
      <c r="A887" s="194"/>
      <c r="B887" s="194"/>
      <c r="C887" s="194"/>
      <c r="D887" s="194"/>
    </row>
    <row r="888" spans="1:4" ht="12.75" customHeight="1">
      <c r="A888" s="194"/>
      <c r="B888" s="194"/>
      <c r="C888" s="194"/>
      <c r="D888" s="194"/>
    </row>
    <row r="889" spans="1:4" ht="12.75" customHeight="1">
      <c r="A889" s="194"/>
      <c r="B889" s="194"/>
      <c r="C889" s="194"/>
      <c r="D889" s="194"/>
    </row>
    <row r="890" spans="1:4" ht="12.75" customHeight="1">
      <c r="A890" s="194"/>
      <c r="B890" s="194"/>
      <c r="C890" s="194"/>
      <c r="D890" s="194"/>
    </row>
    <row r="891" spans="1:4" ht="12.75" customHeight="1">
      <c r="A891" s="194"/>
      <c r="B891" s="194"/>
      <c r="C891" s="194"/>
      <c r="D891" s="194"/>
    </row>
    <row r="892" spans="1:4" ht="12.75" customHeight="1">
      <c r="A892" s="194"/>
      <c r="B892" s="194"/>
      <c r="C892" s="194"/>
      <c r="D892" s="194"/>
    </row>
    <row r="893" spans="1:4" ht="12.75" customHeight="1">
      <c r="A893" s="194"/>
      <c r="B893" s="194"/>
      <c r="C893" s="194"/>
      <c r="D893" s="194"/>
    </row>
    <row r="894" spans="1:4" ht="12.75" customHeight="1">
      <c r="A894" s="194"/>
      <c r="B894" s="194"/>
      <c r="C894" s="194"/>
      <c r="D894" s="194"/>
    </row>
    <row r="895" spans="1:4" ht="12.75" customHeight="1">
      <c r="A895" s="194"/>
      <c r="B895" s="194"/>
      <c r="C895" s="194"/>
      <c r="D895" s="194"/>
    </row>
    <row r="896" spans="1:4" ht="12.75" customHeight="1">
      <c r="A896" s="194"/>
      <c r="B896" s="194"/>
      <c r="C896" s="194"/>
      <c r="D896" s="194"/>
    </row>
    <row r="897" spans="1:4" ht="12.75" customHeight="1">
      <c r="A897" s="194"/>
      <c r="B897" s="194"/>
      <c r="C897" s="194"/>
      <c r="D897" s="194"/>
    </row>
    <row r="898" spans="1:4" ht="12.75" customHeight="1">
      <c r="A898" s="194"/>
      <c r="B898" s="194"/>
      <c r="C898" s="194"/>
      <c r="D898" s="194"/>
    </row>
    <row r="899" spans="1:4" ht="12.75" customHeight="1">
      <c r="A899" s="194"/>
      <c r="B899" s="194"/>
      <c r="C899" s="194"/>
      <c r="D899" s="194"/>
    </row>
    <row r="900" spans="1:4" ht="12.75" customHeight="1">
      <c r="A900" s="194"/>
      <c r="B900" s="194"/>
      <c r="C900" s="194"/>
      <c r="D900" s="194"/>
    </row>
    <row r="901" spans="1:4" ht="12.75" customHeight="1">
      <c r="A901" s="194"/>
      <c r="B901" s="194"/>
      <c r="C901" s="194"/>
      <c r="D901" s="194"/>
    </row>
    <row r="902" spans="1:4" ht="12.75" customHeight="1">
      <c r="A902" s="194"/>
      <c r="B902" s="194"/>
      <c r="C902" s="194"/>
      <c r="D902" s="194"/>
    </row>
    <row r="903" spans="1:4" ht="12.75" customHeight="1">
      <c r="A903" s="194"/>
      <c r="B903" s="194"/>
      <c r="C903" s="194"/>
      <c r="D903" s="194"/>
    </row>
    <row r="904" spans="1:4" ht="12.75" customHeight="1">
      <c r="A904" s="194"/>
      <c r="B904" s="194"/>
      <c r="C904" s="194"/>
      <c r="D904" s="194"/>
    </row>
    <row r="905" spans="1:4" ht="12.75" customHeight="1">
      <c r="A905" s="194"/>
      <c r="B905" s="194"/>
      <c r="C905" s="194"/>
      <c r="D905" s="194"/>
    </row>
    <row r="906" spans="1:4" ht="12.75" customHeight="1">
      <c r="A906" s="194"/>
      <c r="B906" s="194"/>
      <c r="C906" s="194"/>
      <c r="D906" s="194"/>
    </row>
    <row r="907" spans="1:4" ht="12.75" customHeight="1">
      <c r="A907" s="194"/>
      <c r="B907" s="194"/>
      <c r="C907" s="194"/>
      <c r="D907" s="194"/>
    </row>
    <row r="908" spans="1:4" ht="12.75" customHeight="1">
      <c r="A908" s="194"/>
      <c r="B908" s="194"/>
      <c r="C908" s="194"/>
      <c r="D908" s="194"/>
    </row>
    <row r="909" spans="1:4" ht="12.75" customHeight="1">
      <c r="A909" s="194"/>
      <c r="B909" s="194"/>
      <c r="C909" s="194"/>
      <c r="D909" s="194"/>
    </row>
    <row r="910" spans="1:4" ht="12.75" customHeight="1">
      <c r="A910" s="194"/>
      <c r="B910" s="194"/>
      <c r="C910" s="194"/>
      <c r="D910" s="194"/>
    </row>
    <row r="911" spans="1:4" ht="12.75" customHeight="1">
      <c r="A911" s="194"/>
      <c r="B911" s="194"/>
      <c r="C911" s="194"/>
      <c r="D911" s="194"/>
    </row>
    <row r="912" spans="1:4" ht="12.75" customHeight="1">
      <c r="A912" s="194"/>
      <c r="B912" s="194"/>
      <c r="C912" s="194"/>
      <c r="D912" s="194"/>
    </row>
    <row r="913" spans="1:4" ht="12.75" customHeight="1">
      <c r="A913" s="194"/>
      <c r="B913" s="194"/>
      <c r="C913" s="194"/>
      <c r="D913" s="194"/>
    </row>
    <row r="914" spans="1:4" ht="12.75" customHeight="1">
      <c r="A914" s="194"/>
      <c r="B914" s="194"/>
      <c r="C914" s="194"/>
      <c r="D914" s="194"/>
    </row>
    <row r="915" spans="1:4" ht="12.75" customHeight="1">
      <c r="A915" s="194"/>
      <c r="B915" s="194"/>
      <c r="C915" s="194"/>
      <c r="D915" s="194"/>
    </row>
    <row r="916" spans="1:4" ht="12.75" customHeight="1">
      <c r="A916" s="194"/>
      <c r="B916" s="194"/>
      <c r="C916" s="194"/>
      <c r="D916" s="194"/>
    </row>
    <row r="917" spans="1:4" ht="12.75" customHeight="1">
      <c r="A917" s="194"/>
      <c r="B917" s="194"/>
      <c r="C917" s="194"/>
      <c r="D917" s="194"/>
    </row>
    <row r="918" spans="1:4" ht="12.75" customHeight="1">
      <c r="A918" s="194"/>
      <c r="B918" s="194"/>
      <c r="C918" s="194"/>
      <c r="D918" s="194"/>
    </row>
    <row r="919" spans="1:4" ht="12.75" customHeight="1">
      <c r="A919" s="194"/>
      <c r="B919" s="194"/>
      <c r="C919" s="194"/>
      <c r="D919" s="194"/>
    </row>
    <row r="920" spans="1:4" ht="12.75" customHeight="1">
      <c r="A920" s="194"/>
      <c r="B920" s="194"/>
      <c r="C920" s="194"/>
      <c r="D920" s="194"/>
    </row>
    <row r="921" spans="1:4" ht="12.75" customHeight="1">
      <c r="A921" s="194"/>
      <c r="B921" s="194"/>
      <c r="C921" s="194"/>
      <c r="D921" s="194"/>
    </row>
    <row r="922" spans="1:4" ht="12.75" customHeight="1">
      <c r="A922" s="194"/>
      <c r="B922" s="194"/>
      <c r="C922" s="194"/>
      <c r="D922" s="194"/>
    </row>
    <row r="923" spans="1:4" ht="12.75" customHeight="1">
      <c r="A923" s="194"/>
      <c r="B923" s="194"/>
      <c r="C923" s="194"/>
      <c r="D923" s="194"/>
    </row>
    <row r="924" spans="1:4" ht="12.75" customHeight="1">
      <c r="A924" s="194"/>
      <c r="B924" s="194"/>
      <c r="C924" s="194"/>
      <c r="D924" s="194"/>
    </row>
    <row r="925" spans="1:4" ht="12.75" customHeight="1">
      <c r="A925" s="194"/>
      <c r="B925" s="194"/>
      <c r="C925" s="194"/>
      <c r="D925" s="194"/>
    </row>
    <row r="926" spans="1:4" ht="12.75" customHeight="1">
      <c r="A926" s="194"/>
      <c r="B926" s="194"/>
      <c r="C926" s="194"/>
      <c r="D926" s="194"/>
    </row>
    <row r="927" spans="1:4" ht="12.75" customHeight="1">
      <c r="A927" s="194"/>
      <c r="B927" s="194"/>
      <c r="C927" s="194"/>
      <c r="D927" s="194"/>
    </row>
    <row r="928" spans="1:4" ht="12.75" customHeight="1">
      <c r="A928" s="194"/>
      <c r="B928" s="194"/>
      <c r="C928" s="194"/>
      <c r="D928" s="194"/>
    </row>
    <row r="929" spans="1:4" ht="12.75" customHeight="1">
      <c r="A929" s="194"/>
      <c r="B929" s="194"/>
      <c r="C929" s="194"/>
      <c r="D929" s="194"/>
    </row>
    <row r="930" spans="1:4" ht="12.75" customHeight="1">
      <c r="A930" s="194"/>
      <c r="B930" s="194"/>
      <c r="C930" s="194"/>
      <c r="D930" s="194"/>
    </row>
    <row r="931" spans="1:4" ht="12.75" customHeight="1">
      <c r="A931" s="194"/>
      <c r="B931" s="194"/>
      <c r="C931" s="194"/>
      <c r="D931" s="194"/>
    </row>
    <row r="932" spans="1:4" ht="12.75" customHeight="1">
      <c r="A932" s="194"/>
      <c r="B932" s="194"/>
      <c r="C932" s="194"/>
      <c r="D932" s="194"/>
    </row>
    <row r="933" spans="1:4" ht="12.75" customHeight="1">
      <c r="A933" s="194"/>
      <c r="B933" s="194"/>
      <c r="C933" s="194"/>
      <c r="D933" s="194"/>
    </row>
    <row r="934" spans="1:4" ht="12.75" customHeight="1">
      <c r="A934" s="194"/>
      <c r="B934" s="194"/>
      <c r="C934" s="194"/>
      <c r="D934" s="194"/>
    </row>
    <row r="935" spans="1:4" ht="12.75" customHeight="1">
      <c r="A935" s="194"/>
      <c r="B935" s="194"/>
      <c r="C935" s="194"/>
      <c r="D935" s="194"/>
    </row>
    <row r="936" spans="1:4" ht="12.75" customHeight="1">
      <c r="A936" s="194"/>
      <c r="B936" s="194"/>
      <c r="C936" s="194"/>
      <c r="D936" s="194"/>
    </row>
    <row r="937" spans="1:4" ht="12.75" customHeight="1">
      <c r="A937" s="194"/>
      <c r="B937" s="194"/>
      <c r="C937" s="194"/>
      <c r="D937" s="194"/>
    </row>
    <row r="938" spans="1:4" ht="12.75" customHeight="1">
      <c r="A938" s="194"/>
      <c r="B938" s="194"/>
      <c r="C938" s="194"/>
      <c r="D938" s="194"/>
    </row>
    <row r="939" spans="1:4" ht="12.75" customHeight="1">
      <c r="A939" s="194"/>
      <c r="B939" s="194"/>
      <c r="C939" s="194"/>
      <c r="D939" s="194"/>
    </row>
    <row r="940" spans="1:4" ht="12.75" customHeight="1">
      <c r="A940" s="194"/>
      <c r="B940" s="194"/>
      <c r="C940" s="194"/>
      <c r="D940" s="194"/>
    </row>
    <row r="941" spans="1:4" ht="12.75" customHeight="1">
      <c r="A941" s="194"/>
      <c r="B941" s="194"/>
      <c r="C941" s="194"/>
      <c r="D941" s="194"/>
    </row>
    <row r="942" spans="1:4" ht="12.75" customHeight="1">
      <c r="A942" s="194"/>
      <c r="B942" s="194"/>
      <c r="C942" s="194"/>
      <c r="D942" s="194"/>
    </row>
    <row r="943" spans="1:4" ht="12.75" customHeight="1">
      <c r="A943" s="194"/>
      <c r="B943" s="194"/>
      <c r="C943" s="194"/>
      <c r="D943" s="194"/>
    </row>
    <row r="944" spans="1:4" ht="12.75" customHeight="1">
      <c r="A944" s="194"/>
      <c r="B944" s="194"/>
      <c r="C944" s="194"/>
      <c r="D944" s="194"/>
    </row>
    <row r="945" spans="1:4" ht="12.75" customHeight="1">
      <c r="A945" s="194"/>
      <c r="B945" s="194"/>
      <c r="C945" s="194"/>
      <c r="D945" s="194"/>
    </row>
    <row r="946" spans="1:4" ht="12.75" customHeight="1">
      <c r="A946" s="194"/>
      <c r="B946" s="194"/>
      <c r="C946" s="194"/>
      <c r="D946" s="194"/>
    </row>
    <row r="947" spans="1:4" ht="12.75" customHeight="1">
      <c r="A947" s="194"/>
      <c r="B947" s="194"/>
      <c r="C947" s="194"/>
      <c r="D947" s="194"/>
    </row>
    <row r="948" spans="1:4" ht="12.75" customHeight="1">
      <c r="A948" s="194"/>
      <c r="B948" s="194"/>
      <c r="C948" s="194"/>
      <c r="D948" s="194"/>
    </row>
    <row r="949" spans="1:4" ht="12.75" customHeight="1">
      <c r="A949" s="194"/>
      <c r="B949" s="194"/>
      <c r="C949" s="194"/>
      <c r="D949" s="194"/>
    </row>
    <row r="950" spans="1:4" ht="12.75" customHeight="1">
      <c r="A950" s="194"/>
      <c r="B950" s="194"/>
      <c r="C950" s="194"/>
      <c r="D950" s="194"/>
    </row>
    <row r="951" spans="1:4" ht="12.75" customHeight="1">
      <c r="A951" s="194"/>
      <c r="B951" s="194"/>
      <c r="C951" s="194"/>
      <c r="D951" s="194"/>
    </row>
    <row r="952" spans="1:4" ht="12.75" customHeight="1">
      <c r="A952" s="194"/>
      <c r="B952" s="194"/>
      <c r="C952" s="194"/>
      <c r="D952" s="194"/>
    </row>
    <row r="953" spans="1:4" ht="12.75" customHeight="1">
      <c r="A953" s="194"/>
      <c r="B953" s="194"/>
      <c r="C953" s="194"/>
      <c r="D953" s="194"/>
    </row>
    <row r="954" spans="1:4" ht="12.75" customHeight="1">
      <c r="A954" s="194"/>
      <c r="B954" s="194"/>
      <c r="C954" s="194"/>
      <c r="D954" s="194"/>
    </row>
    <row r="955" spans="1:4" ht="12.75" customHeight="1">
      <c r="A955" s="194"/>
      <c r="B955" s="194"/>
      <c r="C955" s="194"/>
      <c r="D955" s="194"/>
    </row>
    <row r="956" spans="1:4" ht="12.75" customHeight="1">
      <c r="A956" s="194"/>
      <c r="B956" s="194"/>
      <c r="C956" s="194"/>
      <c r="D956" s="194"/>
    </row>
    <row r="957" spans="1:4" ht="12.75" customHeight="1">
      <c r="A957" s="194"/>
      <c r="B957" s="194"/>
      <c r="C957" s="194"/>
      <c r="D957" s="194"/>
    </row>
    <row r="958" spans="1:4" ht="12.75" customHeight="1">
      <c r="A958" s="194"/>
      <c r="B958" s="194"/>
      <c r="C958" s="194"/>
      <c r="D958" s="194"/>
    </row>
    <row r="959" spans="1:4" ht="12.75" customHeight="1">
      <c r="A959" s="194"/>
      <c r="B959" s="194"/>
      <c r="C959" s="194"/>
      <c r="D959" s="194"/>
    </row>
    <row r="960" spans="1:4" ht="12.75" customHeight="1">
      <c r="A960" s="194"/>
      <c r="B960" s="194"/>
      <c r="C960" s="194"/>
      <c r="D960" s="194"/>
    </row>
    <row r="961" spans="1:4" ht="12.75" customHeight="1">
      <c r="A961" s="194"/>
      <c r="B961" s="194"/>
      <c r="C961" s="194"/>
      <c r="D961" s="194"/>
    </row>
    <row r="962" spans="1:4" ht="12.75" customHeight="1">
      <c r="A962" s="194"/>
      <c r="B962" s="194"/>
      <c r="C962" s="194"/>
      <c r="D962" s="194"/>
    </row>
    <row r="963" spans="1:4" ht="12.75" customHeight="1">
      <c r="A963" s="194"/>
      <c r="B963" s="194"/>
      <c r="C963" s="194"/>
      <c r="D963" s="194"/>
    </row>
    <row r="964" spans="1:4" ht="12.75" customHeight="1">
      <c r="A964" s="194"/>
      <c r="B964" s="194"/>
      <c r="C964" s="194"/>
      <c r="D964" s="194"/>
    </row>
    <row r="965" spans="1:4" ht="12.75" customHeight="1">
      <c r="A965" s="194"/>
      <c r="B965" s="194"/>
      <c r="C965" s="194"/>
      <c r="D965" s="194"/>
    </row>
    <row r="966" spans="1:4" ht="12.75" customHeight="1">
      <c r="A966" s="194"/>
      <c r="B966" s="194"/>
      <c r="C966" s="194"/>
      <c r="D966" s="194"/>
    </row>
    <row r="967" spans="1:4" ht="12.75" customHeight="1">
      <c r="A967" s="194"/>
      <c r="B967" s="194"/>
      <c r="C967" s="194"/>
      <c r="D967" s="194"/>
    </row>
    <row r="968" spans="1:4" ht="12.75" customHeight="1">
      <c r="A968" s="194"/>
      <c r="B968" s="194"/>
      <c r="C968" s="194"/>
      <c r="D968" s="194"/>
    </row>
    <row r="969" spans="1:4" ht="12.75" customHeight="1">
      <c r="A969" s="194"/>
      <c r="B969" s="194"/>
      <c r="C969" s="194"/>
      <c r="D969" s="194"/>
    </row>
    <row r="970" spans="1:4" ht="12.75" customHeight="1">
      <c r="A970" s="194"/>
      <c r="B970" s="194"/>
      <c r="C970" s="194"/>
      <c r="D970" s="194"/>
    </row>
    <row r="971" spans="1:4" ht="12.75" customHeight="1">
      <c r="A971" s="194"/>
      <c r="B971" s="194"/>
      <c r="C971" s="194"/>
      <c r="D971" s="194"/>
    </row>
    <row r="972" spans="1:4" ht="12.75" customHeight="1">
      <c r="A972" s="194"/>
      <c r="B972" s="194"/>
      <c r="C972" s="194"/>
      <c r="D972" s="194"/>
    </row>
    <row r="973" spans="1:4" ht="12.75" customHeight="1">
      <c r="A973" s="194"/>
      <c r="B973" s="194"/>
      <c r="C973" s="194"/>
      <c r="D973" s="194"/>
    </row>
    <row r="974" spans="1:4" ht="12.75" customHeight="1">
      <c r="A974" s="194"/>
      <c r="B974" s="194"/>
      <c r="C974" s="194"/>
      <c r="D974" s="194"/>
    </row>
    <row r="975" spans="1:4" ht="12.75" customHeight="1">
      <c r="A975" s="194"/>
      <c r="B975" s="194"/>
      <c r="C975" s="194"/>
      <c r="D975" s="194"/>
    </row>
    <row r="976" spans="1:4" ht="12.75" customHeight="1">
      <c r="A976" s="194"/>
      <c r="B976" s="194"/>
      <c r="C976" s="194"/>
      <c r="D976" s="194"/>
    </row>
    <row r="977" spans="1:4" ht="12.75" customHeight="1">
      <c r="A977" s="194"/>
      <c r="B977" s="194"/>
      <c r="C977" s="194"/>
      <c r="D977" s="194"/>
    </row>
    <row r="978" spans="1:4" ht="12.75" customHeight="1">
      <c r="A978" s="194"/>
      <c r="B978" s="194"/>
      <c r="C978" s="194"/>
      <c r="D978" s="194"/>
    </row>
    <row r="979" spans="1:4" ht="12.75" customHeight="1">
      <c r="A979" s="194"/>
      <c r="B979" s="194"/>
      <c r="C979" s="194"/>
      <c r="D979" s="194"/>
    </row>
    <row r="980" spans="1:4" ht="12.75" customHeight="1">
      <c r="A980" s="194"/>
      <c r="B980" s="194"/>
      <c r="C980" s="194"/>
      <c r="D980" s="194"/>
    </row>
    <row r="981" spans="1:4" ht="12.75" customHeight="1">
      <c r="A981" s="194"/>
      <c r="B981" s="194"/>
      <c r="C981" s="194"/>
      <c r="D981" s="194"/>
    </row>
    <row r="982" spans="1:4" ht="12.75" customHeight="1">
      <c r="A982" s="194"/>
      <c r="B982" s="194"/>
      <c r="C982" s="194"/>
      <c r="D982" s="194"/>
    </row>
    <row r="983" spans="1:4" ht="12.75" customHeight="1">
      <c r="A983" s="194"/>
      <c r="B983" s="194"/>
      <c r="C983" s="194"/>
      <c r="D983" s="194"/>
    </row>
    <row r="984" spans="1:4" ht="12.75" customHeight="1">
      <c r="A984" s="194"/>
      <c r="B984" s="194"/>
      <c r="C984" s="194"/>
      <c r="D984" s="194"/>
    </row>
    <row r="985" spans="1:4" ht="12.75" customHeight="1">
      <c r="A985" s="194"/>
      <c r="B985" s="194"/>
      <c r="C985" s="194"/>
      <c r="D985" s="194"/>
    </row>
    <row r="986" spans="1:4" ht="12.75" customHeight="1">
      <c r="A986" s="194"/>
      <c r="B986" s="194"/>
      <c r="C986" s="194"/>
      <c r="D986" s="194"/>
    </row>
    <row r="987" spans="1:4" ht="12.75" customHeight="1">
      <c r="A987" s="194"/>
      <c r="B987" s="194"/>
      <c r="C987" s="194"/>
      <c r="D987" s="194"/>
    </row>
    <row r="988" spans="1:4" ht="12.75" customHeight="1">
      <c r="A988" s="194"/>
      <c r="B988" s="194"/>
      <c r="C988" s="194"/>
      <c r="D988" s="194"/>
    </row>
    <row r="989" spans="1:4" ht="12.75" customHeight="1">
      <c r="A989" s="194"/>
      <c r="B989" s="194"/>
      <c r="C989" s="194"/>
      <c r="D989" s="194"/>
    </row>
    <row r="990" spans="1:4" ht="12.75" customHeight="1">
      <c r="A990" s="194"/>
      <c r="B990" s="194"/>
      <c r="C990" s="194"/>
      <c r="D990" s="194"/>
    </row>
    <row r="991" spans="1:4" ht="12.75" customHeight="1">
      <c r="A991" s="194"/>
      <c r="B991" s="194"/>
      <c r="C991" s="194"/>
      <c r="D991" s="194"/>
    </row>
    <row r="992" spans="1:4" ht="12.75" customHeight="1">
      <c r="A992" s="194"/>
      <c r="B992" s="194"/>
      <c r="C992" s="194"/>
      <c r="D992" s="194"/>
    </row>
    <row r="993" spans="1:4" ht="12.75" customHeight="1">
      <c r="A993" s="194"/>
      <c r="B993" s="194"/>
      <c r="C993" s="194"/>
      <c r="D993" s="194"/>
    </row>
    <row r="994" spans="1:4" ht="12.75" customHeight="1">
      <c r="A994" s="194"/>
      <c r="B994" s="194"/>
      <c r="C994" s="194"/>
      <c r="D994" s="194"/>
    </row>
    <row r="995" spans="1:4" ht="12.75" customHeight="1">
      <c r="A995" s="194"/>
      <c r="B995" s="194"/>
      <c r="C995" s="194"/>
      <c r="D995" s="194"/>
    </row>
    <row r="996" spans="1:4" ht="12.75" customHeight="1">
      <c r="A996" s="194"/>
      <c r="B996" s="194"/>
      <c r="C996" s="194"/>
      <c r="D996" s="194"/>
    </row>
    <row r="997" spans="1:4" ht="12.75" customHeight="1">
      <c r="A997" s="194"/>
      <c r="B997" s="194"/>
      <c r="C997" s="194"/>
      <c r="D997" s="194"/>
    </row>
    <row r="998" spans="1:4" ht="12.75" customHeight="1">
      <c r="A998" s="194"/>
      <c r="B998" s="194"/>
      <c r="C998" s="194"/>
      <c r="D998" s="194"/>
    </row>
    <row r="999" spans="1:4" ht="12.75" customHeight="1">
      <c r="A999" s="194"/>
      <c r="B999" s="194"/>
      <c r="C999" s="194"/>
      <c r="D999" s="194"/>
    </row>
    <row r="1000" spans="1:4" ht="12.75" customHeight="1">
      <c r="A1000" s="194"/>
      <c r="B1000" s="194"/>
      <c r="C1000" s="194"/>
      <c r="D1000" s="194"/>
    </row>
    <row r="1001" spans="1:4" ht="12.75" customHeight="1">
      <c r="A1001" s="194"/>
      <c r="B1001" s="194"/>
      <c r="C1001" s="194"/>
      <c r="D1001" s="194"/>
    </row>
    <row r="1002" spans="1:4" ht="12.75" customHeight="1">
      <c r="A1002" s="194"/>
      <c r="B1002" s="194"/>
      <c r="C1002" s="194"/>
      <c r="D1002" s="194"/>
    </row>
    <row r="1003" spans="1:4" ht="12.75" customHeight="1">
      <c r="A1003" s="194"/>
      <c r="B1003" s="194"/>
      <c r="C1003" s="194"/>
      <c r="D1003" s="194"/>
    </row>
    <row r="1004" spans="1:4" ht="12.75" customHeight="1">
      <c r="A1004" s="194"/>
      <c r="B1004" s="194"/>
      <c r="C1004" s="194"/>
      <c r="D1004" s="194"/>
    </row>
    <row r="1005" spans="1:4" ht="12.75" customHeight="1">
      <c r="A1005" s="194"/>
      <c r="B1005" s="194"/>
      <c r="C1005" s="194"/>
      <c r="D1005" s="194"/>
    </row>
    <row r="1006" spans="1:4" ht="12.75" customHeight="1">
      <c r="A1006" s="194"/>
      <c r="B1006" s="194"/>
      <c r="C1006" s="194"/>
      <c r="D1006" s="194"/>
    </row>
    <row r="1007" spans="1:4" ht="12.75" customHeight="1">
      <c r="A1007" s="194"/>
      <c r="B1007" s="194"/>
      <c r="C1007" s="194"/>
      <c r="D1007" s="194"/>
    </row>
    <row r="1008" spans="1:4" ht="12.75" customHeight="1">
      <c r="A1008" s="194"/>
      <c r="B1008" s="194"/>
      <c r="C1008" s="194"/>
      <c r="D1008" s="194"/>
    </row>
    <row r="1009" spans="1:4" ht="12.75" customHeight="1">
      <c r="A1009" s="194"/>
      <c r="B1009" s="194"/>
      <c r="C1009" s="194"/>
      <c r="D1009" s="194"/>
    </row>
    <row r="1010" spans="1:4" ht="12.75" customHeight="1">
      <c r="A1010" s="194"/>
      <c r="B1010" s="194"/>
      <c r="C1010" s="194"/>
      <c r="D1010" s="194"/>
    </row>
    <row r="1011" spans="1:4" ht="12.75" customHeight="1">
      <c r="A1011" s="194"/>
      <c r="B1011" s="194"/>
      <c r="C1011" s="194"/>
      <c r="D1011" s="194"/>
    </row>
    <row r="1012" spans="1:4" ht="12.75" customHeight="1">
      <c r="A1012" s="194"/>
      <c r="B1012" s="194"/>
      <c r="C1012" s="194"/>
      <c r="D1012" s="194"/>
    </row>
    <row r="1013" spans="1:4" ht="12.75" customHeight="1">
      <c r="A1013" s="194"/>
      <c r="B1013" s="194"/>
      <c r="C1013" s="194"/>
      <c r="D1013" s="194"/>
    </row>
    <row r="1014" spans="1:4" ht="12.75" customHeight="1">
      <c r="A1014" s="194"/>
      <c r="B1014" s="194"/>
      <c r="C1014" s="194"/>
      <c r="D1014" s="194"/>
    </row>
    <row r="1015" spans="1:4" ht="12.75" customHeight="1">
      <c r="A1015" s="194"/>
      <c r="B1015" s="194"/>
      <c r="C1015" s="194"/>
      <c r="D1015" s="194"/>
    </row>
  </sheetData>
  <mergeCells count="3">
    <mergeCell ref="A6:D6"/>
    <mergeCell ref="A9:D9"/>
    <mergeCell ref="A14:D14"/>
  </mergeCell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showGridLines="0" zoomScale="80" zoomScaleNormal="80" workbookViewId="0">
      <selection activeCell="N5" sqref="N5"/>
    </sheetView>
  </sheetViews>
  <sheetFormatPr defaultColWidth="8.7265625" defaultRowHeight="12.5"/>
  <cols>
    <col min="1" max="1" width="12.26953125" style="1" customWidth="1"/>
    <col min="2" max="2" width="11.26953125" style="2" customWidth="1"/>
    <col min="3" max="3" width="25.453125" style="1" customWidth="1"/>
    <col min="4" max="4" width="6.453125" style="1" customWidth="1"/>
    <col min="5" max="5" width="40" style="1" customWidth="1"/>
    <col min="6" max="6" width="36.453125" style="1" customWidth="1"/>
    <col min="7" max="7" width="35.453125" style="1" customWidth="1"/>
    <col min="8" max="8" width="33.453125" style="1" customWidth="1"/>
    <col min="9" max="9" width="23.26953125" style="1" customWidth="1"/>
    <col min="10" max="13" width="8.26953125" style="89" customWidth="1"/>
    <col min="14" max="14" width="8.7265625" style="3"/>
    <col min="15" max="15" width="20.26953125" style="3" customWidth="1"/>
    <col min="16" max="16" width="26" style="3" customWidth="1"/>
    <col min="17" max="16384" width="8.7265625" style="3"/>
  </cols>
  <sheetData>
    <row r="1" spans="1:16" s="88" customFormat="1" ht="34.5">
      <c r="A1" s="90" t="s">
        <v>218</v>
      </c>
      <c r="B1" s="90" t="s">
        <v>12</v>
      </c>
      <c r="C1" s="90" t="s">
        <v>13</v>
      </c>
      <c r="D1" s="90" t="s">
        <v>88</v>
      </c>
      <c r="E1" s="90" t="s">
        <v>14</v>
      </c>
      <c r="F1" s="95" t="s">
        <v>89</v>
      </c>
      <c r="G1" s="95" t="s">
        <v>90</v>
      </c>
      <c r="H1" s="95" t="s">
        <v>91</v>
      </c>
      <c r="I1" s="95" t="s">
        <v>92</v>
      </c>
      <c r="J1" s="96" t="s">
        <v>89</v>
      </c>
      <c r="K1" s="96" t="s">
        <v>90</v>
      </c>
      <c r="L1" s="96" t="s">
        <v>91</v>
      </c>
      <c r="M1" s="96" t="s">
        <v>92</v>
      </c>
      <c r="N1" s="108" t="s">
        <v>93</v>
      </c>
      <c r="O1" s="109" t="s">
        <v>95</v>
      </c>
      <c r="P1" s="109" t="s">
        <v>94</v>
      </c>
    </row>
    <row r="2" spans="1:16" ht="75">
      <c r="A2" s="318" t="s">
        <v>219</v>
      </c>
      <c r="B2" s="5" t="s">
        <v>16</v>
      </c>
      <c r="C2" s="6" t="s">
        <v>17</v>
      </c>
      <c r="D2" s="91">
        <v>0.1</v>
      </c>
      <c r="E2" s="15" t="s">
        <v>18</v>
      </c>
      <c r="F2" s="17" t="s">
        <v>220</v>
      </c>
      <c r="G2" s="17" t="s">
        <v>221</v>
      </c>
      <c r="H2" s="17" t="s">
        <v>222</v>
      </c>
      <c r="I2" s="17" t="s">
        <v>223</v>
      </c>
      <c r="J2" s="50">
        <v>4</v>
      </c>
      <c r="K2" s="97">
        <v>3</v>
      </c>
      <c r="L2" s="97">
        <v>1</v>
      </c>
      <c r="M2" s="110">
        <v>0</v>
      </c>
      <c r="N2" s="111" t="s">
        <v>224</v>
      </c>
      <c r="O2" s="34"/>
      <c r="P2" s="35"/>
    </row>
    <row r="3" spans="1:16" ht="50">
      <c r="A3" s="318"/>
      <c r="B3" s="5" t="s">
        <v>20</v>
      </c>
      <c r="C3" s="6" t="s">
        <v>21</v>
      </c>
      <c r="D3" s="92">
        <v>0.05</v>
      </c>
      <c r="E3" s="15" t="s">
        <v>22</v>
      </c>
      <c r="F3" s="17" t="s">
        <v>225</v>
      </c>
      <c r="G3" s="17" t="s">
        <v>226</v>
      </c>
      <c r="H3" s="17" t="s">
        <v>227</v>
      </c>
      <c r="I3" s="20" t="s">
        <v>228</v>
      </c>
      <c r="J3" s="50">
        <v>3</v>
      </c>
      <c r="K3" s="97">
        <v>2</v>
      </c>
      <c r="L3" s="97">
        <v>1</v>
      </c>
      <c r="M3" s="110">
        <v>0</v>
      </c>
      <c r="N3" s="111" t="s">
        <v>229</v>
      </c>
      <c r="O3" s="35"/>
      <c r="P3" s="35"/>
    </row>
    <row r="4" spans="1:16" ht="37.5">
      <c r="A4" s="318"/>
      <c r="B4" s="319" t="s">
        <v>24</v>
      </c>
      <c r="C4" s="6" t="s">
        <v>24</v>
      </c>
      <c r="D4" s="92">
        <v>0.1</v>
      </c>
      <c r="E4" s="15" t="s">
        <v>25</v>
      </c>
      <c r="F4" s="17" t="s">
        <v>230</v>
      </c>
      <c r="G4" s="17" t="s">
        <v>231</v>
      </c>
      <c r="H4" s="18" t="s">
        <v>232</v>
      </c>
      <c r="I4" s="98"/>
      <c r="J4" s="50">
        <v>4</v>
      </c>
      <c r="K4" s="97">
        <v>3</v>
      </c>
      <c r="L4" s="97">
        <v>0</v>
      </c>
      <c r="M4" s="110"/>
      <c r="N4" s="111" t="s">
        <v>229</v>
      </c>
      <c r="O4" s="35"/>
      <c r="P4" s="35"/>
    </row>
    <row r="5" spans="1:16" ht="75">
      <c r="A5" s="318"/>
      <c r="B5" s="320"/>
      <c r="C5" s="9" t="s">
        <v>27</v>
      </c>
      <c r="D5" s="93">
        <v>0.15</v>
      </c>
      <c r="E5" s="19" t="s">
        <v>28</v>
      </c>
      <c r="F5" s="20" t="s">
        <v>233</v>
      </c>
      <c r="G5" s="20" t="s">
        <v>234</v>
      </c>
      <c r="H5" s="21" t="s">
        <v>235</v>
      </c>
      <c r="I5" s="99"/>
      <c r="J5" s="50">
        <v>4</v>
      </c>
      <c r="K5" s="97">
        <v>3</v>
      </c>
      <c r="L5" s="97">
        <v>0</v>
      </c>
      <c r="M5" s="110"/>
      <c r="N5" s="111" t="s">
        <v>107</v>
      </c>
      <c r="O5" s="35"/>
      <c r="P5" s="35"/>
    </row>
    <row r="6" spans="1:16" ht="37.5">
      <c r="A6" s="318"/>
      <c r="B6" s="5" t="s">
        <v>30</v>
      </c>
      <c r="C6" s="6" t="s">
        <v>31</v>
      </c>
      <c r="D6" s="92">
        <v>0.15</v>
      </c>
      <c r="E6" s="15" t="s">
        <v>32</v>
      </c>
      <c r="F6" s="17" t="s">
        <v>236</v>
      </c>
      <c r="G6" s="17" t="s">
        <v>237</v>
      </c>
      <c r="H6" s="18" t="s">
        <v>238</v>
      </c>
      <c r="I6" s="100"/>
      <c r="J6" s="50">
        <v>4</v>
      </c>
      <c r="K6" s="97">
        <v>3</v>
      </c>
      <c r="L6" s="97">
        <v>1</v>
      </c>
      <c r="M6" s="110"/>
      <c r="N6" s="111" t="s">
        <v>107</v>
      </c>
      <c r="O6" s="35"/>
      <c r="P6" s="35"/>
    </row>
    <row r="7" spans="1:16" ht="75">
      <c r="A7" s="318"/>
      <c r="B7" s="321" t="s">
        <v>34</v>
      </c>
      <c r="C7" s="94" t="s">
        <v>37</v>
      </c>
      <c r="D7" s="92">
        <v>0.1</v>
      </c>
      <c r="E7" s="15" t="s">
        <v>38</v>
      </c>
      <c r="F7" s="17" t="s">
        <v>239</v>
      </c>
      <c r="G7" s="17" t="s">
        <v>240</v>
      </c>
      <c r="H7" s="17" t="s">
        <v>241</v>
      </c>
      <c r="I7" s="101" t="s">
        <v>242</v>
      </c>
      <c r="J7" s="102">
        <v>3</v>
      </c>
      <c r="K7" s="103">
        <v>2</v>
      </c>
      <c r="L7" s="103">
        <v>1</v>
      </c>
      <c r="M7" s="112">
        <v>0</v>
      </c>
      <c r="N7" s="111" t="s">
        <v>107</v>
      </c>
      <c r="O7" s="35"/>
      <c r="P7" s="35"/>
    </row>
    <row r="8" spans="1:16" ht="25">
      <c r="A8" s="318"/>
      <c r="B8" s="322"/>
      <c r="C8" s="94" t="s">
        <v>40</v>
      </c>
      <c r="D8" s="92">
        <v>0.05</v>
      </c>
      <c r="E8" s="15" t="s">
        <v>41</v>
      </c>
      <c r="F8" s="17" t="s">
        <v>243</v>
      </c>
      <c r="G8" s="17" t="s">
        <v>244</v>
      </c>
      <c r="H8" s="17" t="s">
        <v>245</v>
      </c>
      <c r="I8" s="17"/>
      <c r="J8" s="102">
        <v>2</v>
      </c>
      <c r="K8" s="103">
        <v>1</v>
      </c>
      <c r="L8" s="103">
        <v>0</v>
      </c>
      <c r="M8" s="112"/>
      <c r="N8" s="111" t="s">
        <v>107</v>
      </c>
      <c r="O8" s="35"/>
      <c r="P8" s="35"/>
    </row>
    <row r="9" spans="1:16" ht="75">
      <c r="A9" s="318"/>
      <c r="B9" s="322"/>
      <c r="C9" s="94" t="s">
        <v>43</v>
      </c>
      <c r="D9" s="92">
        <v>0.15</v>
      </c>
      <c r="E9" s="15" t="s">
        <v>44</v>
      </c>
      <c r="F9" s="17" t="s">
        <v>246</v>
      </c>
      <c r="G9" s="17" t="s">
        <v>247</v>
      </c>
      <c r="H9" s="17" t="s">
        <v>248</v>
      </c>
      <c r="I9" s="17" t="s">
        <v>249</v>
      </c>
      <c r="J9" s="104">
        <v>3</v>
      </c>
      <c r="K9" s="105">
        <v>2</v>
      </c>
      <c r="L9" s="105">
        <v>1</v>
      </c>
      <c r="M9" s="113">
        <v>0</v>
      </c>
      <c r="N9" s="111" t="s">
        <v>107</v>
      </c>
      <c r="O9" s="35"/>
      <c r="P9" s="35"/>
    </row>
    <row r="10" spans="1:16" ht="62.5">
      <c r="A10" s="318"/>
      <c r="B10" s="323"/>
      <c r="C10" s="94" t="s">
        <v>46</v>
      </c>
      <c r="D10" s="92">
        <v>0.15</v>
      </c>
      <c r="E10" s="15" t="s">
        <v>47</v>
      </c>
      <c r="F10" s="17" t="s">
        <v>250</v>
      </c>
      <c r="G10" s="17" t="s">
        <v>251</v>
      </c>
      <c r="H10" s="17" t="s">
        <v>252</v>
      </c>
      <c r="I10" s="17" t="s">
        <v>245</v>
      </c>
      <c r="J10" s="106">
        <v>3</v>
      </c>
      <c r="K10" s="107">
        <v>2</v>
      </c>
      <c r="L10" s="107">
        <v>1</v>
      </c>
      <c r="M10" s="114">
        <v>0</v>
      </c>
      <c r="N10" s="111" t="s">
        <v>107</v>
      </c>
      <c r="O10" s="35"/>
      <c r="P10" s="35"/>
    </row>
    <row r="11" spans="1:16">
      <c r="D11" s="11">
        <f>SUM(D2:D10)</f>
        <v>1</v>
      </c>
    </row>
    <row r="12" spans="1:16">
      <c r="A12" s="12" t="s">
        <v>253</v>
      </c>
    </row>
  </sheetData>
  <mergeCells count="3">
    <mergeCell ref="A2:A10"/>
    <mergeCell ref="B4:B5"/>
    <mergeCell ref="B7:B10"/>
  </mergeCells>
  <dataValidations count="2">
    <dataValidation type="list" allowBlank="1" showInputMessage="1" showErrorMessage="1" sqref="N2 N5 N8:N10" xr:uid="{00000000-0002-0000-0700-000000000000}">
      <formula1>"A,B,C"</formula1>
    </dataValidation>
    <dataValidation type="list" allowBlank="1" showInputMessage="1" showErrorMessage="1" sqref="N3:N4 N6:N7" xr:uid="{00000000-0002-0000-0700-000001000000}">
      <formula1>"A,B,C,D"</formula1>
    </dataValidation>
  </dataValidations>
  <pageMargins left="0.7" right="0.7" top="0.75" bottom="0.75" header="0.3" footer="0.3"/>
  <pageSetup paperSize="9" orientation="portrait"/>
  <headerFooter>
    <oddFooter>&amp;C&amp;1#&amp;"Calibri"&amp;8&amp;KED7D31Orange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4"/>
  <sheetViews>
    <sheetView showGridLines="0" topLeftCell="E1" zoomScale="80" zoomScaleNormal="80" workbookViewId="0">
      <selection activeCell="T4" sqref="T4"/>
    </sheetView>
  </sheetViews>
  <sheetFormatPr defaultColWidth="9" defaultRowHeight="14"/>
  <cols>
    <col min="1" max="1" width="15" style="38" customWidth="1"/>
    <col min="2" max="2" width="10.26953125" style="38" customWidth="1"/>
    <col min="3" max="3" width="11.7265625" style="38" customWidth="1"/>
    <col min="4" max="4" width="11" style="38" customWidth="1"/>
    <col min="5" max="5" width="57.7265625" style="38" customWidth="1"/>
    <col min="6" max="9" width="9" style="38"/>
    <col min="10" max="10" width="9.453125" style="38" customWidth="1"/>
    <col min="11" max="11" width="12.453125" style="38" customWidth="1"/>
    <col min="12" max="12" width="13.453125" style="38" customWidth="1"/>
    <col min="13" max="13" width="11.453125" style="38" customWidth="1"/>
    <col min="14" max="14" width="9.26953125" style="38" customWidth="1"/>
    <col min="15" max="16384" width="9" style="38"/>
  </cols>
  <sheetData>
    <row r="1" spans="1:28">
      <c r="A1" s="336" t="s">
        <v>254</v>
      </c>
      <c r="B1" s="361" t="s">
        <v>255</v>
      </c>
      <c r="C1" s="333" t="s">
        <v>256</v>
      </c>
      <c r="D1" s="334" t="s">
        <v>257</v>
      </c>
      <c r="E1" s="335" t="s">
        <v>258</v>
      </c>
      <c r="F1" s="344" t="s">
        <v>259</v>
      </c>
      <c r="G1" s="345"/>
      <c r="H1" s="345"/>
      <c r="I1" s="345"/>
      <c r="J1" s="345"/>
      <c r="K1" s="345"/>
      <c r="L1" s="345"/>
      <c r="M1" s="345"/>
      <c r="N1" s="346" t="s">
        <v>260</v>
      </c>
      <c r="O1" s="347"/>
      <c r="P1" s="347"/>
      <c r="Q1" s="347"/>
      <c r="R1" s="347"/>
      <c r="S1" s="347"/>
      <c r="T1" s="347"/>
      <c r="U1" s="347"/>
      <c r="V1" s="347"/>
      <c r="W1" s="347"/>
      <c r="X1" s="347"/>
      <c r="Y1" s="347"/>
      <c r="Z1" s="347"/>
      <c r="AA1" s="347"/>
      <c r="AB1" s="348"/>
    </row>
    <row r="2" spans="1:28">
      <c r="A2" s="336"/>
      <c r="B2" s="362"/>
      <c r="C2" s="334"/>
      <c r="D2" s="334"/>
      <c r="E2" s="336"/>
      <c r="F2" s="349" t="s">
        <v>156</v>
      </c>
      <c r="G2" s="350"/>
      <c r="H2" s="350"/>
      <c r="I2" s="351"/>
      <c r="J2" s="338" t="s">
        <v>93</v>
      </c>
      <c r="K2" s="344" t="s">
        <v>261</v>
      </c>
      <c r="L2" s="345"/>
      <c r="M2" s="345"/>
      <c r="N2" s="352" t="s">
        <v>156</v>
      </c>
      <c r="O2" s="353"/>
      <c r="P2" s="353"/>
      <c r="Q2" s="353"/>
      <c r="R2" s="354"/>
      <c r="S2" s="358" t="s">
        <v>93</v>
      </c>
      <c r="T2" s="355" t="s">
        <v>261</v>
      </c>
      <c r="U2" s="356"/>
      <c r="V2" s="356"/>
      <c r="W2" s="356"/>
      <c r="X2" s="356"/>
      <c r="Y2" s="356"/>
      <c r="Z2" s="356"/>
      <c r="AA2" s="356"/>
      <c r="AB2" s="357"/>
    </row>
    <row r="3" spans="1:28" ht="52">
      <c r="A3" s="337"/>
      <c r="B3" s="363"/>
      <c r="C3" s="334"/>
      <c r="D3" s="334"/>
      <c r="E3" s="337"/>
      <c r="F3" s="46" t="s">
        <v>262</v>
      </c>
      <c r="G3" s="47" t="s">
        <v>263</v>
      </c>
      <c r="H3" s="47" t="s">
        <v>264</v>
      </c>
      <c r="I3" s="53" t="s">
        <v>265</v>
      </c>
      <c r="J3" s="339"/>
      <c r="K3" s="54" t="s">
        <v>160</v>
      </c>
      <c r="L3" s="55" t="s">
        <v>161</v>
      </c>
      <c r="M3" s="65" t="s">
        <v>162</v>
      </c>
      <c r="N3" s="66" t="s">
        <v>266</v>
      </c>
      <c r="O3" s="31" t="s">
        <v>267</v>
      </c>
      <c r="P3" s="31" t="s">
        <v>268</v>
      </c>
      <c r="Q3" s="31" t="s">
        <v>269</v>
      </c>
      <c r="R3" s="71" t="s">
        <v>270</v>
      </c>
      <c r="S3" s="359"/>
      <c r="T3" s="72" t="s">
        <v>271</v>
      </c>
      <c r="U3" s="77" t="s">
        <v>272</v>
      </c>
      <c r="V3" s="77" t="s">
        <v>273</v>
      </c>
      <c r="W3" s="78" t="s">
        <v>274</v>
      </c>
      <c r="X3" s="79" t="s">
        <v>275</v>
      </c>
      <c r="Y3" s="82" t="s">
        <v>276</v>
      </c>
      <c r="Z3" s="83" t="s">
        <v>277</v>
      </c>
      <c r="AA3" s="78" t="s">
        <v>278</v>
      </c>
      <c r="AB3" s="79" t="s">
        <v>162</v>
      </c>
    </row>
    <row r="4" spans="1:28" ht="37.5" customHeight="1">
      <c r="A4" s="360" t="s">
        <v>219</v>
      </c>
      <c r="B4" s="41" t="s">
        <v>16</v>
      </c>
      <c r="C4" s="42" t="s">
        <v>17</v>
      </c>
      <c r="D4" s="7">
        <v>0.1</v>
      </c>
      <c r="E4" s="48" t="s">
        <v>18</v>
      </c>
      <c r="F4" s="49">
        <f>'Change Management_Orange'!J2</f>
        <v>4</v>
      </c>
      <c r="G4" s="49">
        <f>'Change Management_Orange'!K2</f>
        <v>3</v>
      </c>
      <c r="H4" s="49">
        <f>'Change Management_Orange'!L2</f>
        <v>1</v>
      </c>
      <c r="I4" s="49">
        <f>'Change Management_Orange'!M2</f>
        <v>0</v>
      </c>
      <c r="J4" s="56" t="str">
        <f>'Change Management_Orange'!N2</f>
        <v>B</v>
      </c>
      <c r="K4" s="57">
        <f>IF(J4="A",F4,IF(J4="B",G4,IF(J4="C",H4,IF(J4="D",I4))))</f>
        <v>3</v>
      </c>
      <c r="L4" s="58">
        <f>K4</f>
        <v>3</v>
      </c>
      <c r="M4" s="340">
        <f>SUMPRODUCT(L4:L12,D4:D12)</f>
        <v>2.85</v>
      </c>
      <c r="N4" s="67" t="s">
        <v>279</v>
      </c>
      <c r="O4" s="68" t="s">
        <v>279</v>
      </c>
      <c r="P4" s="68" t="s">
        <v>229</v>
      </c>
      <c r="Q4" s="68" t="s">
        <v>224</v>
      </c>
      <c r="R4" s="73" t="s">
        <v>107</v>
      </c>
      <c r="S4" s="74" t="str">
        <f>J4</f>
        <v>B</v>
      </c>
      <c r="T4" s="60">
        <f>IF(S4=0,0,IF(S4&lt;=O4,1,0))</f>
        <v>1</v>
      </c>
      <c r="U4" s="61">
        <f>IF(S4=0,0,IF(S4&lt;=P4,1,0))</f>
        <v>1</v>
      </c>
      <c r="V4" s="61">
        <f>IF(S4=0,0,IF(S4&lt;=Q4,1,0))</f>
        <v>1</v>
      </c>
      <c r="W4" s="80">
        <f>IF(S4=0,0,IF(S4&lt;=R4,1,0))</f>
        <v>0</v>
      </c>
      <c r="X4" s="324">
        <f>IF(AVERAGE(W4:W12)=1,4,IF(AVERAGE(V4:V12)=1,3,IF(AVERAGE(U4:U12)=1,2,IF(AVERAGE(T4:T12)=1,1,0))))</f>
        <v>2</v>
      </c>
      <c r="Y4" s="84">
        <f t="array" ref="Y4">_xlfn.SWITCH(X4,0,IF(O4&lt;N4,1,0),1,IF(P4&lt;O4,1,0),2,IF(Q4&lt;P4,1,0),3,IF(R4&lt;Q4,1,0),4,0)</f>
        <v>1</v>
      </c>
      <c r="Z4" s="85">
        <f t="array" ref="Z4">IF(Y4&gt;0,_xlfn.SWITCH(X4,0,IF(S4&lt;=O4,1,0),1,IF(S4&lt;=P4,1,0),2,IF(S4&lt;=Q4,1,0),3,IF(S4&lt;=R4,1,0)),0)</f>
        <v>1</v>
      </c>
      <c r="AA4" s="327">
        <f>IF(IF(X4=4,0,SUMPRODUCT(Z4:Z12,D4:D12))/IF(SUMPRODUCT(Y4:Y12,D4:D12)=0,1,SUMPRODUCT(Y4:Y12,D4:D12))=1,0,IF(X4=4,0,SUMPRODUCT(Z4:Z12,D4:D12))/IF(SUMPRODUCT(Y4:Y12,D4:D12)=0,1,SUMPRODUCT(Y4:Y12,D4:D12)))</f>
        <v>0</v>
      </c>
      <c r="AB4" s="330">
        <f>AA4+X4</f>
        <v>2</v>
      </c>
    </row>
    <row r="5" spans="1:28" ht="25">
      <c r="A5" s="360"/>
      <c r="B5" s="43" t="s">
        <v>20</v>
      </c>
      <c r="C5" s="42" t="s">
        <v>21</v>
      </c>
      <c r="D5" s="8">
        <v>0.05</v>
      </c>
      <c r="E5" s="48" t="s">
        <v>22</v>
      </c>
      <c r="F5" s="50">
        <f>'Change Management_Orange'!J3</f>
        <v>3</v>
      </c>
      <c r="G5" s="50">
        <f>'Change Management_Orange'!K3</f>
        <v>2</v>
      </c>
      <c r="H5" s="50">
        <f>'Change Management_Orange'!L3</f>
        <v>1</v>
      </c>
      <c r="I5" s="50">
        <f>'Change Management_Orange'!M3</f>
        <v>0</v>
      </c>
      <c r="J5" s="59" t="str">
        <f>'Change Management_Orange'!N3</f>
        <v>C</v>
      </c>
      <c r="K5" s="60">
        <f t="shared" ref="K5:K12" si="0">IF(J5="A",F5,IF(J5="B",G5,IF(J5="C",H5,IF(J5="D",I5))))</f>
        <v>1</v>
      </c>
      <c r="L5" s="61">
        <f>IF(AND(K5=3,AVERAGE($K$4,$K$6,$K$7,$K$8)&gt;3),AVERAGE($K$4,$K$6,$K$7,$K$8),K5)</f>
        <v>1</v>
      </c>
      <c r="M5" s="341"/>
      <c r="N5" s="67" t="s">
        <v>279</v>
      </c>
      <c r="O5" s="68" t="s">
        <v>279</v>
      </c>
      <c r="P5" s="68" t="s">
        <v>229</v>
      </c>
      <c r="Q5" s="68" t="s">
        <v>224</v>
      </c>
      <c r="R5" s="73" t="s">
        <v>107</v>
      </c>
      <c r="S5" s="74" t="str">
        <f t="shared" ref="S5:S12" si="1">J5</f>
        <v>C</v>
      </c>
      <c r="T5" s="60">
        <f t="shared" ref="T5:T12" si="2">IF(S5=0,0,IF(S5&lt;=O5,1,0))</f>
        <v>1</v>
      </c>
      <c r="U5" s="61">
        <f t="shared" ref="U5:U12" si="3">IF(S5=0,0,IF(S5&lt;=P5,1,0))</f>
        <v>1</v>
      </c>
      <c r="V5" s="61">
        <f t="shared" ref="V5:V12" si="4">IF(S5=0,0,IF(S5&lt;=Q5,1,0))</f>
        <v>0</v>
      </c>
      <c r="W5" s="80">
        <f t="shared" ref="W5:W12" si="5">IF(S5=0,0,IF(S5&lt;=R5,1,0))</f>
        <v>0</v>
      </c>
      <c r="X5" s="324"/>
      <c r="Y5" s="86">
        <f t="array" ref="Y5">_xlfn.SWITCH(X5,0,IF(O5&lt;N5,1,0),1,IF(P5&lt;O5,1,0),2,IF(Q5&lt;P5,1,0),3,IF(R5&lt;Q5,1,0),4,0)</f>
        <v>0</v>
      </c>
      <c r="Z5" s="73">
        <f t="array" ref="Z5">IF(Y5&gt;0,_xlfn.SWITCH(X5,0,IF(S5&lt;=O5,1,0),1,IF(S5&lt;=P5,1,0),2,IF(S5&lt;=Q5,1,0),3,IF(S5&lt;=R5,1,0)),0)</f>
        <v>0</v>
      </c>
      <c r="AA5" s="327"/>
      <c r="AB5" s="330"/>
    </row>
    <row r="6" spans="1:28" ht="25">
      <c r="A6" s="360"/>
      <c r="B6" s="364" t="s">
        <v>24</v>
      </c>
      <c r="C6" s="42" t="s">
        <v>24</v>
      </c>
      <c r="D6" s="8">
        <v>0.1</v>
      </c>
      <c r="E6" s="48" t="s">
        <v>25</v>
      </c>
      <c r="F6" s="50">
        <f>'Change Management_Orange'!J4</f>
        <v>4</v>
      </c>
      <c r="G6" s="50">
        <f>'Change Management_Orange'!K4</f>
        <v>3</v>
      </c>
      <c r="H6" s="50">
        <f>'Change Management_Orange'!L4</f>
        <v>0</v>
      </c>
      <c r="I6" s="50">
        <f>'Change Management_Orange'!M4</f>
        <v>0</v>
      </c>
      <c r="J6" s="59" t="str">
        <f>'Change Management_Orange'!N4</f>
        <v>C</v>
      </c>
      <c r="K6" s="60">
        <f t="shared" si="0"/>
        <v>0</v>
      </c>
      <c r="L6" s="61">
        <f>K6</f>
        <v>0</v>
      </c>
      <c r="M6" s="341"/>
      <c r="N6" s="67" t="s">
        <v>229</v>
      </c>
      <c r="O6" s="68" t="s">
        <v>229</v>
      </c>
      <c r="P6" s="68" t="s">
        <v>229</v>
      </c>
      <c r="Q6" s="68" t="s">
        <v>224</v>
      </c>
      <c r="R6" s="73" t="s">
        <v>107</v>
      </c>
      <c r="S6" s="74" t="str">
        <f t="shared" si="1"/>
        <v>C</v>
      </c>
      <c r="T6" s="60">
        <f t="shared" si="2"/>
        <v>1</v>
      </c>
      <c r="U6" s="61">
        <f t="shared" si="3"/>
        <v>1</v>
      </c>
      <c r="V6" s="61">
        <f t="shared" si="4"/>
        <v>0</v>
      </c>
      <c r="W6" s="80">
        <f t="shared" si="5"/>
        <v>0</v>
      </c>
      <c r="X6" s="324"/>
      <c r="Y6" s="86">
        <f t="array" ref="Y6">_xlfn.SWITCH(X6,0,IF(O6&lt;N6,1,0),1,IF(P6&lt;O6,1,0),2,IF(Q6&lt;P6,1,0),3,IF(R6&lt;Q6,1,0),4,0)</f>
        <v>0</v>
      </c>
      <c r="Z6" s="73">
        <f t="array" ref="Z6">IF(Y6&gt;0,_xlfn.SWITCH(X6,0,IF(S6&lt;=O6,1,0),1,IF(S6&lt;=P6,1,0),2,IF(S6&lt;=Q6,1,0),3,IF(S6&lt;=R6,1,0)),0)</f>
        <v>0</v>
      </c>
      <c r="AA6" s="327"/>
      <c r="AB6" s="330"/>
    </row>
    <row r="7" spans="1:28" ht="62.5">
      <c r="A7" s="360"/>
      <c r="B7" s="365"/>
      <c r="C7" s="44" t="s">
        <v>27</v>
      </c>
      <c r="D7" s="10">
        <v>0.15</v>
      </c>
      <c r="E7" s="51" t="s">
        <v>28</v>
      </c>
      <c r="F7" s="50">
        <f>'Change Management_Orange'!J5</f>
        <v>4</v>
      </c>
      <c r="G7" s="50">
        <f>'Change Management_Orange'!K5</f>
        <v>3</v>
      </c>
      <c r="H7" s="50">
        <f>'Change Management_Orange'!L5</f>
        <v>0</v>
      </c>
      <c r="I7" s="50">
        <f>'Change Management_Orange'!M5</f>
        <v>0</v>
      </c>
      <c r="J7" s="59" t="str">
        <f>'Change Management_Orange'!N5</f>
        <v>A</v>
      </c>
      <c r="K7" s="60">
        <f t="shared" si="0"/>
        <v>4</v>
      </c>
      <c r="L7" s="61">
        <f>K7</f>
        <v>4</v>
      </c>
      <c r="M7" s="341"/>
      <c r="N7" s="67" t="s">
        <v>229</v>
      </c>
      <c r="O7" s="68" t="s">
        <v>229</v>
      </c>
      <c r="P7" s="68" t="s">
        <v>224</v>
      </c>
      <c r="Q7" s="68" t="s">
        <v>107</v>
      </c>
      <c r="R7" s="73" t="s">
        <v>107</v>
      </c>
      <c r="S7" s="74" t="str">
        <f t="shared" si="1"/>
        <v>A</v>
      </c>
      <c r="T7" s="60">
        <f t="shared" si="2"/>
        <v>1</v>
      </c>
      <c r="U7" s="61">
        <f t="shared" si="3"/>
        <v>1</v>
      </c>
      <c r="V7" s="61">
        <f t="shared" si="4"/>
        <v>1</v>
      </c>
      <c r="W7" s="80">
        <f t="shared" si="5"/>
        <v>1</v>
      </c>
      <c r="X7" s="324"/>
      <c r="Y7" s="86">
        <f t="array" ref="Y7">_xlfn.SWITCH(X7,0,IF(O7&lt;N7,1,0),1,IF(P7&lt;O7,1,0),2,IF(Q7&lt;P7,1,0),3,IF(R7&lt;Q7,1,0),4,0)</f>
        <v>0</v>
      </c>
      <c r="Z7" s="73">
        <f t="array" ref="Z7">IF(Y7&gt;0,_xlfn.SWITCH(X7,0,IF(S7&lt;=O7,1,0),1,IF(S7&lt;=P7,1,0),2,IF(S7&lt;=Q7,1,0),3,IF(S7&lt;=R7,1,0)),0)</f>
        <v>0</v>
      </c>
      <c r="AA7" s="327"/>
      <c r="AB7" s="330"/>
    </row>
    <row r="8" spans="1:28" ht="50">
      <c r="A8" s="360"/>
      <c r="B8" s="41" t="s">
        <v>30</v>
      </c>
      <c r="C8" s="42" t="s">
        <v>31</v>
      </c>
      <c r="D8" s="8">
        <v>0.15</v>
      </c>
      <c r="E8" s="48" t="s">
        <v>32</v>
      </c>
      <c r="F8" s="50">
        <f>'Change Management_Orange'!J6</f>
        <v>4</v>
      </c>
      <c r="G8" s="50">
        <f>'Change Management_Orange'!K6</f>
        <v>3</v>
      </c>
      <c r="H8" s="50">
        <f>'Change Management_Orange'!L6</f>
        <v>1</v>
      </c>
      <c r="I8" s="50">
        <f>'Change Management_Orange'!M6</f>
        <v>0</v>
      </c>
      <c r="J8" s="59" t="str">
        <f>'Change Management_Orange'!N6</f>
        <v>A</v>
      </c>
      <c r="K8" s="60">
        <f t="shared" si="0"/>
        <v>4</v>
      </c>
      <c r="L8" s="61">
        <f>K8</f>
        <v>4</v>
      </c>
      <c r="M8" s="341"/>
      <c r="N8" s="67" t="s">
        <v>279</v>
      </c>
      <c r="O8" s="68" t="s">
        <v>279</v>
      </c>
      <c r="P8" s="68" t="s">
        <v>229</v>
      </c>
      <c r="Q8" s="68" t="s">
        <v>224</v>
      </c>
      <c r="R8" s="73" t="s">
        <v>107</v>
      </c>
      <c r="S8" s="74" t="str">
        <f t="shared" si="1"/>
        <v>A</v>
      </c>
      <c r="T8" s="60">
        <f t="shared" si="2"/>
        <v>1</v>
      </c>
      <c r="U8" s="61">
        <f t="shared" si="3"/>
        <v>1</v>
      </c>
      <c r="V8" s="61">
        <f t="shared" si="4"/>
        <v>1</v>
      </c>
      <c r="W8" s="80">
        <f t="shared" si="5"/>
        <v>1</v>
      </c>
      <c r="X8" s="324"/>
      <c r="Y8" s="86">
        <f t="array" ref="Y8">_xlfn.SWITCH(X8,0,IF(O8&lt;N8,1,0),1,IF(P8&lt;O8,1,0),2,IF(Q8&lt;P8,1,0),3,IF(R8&lt;Q8,1,0),4,0)</f>
        <v>0</v>
      </c>
      <c r="Z8" s="73">
        <f t="array" ref="Z8">IF(Y8&gt;0,_xlfn.SWITCH(X8,0,IF(S8&lt;=O8,1,0),1,IF(S8&lt;=P8,1,0),2,IF(S8&lt;=Q8,1,0),3,IF(S8&lt;=R8,1,0)),0)</f>
        <v>0</v>
      </c>
      <c r="AA8" s="327"/>
      <c r="AB8" s="330"/>
    </row>
    <row r="9" spans="1:28" ht="25">
      <c r="A9" s="360"/>
      <c r="B9" s="366" t="s">
        <v>34</v>
      </c>
      <c r="C9" s="42" t="s">
        <v>280</v>
      </c>
      <c r="D9" s="8">
        <v>0.1</v>
      </c>
      <c r="E9" s="48" t="s">
        <v>38</v>
      </c>
      <c r="F9" s="50">
        <f>'Change Management_Orange'!J7</f>
        <v>3</v>
      </c>
      <c r="G9" s="50">
        <f>'Change Management_Orange'!K7</f>
        <v>2</v>
      </c>
      <c r="H9" s="50">
        <f>'Change Management_Orange'!L7</f>
        <v>1</v>
      </c>
      <c r="I9" s="50">
        <f>'Change Management_Orange'!M7</f>
        <v>0</v>
      </c>
      <c r="J9" s="59" t="str">
        <f>'Change Management_Orange'!N7</f>
        <v>A</v>
      </c>
      <c r="K9" s="60">
        <f t="shared" si="0"/>
        <v>3</v>
      </c>
      <c r="L9" s="61">
        <f>IF(AND(K9=3,AVERAGE($K$4,$K$6,$K$7,$K$8)&gt;3),AVERAGE($K$4,$K$6,$K$7,$K$8),K9)</f>
        <v>3</v>
      </c>
      <c r="M9" s="341"/>
      <c r="N9" s="67" t="s">
        <v>229</v>
      </c>
      <c r="O9" s="68" t="s">
        <v>229</v>
      </c>
      <c r="P9" s="68" t="s">
        <v>229</v>
      </c>
      <c r="Q9" s="68" t="s">
        <v>224</v>
      </c>
      <c r="R9" s="73" t="s">
        <v>107</v>
      </c>
      <c r="S9" s="74" t="str">
        <f t="shared" si="1"/>
        <v>A</v>
      </c>
      <c r="T9" s="60">
        <f t="shared" si="2"/>
        <v>1</v>
      </c>
      <c r="U9" s="61">
        <f t="shared" si="3"/>
        <v>1</v>
      </c>
      <c r="V9" s="61">
        <f t="shared" si="4"/>
        <v>1</v>
      </c>
      <c r="W9" s="80">
        <f t="shared" si="5"/>
        <v>1</v>
      </c>
      <c r="X9" s="324"/>
      <c r="Y9" s="86">
        <f t="array" ref="Y9">_xlfn.SWITCH(X9,0,IF(O9&lt;N9,1,0),1,IF(P9&lt;O9,1,0),2,IF(Q9&lt;P9,1,0),3,IF(R9&lt;Q9,1,0),4,0)</f>
        <v>0</v>
      </c>
      <c r="Z9" s="73">
        <f t="array" ref="Z9">IF(Y9&gt;0,_xlfn.SWITCH(X9,0,IF(S9&lt;=O9,1,0),1,IF(S9&lt;=P9,1,0),2,IF(S9&lt;=Q9,1,0),3,IF(S9&lt;=R9,1,0)),0)</f>
        <v>0</v>
      </c>
      <c r="AA9" s="327"/>
      <c r="AB9" s="330"/>
    </row>
    <row r="10" spans="1:28" ht="34.5" customHeight="1">
      <c r="A10" s="360"/>
      <c r="B10" s="366"/>
      <c r="C10" s="42" t="s">
        <v>281</v>
      </c>
      <c r="D10" s="8">
        <v>0.05</v>
      </c>
      <c r="E10" s="48" t="s">
        <v>41</v>
      </c>
      <c r="F10" s="50">
        <f>'Change Management_Orange'!J8</f>
        <v>2</v>
      </c>
      <c r="G10" s="50">
        <f>'Change Management_Orange'!K8</f>
        <v>1</v>
      </c>
      <c r="H10" s="50">
        <f>'Change Management_Orange'!L8</f>
        <v>0</v>
      </c>
      <c r="I10" s="50">
        <f>'Change Management_Orange'!M8</f>
        <v>0</v>
      </c>
      <c r="J10" s="59" t="str">
        <f>'Change Management_Orange'!N8</f>
        <v>A</v>
      </c>
      <c r="K10" s="60">
        <f t="shared" si="0"/>
        <v>2</v>
      </c>
      <c r="L10" s="61">
        <f>IF(AND(K10=2,AVERAGE($K$4,$K$6,$K$7,$K$8)&gt;3),AVERAGE($K$4,$K$6,$K$7,$K$8),K10)</f>
        <v>2</v>
      </c>
      <c r="M10" s="341"/>
      <c r="N10" s="67" t="s">
        <v>229</v>
      </c>
      <c r="O10" s="68" t="s">
        <v>229</v>
      </c>
      <c r="P10" s="68" t="s">
        <v>229</v>
      </c>
      <c r="Q10" s="68" t="s">
        <v>224</v>
      </c>
      <c r="R10" s="73" t="s">
        <v>107</v>
      </c>
      <c r="S10" s="74" t="str">
        <f t="shared" si="1"/>
        <v>A</v>
      </c>
      <c r="T10" s="60">
        <f t="shared" si="2"/>
        <v>1</v>
      </c>
      <c r="U10" s="61">
        <f t="shared" si="3"/>
        <v>1</v>
      </c>
      <c r="V10" s="61">
        <f t="shared" si="4"/>
        <v>1</v>
      </c>
      <c r="W10" s="80">
        <f t="shared" si="5"/>
        <v>1</v>
      </c>
      <c r="X10" s="324"/>
      <c r="Y10" s="86">
        <f t="array" ref="Y10">_xlfn.SWITCH(X10,0,IF(O10&lt;N10,1,0),1,IF(P10&lt;O10,1,0),2,IF(Q10&lt;P10,1,0),3,IF(R10&lt;Q10,1,0),4,0)</f>
        <v>0</v>
      </c>
      <c r="Z10" s="73">
        <f t="array" ref="Z10">IF(Y10&gt;0,_xlfn.SWITCH(X10,0,IF(S10&lt;=O10,1,0),1,IF(S10&lt;=P10,1,0),2,IF(S10&lt;=Q10,1,0),3,IF(S10&lt;=R10,1,0)),0)</f>
        <v>0</v>
      </c>
      <c r="AA10" s="327"/>
      <c r="AB10" s="330"/>
    </row>
    <row r="11" spans="1:28" ht="34.5" customHeight="1">
      <c r="A11" s="360"/>
      <c r="B11" s="366"/>
      <c r="C11" s="42" t="s">
        <v>282</v>
      </c>
      <c r="D11" s="8">
        <v>0.15</v>
      </c>
      <c r="E11" s="48" t="s">
        <v>44</v>
      </c>
      <c r="F11" s="50">
        <f>'Change Management_Orange'!J9</f>
        <v>3</v>
      </c>
      <c r="G11" s="50">
        <f>'Change Management_Orange'!K9</f>
        <v>2</v>
      </c>
      <c r="H11" s="50">
        <f>'Change Management_Orange'!L9</f>
        <v>1</v>
      </c>
      <c r="I11" s="50">
        <f>'Change Management_Orange'!M9</f>
        <v>0</v>
      </c>
      <c r="J11" s="59" t="str">
        <f>'Change Management_Orange'!N9</f>
        <v>A</v>
      </c>
      <c r="K11" s="60">
        <f t="shared" si="0"/>
        <v>3</v>
      </c>
      <c r="L11" s="61">
        <f>IF(AND(K11=3,AVERAGE($K$4,$K$6,$K$7,$K$8)&gt;3),AVERAGE($K$4,$K$6,$K$7,$K$8),K11)</f>
        <v>3</v>
      </c>
      <c r="M11" s="342"/>
      <c r="N11" s="67" t="s">
        <v>279</v>
      </c>
      <c r="O11" s="68" t="s">
        <v>279</v>
      </c>
      <c r="P11" s="68" t="s">
        <v>229</v>
      </c>
      <c r="Q11" s="68" t="s">
        <v>224</v>
      </c>
      <c r="R11" s="73" t="s">
        <v>107</v>
      </c>
      <c r="S11" s="74" t="str">
        <f t="shared" si="1"/>
        <v>A</v>
      </c>
      <c r="T11" s="60">
        <f t="shared" si="2"/>
        <v>1</v>
      </c>
      <c r="U11" s="61">
        <f t="shared" si="3"/>
        <v>1</v>
      </c>
      <c r="V11" s="61">
        <f t="shared" si="4"/>
        <v>1</v>
      </c>
      <c r="W11" s="80">
        <f t="shared" si="5"/>
        <v>1</v>
      </c>
      <c r="X11" s="325"/>
      <c r="Y11" s="86">
        <f t="array" ref="Y11">_xlfn.SWITCH(X11,0,IF(O11&lt;N11,1,0),1,IF(P11&lt;O11,1,0),2,IF(Q11&lt;P11,1,0),3,IF(R11&lt;Q11,1,0),4,0)</f>
        <v>0</v>
      </c>
      <c r="Z11" s="73">
        <f t="array" ref="Z11">IF(Y11&gt;0,_xlfn.SWITCH(X11,0,IF(S11&lt;=O11,1,0),1,IF(S11&lt;=P11,1,0),2,IF(S11&lt;=Q11,1,0),3,IF(S11&lt;=R11,1,0)),0)</f>
        <v>0</v>
      </c>
      <c r="AA11" s="328"/>
      <c r="AB11" s="331"/>
    </row>
    <row r="12" spans="1:28" ht="19.899999999999999" customHeight="1">
      <c r="A12" s="360"/>
      <c r="B12" s="367"/>
      <c r="C12" s="42" t="s">
        <v>283</v>
      </c>
      <c r="D12" s="8">
        <v>0.15</v>
      </c>
      <c r="E12" s="48" t="s">
        <v>47</v>
      </c>
      <c r="F12" s="52">
        <f>'Change Management_Orange'!J10</f>
        <v>3</v>
      </c>
      <c r="G12" s="52">
        <f>'Change Management_Orange'!K10</f>
        <v>2</v>
      </c>
      <c r="H12" s="52">
        <f>'Change Management_Orange'!L10</f>
        <v>1</v>
      </c>
      <c r="I12" s="52">
        <f>'Change Management_Orange'!M10</f>
        <v>0</v>
      </c>
      <c r="J12" s="62" t="str">
        <f>'Change Management_Orange'!N10</f>
        <v>A</v>
      </c>
      <c r="K12" s="63">
        <f t="shared" si="0"/>
        <v>3</v>
      </c>
      <c r="L12" s="64">
        <f>IF(AND(K12=3,AVERAGE($K$4,$K$6,$K$7,$K$8)&gt;3),AVERAGE($K$4,$K$6,$K$7,$K$8),K12)</f>
        <v>3</v>
      </c>
      <c r="M12" s="343"/>
      <c r="N12" s="69" t="s">
        <v>229</v>
      </c>
      <c r="O12" s="70" t="s">
        <v>224</v>
      </c>
      <c r="P12" s="70" t="s">
        <v>107</v>
      </c>
      <c r="Q12" s="70" t="s">
        <v>107</v>
      </c>
      <c r="R12" s="75" t="s">
        <v>107</v>
      </c>
      <c r="S12" s="76" t="str">
        <f t="shared" si="1"/>
        <v>A</v>
      </c>
      <c r="T12" s="63">
        <f t="shared" si="2"/>
        <v>1</v>
      </c>
      <c r="U12" s="64">
        <f t="shared" si="3"/>
        <v>1</v>
      </c>
      <c r="V12" s="64">
        <f t="shared" si="4"/>
        <v>1</v>
      </c>
      <c r="W12" s="81">
        <f t="shared" si="5"/>
        <v>1</v>
      </c>
      <c r="X12" s="326"/>
      <c r="Y12" s="87">
        <f t="array" ref="Y12">_xlfn.SWITCH(X12,0,IF(O12&lt;N12,1,0),1,IF(P12&lt;O12,1,0),2,IF(Q12&lt;P12,1,0),3,IF(R12&lt;Q12,1,0),4,0)</f>
        <v>1</v>
      </c>
      <c r="Z12" s="75">
        <f t="array" ref="Z12">IF(Y12&gt;0,_xlfn.SWITCH(X12,0,IF(S12&lt;=O12,1,0),1,IF(S12&lt;=P12,1,0),2,IF(S12&lt;=Q12,1,0),3,IF(S12&lt;=R12,1,0)),0)</f>
        <v>1</v>
      </c>
      <c r="AA12" s="329"/>
      <c r="AB12" s="332"/>
    </row>
    <row r="13" spans="1:28">
      <c r="D13" s="45">
        <f>SUM(D4:D12)</f>
        <v>1</v>
      </c>
    </row>
    <row r="14" spans="1:28">
      <c r="B14" s="38" t="s">
        <v>284</v>
      </c>
    </row>
  </sheetData>
  <mergeCells count="20">
    <mergeCell ref="A1:A3"/>
    <mergeCell ref="A4:A12"/>
    <mergeCell ref="B1:B3"/>
    <mergeCell ref="B6:B7"/>
    <mergeCell ref="B9:B12"/>
    <mergeCell ref="X4:X12"/>
    <mergeCell ref="AA4:AA12"/>
    <mergeCell ref="AB4:AB12"/>
    <mergeCell ref="C1:C3"/>
    <mergeCell ref="D1:D3"/>
    <mergeCell ref="E1:E3"/>
    <mergeCell ref="J2:J3"/>
    <mergeCell ref="M4:M12"/>
    <mergeCell ref="F1:M1"/>
    <mergeCell ref="N1:AB1"/>
    <mergeCell ref="F2:I2"/>
    <mergeCell ref="K2:M2"/>
    <mergeCell ref="N2:R2"/>
    <mergeCell ref="T2:AB2"/>
    <mergeCell ref="S2:S3"/>
  </mergeCells>
  <pageMargins left="0.7" right="0.7" top="0.75" bottom="0.75" header="0.3" footer="0.3"/>
  <pageSetup paperSize="9" orientation="portrait" horizontalDpi="300" verticalDpi="300"/>
  <headerFooter>
    <oddFooter>&amp;C&amp;1#&amp;"Calibri"&amp;8&amp;KED7D31Orange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2"/>
  <sheetViews>
    <sheetView showGridLines="0" zoomScale="80" zoomScaleNormal="80" workbookViewId="0">
      <selection activeCell="H18" sqref="H18"/>
    </sheetView>
  </sheetViews>
  <sheetFormatPr defaultColWidth="8.7265625" defaultRowHeight="12.5"/>
  <cols>
    <col min="1" max="1" width="12.26953125" style="1" customWidth="1"/>
    <col min="2" max="2" width="11.26953125" style="2" customWidth="1"/>
    <col min="3" max="3" width="13" style="1" customWidth="1"/>
    <col min="4" max="4" width="6.453125" style="1" customWidth="1"/>
    <col min="5" max="5" width="40" style="1" customWidth="1"/>
    <col min="6" max="6" width="36.453125" style="1" customWidth="1"/>
    <col min="7" max="7" width="35.453125" style="1" customWidth="1"/>
    <col min="8" max="8" width="34.7265625" style="1" customWidth="1"/>
    <col min="9" max="9" width="29.7265625" style="1" customWidth="1"/>
    <col min="10" max="13" width="8.26953125" style="3" customWidth="1"/>
    <col min="14" max="14" width="8.7265625" style="3"/>
    <col min="15" max="15" width="20.26953125" style="3" customWidth="1"/>
    <col min="16" max="16" width="26" style="3" customWidth="1"/>
    <col min="17" max="16384" width="8.7265625" style="3"/>
  </cols>
  <sheetData>
    <row r="1" spans="1:16" ht="42">
      <c r="A1" s="4" t="s">
        <v>254</v>
      </c>
      <c r="B1" s="4" t="s">
        <v>255</v>
      </c>
      <c r="C1" s="4" t="s">
        <v>256</v>
      </c>
      <c r="D1" s="4" t="s">
        <v>257</v>
      </c>
      <c r="E1" s="13" t="s">
        <v>14</v>
      </c>
      <c r="F1" s="14" t="s">
        <v>262</v>
      </c>
      <c r="G1" s="14" t="s">
        <v>263</v>
      </c>
      <c r="H1" s="14" t="s">
        <v>264</v>
      </c>
      <c r="I1" s="14" t="s">
        <v>265</v>
      </c>
      <c r="J1" s="22" t="s">
        <v>262</v>
      </c>
      <c r="K1" s="22" t="s">
        <v>263</v>
      </c>
      <c r="L1" s="22" t="s">
        <v>264</v>
      </c>
      <c r="M1" s="22" t="s">
        <v>265</v>
      </c>
      <c r="N1" s="30" t="s">
        <v>93</v>
      </c>
      <c r="O1" s="31" t="s">
        <v>95</v>
      </c>
      <c r="P1" s="31" t="s">
        <v>94</v>
      </c>
    </row>
    <row r="2" spans="1:16" ht="125">
      <c r="A2" s="318" t="s">
        <v>219</v>
      </c>
      <c r="B2" s="5" t="s">
        <v>16</v>
      </c>
      <c r="C2" s="6" t="s">
        <v>17</v>
      </c>
      <c r="D2" s="7">
        <v>0.1</v>
      </c>
      <c r="E2" s="15" t="s">
        <v>18</v>
      </c>
      <c r="F2" s="16" t="s">
        <v>285</v>
      </c>
      <c r="G2" s="17" t="s">
        <v>286</v>
      </c>
      <c r="H2" s="17" t="s">
        <v>222</v>
      </c>
      <c r="I2" s="18" t="s">
        <v>287</v>
      </c>
      <c r="J2" s="23">
        <f>Scoring_Orange!F4</f>
        <v>4</v>
      </c>
      <c r="K2" s="23">
        <f>Scoring_Orange!G4</f>
        <v>3</v>
      </c>
      <c r="L2" s="23">
        <f>Scoring_Orange!H4</f>
        <v>1</v>
      </c>
      <c r="M2" s="32">
        <f>Scoring_Orange!I4</f>
        <v>0</v>
      </c>
      <c r="N2" s="33" t="s">
        <v>107</v>
      </c>
      <c r="O2" s="34"/>
      <c r="P2" s="35"/>
    </row>
    <row r="3" spans="1:16" ht="50">
      <c r="A3" s="318"/>
      <c r="B3" s="5" t="s">
        <v>20</v>
      </c>
      <c r="C3" s="6" t="s">
        <v>21</v>
      </c>
      <c r="D3" s="8">
        <v>0.05</v>
      </c>
      <c r="E3" s="15" t="s">
        <v>22</v>
      </c>
      <c r="F3" s="17" t="s">
        <v>225</v>
      </c>
      <c r="G3" s="17" t="s">
        <v>226</v>
      </c>
      <c r="H3" s="17" t="s">
        <v>227</v>
      </c>
      <c r="I3" s="21" t="s">
        <v>228</v>
      </c>
      <c r="J3" s="24">
        <f>Scoring_Orange!F5</f>
        <v>3</v>
      </c>
      <c r="K3" s="24">
        <f>Scoring_Orange!G5</f>
        <v>2</v>
      </c>
      <c r="L3" s="24">
        <f>Scoring_Orange!H5</f>
        <v>1</v>
      </c>
      <c r="M3" s="36">
        <f>Scoring_Orange!I5</f>
        <v>0</v>
      </c>
      <c r="N3" s="33" t="s">
        <v>107</v>
      </c>
      <c r="O3" s="35"/>
      <c r="P3" s="35"/>
    </row>
    <row r="4" spans="1:16" ht="37.5">
      <c r="A4" s="318"/>
      <c r="B4" s="319" t="s">
        <v>24</v>
      </c>
      <c r="C4" s="6" t="s">
        <v>24</v>
      </c>
      <c r="D4" s="8">
        <v>0.1</v>
      </c>
      <c r="E4" s="15" t="s">
        <v>25</v>
      </c>
      <c r="F4" s="17" t="s">
        <v>288</v>
      </c>
      <c r="G4" s="17" t="s">
        <v>289</v>
      </c>
      <c r="H4" s="18" t="s">
        <v>290</v>
      </c>
      <c r="I4" s="25"/>
      <c r="J4" s="24">
        <f>Scoring_Orange!F6</f>
        <v>4</v>
      </c>
      <c r="K4" s="24">
        <f>Scoring_Orange!G6</f>
        <v>3</v>
      </c>
      <c r="L4" s="24">
        <f>Scoring_Orange!H6</f>
        <v>0</v>
      </c>
      <c r="M4" s="36">
        <f>Scoring_Orange!I6</f>
        <v>0</v>
      </c>
      <c r="N4" s="33" t="s">
        <v>107</v>
      </c>
      <c r="O4" s="35"/>
      <c r="P4" s="35"/>
    </row>
    <row r="5" spans="1:16" ht="75">
      <c r="A5" s="318"/>
      <c r="B5" s="368"/>
      <c r="C5" s="9" t="s">
        <v>27</v>
      </c>
      <c r="D5" s="10">
        <v>0.15</v>
      </c>
      <c r="E5" s="19" t="s">
        <v>28</v>
      </c>
      <c r="F5" s="20" t="s">
        <v>291</v>
      </c>
      <c r="G5" s="20" t="s">
        <v>292</v>
      </c>
      <c r="H5" s="21" t="s">
        <v>293</v>
      </c>
      <c r="I5" s="26"/>
      <c r="J5" s="24">
        <f>Scoring_Orange!F7</f>
        <v>4</v>
      </c>
      <c r="K5" s="24">
        <f>Scoring_Orange!G7</f>
        <v>3</v>
      </c>
      <c r="L5" s="24">
        <f>Scoring_Orange!H7</f>
        <v>0</v>
      </c>
      <c r="M5" s="36">
        <f>Scoring_Orange!I7</f>
        <v>0</v>
      </c>
      <c r="N5" s="33" t="s">
        <v>107</v>
      </c>
      <c r="O5" s="35"/>
      <c r="P5" s="35"/>
    </row>
    <row r="6" spans="1:16" ht="50">
      <c r="A6" s="318"/>
      <c r="B6" s="5" t="s">
        <v>30</v>
      </c>
      <c r="C6" s="6" t="s">
        <v>31</v>
      </c>
      <c r="D6" s="8">
        <v>0.15</v>
      </c>
      <c r="E6" s="15" t="s">
        <v>32</v>
      </c>
      <c r="F6" s="17" t="s">
        <v>294</v>
      </c>
      <c r="G6" s="17" t="s">
        <v>295</v>
      </c>
      <c r="H6" s="18" t="s">
        <v>296</v>
      </c>
      <c r="I6" s="27"/>
      <c r="J6" s="24">
        <f>Scoring_Orange!F8</f>
        <v>4</v>
      </c>
      <c r="K6" s="24">
        <f>Scoring_Orange!G8</f>
        <v>3</v>
      </c>
      <c r="L6" s="24">
        <f>Scoring_Orange!H8</f>
        <v>1</v>
      </c>
      <c r="M6" s="36">
        <f>Scoring_Orange!I8</f>
        <v>0</v>
      </c>
      <c r="N6" s="33" t="s">
        <v>224</v>
      </c>
      <c r="O6" s="35"/>
      <c r="P6" s="35"/>
    </row>
    <row r="7" spans="1:16" ht="75">
      <c r="A7" s="318"/>
      <c r="B7" s="321" t="s">
        <v>34</v>
      </c>
      <c r="C7" s="6" t="s">
        <v>280</v>
      </c>
      <c r="D7" s="8">
        <v>0.1</v>
      </c>
      <c r="E7" s="15" t="s">
        <v>38</v>
      </c>
      <c r="F7" s="17" t="s">
        <v>297</v>
      </c>
      <c r="G7" s="17" t="s">
        <v>298</v>
      </c>
      <c r="H7" s="17" t="s">
        <v>299</v>
      </c>
      <c r="I7" s="28" t="s">
        <v>242</v>
      </c>
      <c r="J7" s="24">
        <f>Scoring_Orange!F9</f>
        <v>3</v>
      </c>
      <c r="K7" s="24">
        <f>Scoring_Orange!G9</f>
        <v>2</v>
      </c>
      <c r="L7" s="24">
        <f>Scoring_Orange!H9</f>
        <v>1</v>
      </c>
      <c r="M7" s="36">
        <f>Scoring_Orange!I9</f>
        <v>0</v>
      </c>
      <c r="N7" s="33" t="s">
        <v>229</v>
      </c>
      <c r="O7" s="35"/>
      <c r="P7" s="35"/>
    </row>
    <row r="8" spans="1:16" ht="25">
      <c r="A8" s="318"/>
      <c r="B8" s="322"/>
      <c r="C8" s="6" t="s">
        <v>281</v>
      </c>
      <c r="D8" s="8">
        <v>0.05</v>
      </c>
      <c r="E8" s="15" t="s">
        <v>41</v>
      </c>
      <c r="F8" s="17" t="s">
        <v>300</v>
      </c>
      <c r="G8" s="17" t="s">
        <v>301</v>
      </c>
      <c r="H8" s="17" t="s">
        <v>302</v>
      </c>
      <c r="I8" s="18"/>
      <c r="J8" s="24">
        <f>Scoring_Orange!F10</f>
        <v>2</v>
      </c>
      <c r="K8" s="24">
        <f>Scoring_Orange!G10</f>
        <v>1</v>
      </c>
      <c r="L8" s="24">
        <f>Scoring_Orange!H10</f>
        <v>0</v>
      </c>
      <c r="M8" s="36">
        <f>Scoring_Orange!I10</f>
        <v>0</v>
      </c>
      <c r="N8" s="33" t="s">
        <v>229</v>
      </c>
      <c r="O8" s="35"/>
      <c r="P8" s="35"/>
    </row>
    <row r="9" spans="1:16" ht="75">
      <c r="A9" s="318"/>
      <c r="B9" s="322"/>
      <c r="C9" s="6" t="s">
        <v>282</v>
      </c>
      <c r="D9" s="8">
        <v>0.15</v>
      </c>
      <c r="E9" s="15" t="s">
        <v>44</v>
      </c>
      <c r="F9" s="17" t="s">
        <v>303</v>
      </c>
      <c r="G9" s="17" t="s">
        <v>304</v>
      </c>
      <c r="H9" s="17" t="s">
        <v>248</v>
      </c>
      <c r="I9" s="18" t="s">
        <v>249</v>
      </c>
      <c r="J9" s="24">
        <f>Scoring_Orange!F11</f>
        <v>3</v>
      </c>
      <c r="K9" s="24">
        <f>Scoring_Orange!G11</f>
        <v>2</v>
      </c>
      <c r="L9" s="24">
        <f>Scoring_Orange!H11</f>
        <v>1</v>
      </c>
      <c r="M9" s="36">
        <f>Scoring_Orange!I11</f>
        <v>0</v>
      </c>
      <c r="N9" s="33" t="s">
        <v>224</v>
      </c>
      <c r="O9" s="35"/>
      <c r="P9" s="35"/>
    </row>
    <row r="10" spans="1:16" ht="75">
      <c r="A10" s="318"/>
      <c r="B10" s="323"/>
      <c r="C10" s="6" t="s">
        <v>283</v>
      </c>
      <c r="D10" s="8">
        <v>0.15</v>
      </c>
      <c r="E10" s="15" t="s">
        <v>47</v>
      </c>
      <c r="F10" s="17" t="s">
        <v>305</v>
      </c>
      <c r="G10" s="17" t="s">
        <v>306</v>
      </c>
      <c r="H10" s="17" t="s">
        <v>307</v>
      </c>
      <c r="I10" s="18" t="s">
        <v>308</v>
      </c>
      <c r="J10" s="29">
        <f>Scoring_Orange!F12</f>
        <v>3</v>
      </c>
      <c r="K10" s="29">
        <f>Scoring_Orange!G12</f>
        <v>2</v>
      </c>
      <c r="L10" s="29">
        <f>Scoring_Orange!H12</f>
        <v>1</v>
      </c>
      <c r="M10" s="37">
        <f>Scoring_Orange!I12</f>
        <v>0</v>
      </c>
      <c r="N10" s="33" t="s">
        <v>229</v>
      </c>
      <c r="O10" s="35"/>
      <c r="P10" s="35"/>
    </row>
    <row r="11" spans="1:16">
      <c r="D11" s="11">
        <f>SUM(D2:D10)</f>
        <v>1</v>
      </c>
    </row>
    <row r="12" spans="1:16">
      <c r="A12" s="12" t="s">
        <v>253</v>
      </c>
    </row>
  </sheetData>
  <mergeCells count="3">
    <mergeCell ref="A2:A10"/>
    <mergeCell ref="B4:B5"/>
    <mergeCell ref="B7:B10"/>
  </mergeCells>
  <dataValidations count="2">
    <dataValidation type="list" allowBlank="1" showInputMessage="1" showErrorMessage="1" sqref="N2 N5 N8:N10" xr:uid="{00000000-0002-0000-0900-000000000000}">
      <formula1>"A,B,C"</formula1>
    </dataValidation>
    <dataValidation type="list" allowBlank="1" showInputMessage="1" showErrorMessage="1" sqref="N3:N4 N6:N7" xr:uid="{00000000-0002-0000-0900-000001000000}">
      <formula1>"A,B,C,D"</formula1>
    </dataValidation>
  </dataValidations>
  <pageMargins left="0.7" right="0.7" top="0.75" bottom="0.75" header="0.3" footer="0.3"/>
  <pageSetup paperSize="9" orientation="portrait"/>
  <headerFooter>
    <oddFooter>&amp;C&amp;1#&amp;"Calibri"&amp;8&amp;KED7D31Orange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BC91D6-A893-4977-8167-0801BA1C37A0}">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Guideline_Orange</vt:lpstr>
      <vt:lpstr>Document Title</vt:lpstr>
      <vt:lpstr>Notice</vt:lpstr>
      <vt:lpstr>Guideline</vt:lpstr>
      <vt:lpstr>Core Network Change Management</vt:lpstr>
      <vt:lpstr>Scoring</vt:lpstr>
      <vt:lpstr>Administrative Appendix</vt:lpstr>
      <vt:lpstr>Change Management_Orange</vt:lpstr>
      <vt:lpstr>Scoring_Orange</vt:lpstr>
      <vt:lpstr>Change Management-tracking_Oran</vt:lpstr>
      <vt:lpstr>'Administrative Appendix'!Print_Area</vt:lpstr>
      <vt:lpstr>'Document Title'!Print_Area</vt:lpstr>
      <vt:lpstr>Notice!Print_Area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zhouzhongliang</dc:creator>
  <cp:lastModifiedBy>Amaia White</cp:lastModifiedBy>
  <dcterms:created xsi:type="dcterms:W3CDTF">2023-05-01T21:45:00Z</dcterms:created>
  <dcterms:modified xsi:type="dcterms:W3CDTF">2026-04-10T10:34:40Z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(3)ueqc0RHyXrkcTQRDvxq0y6ZFjhTX2hf8lK29l30GJUR8jL4OYhE5rr8ul/OwIYyWxE8klkwj_x000d__x000d__x000d__x000d__x000d__x000d__x000d__x000d__x000d_
lrkxsH/QUzILrjiWh9mC6oAQxbHXoapuoayj+bW12l2Xl/eE223jCSU6P2oikvEcXhvJ5i+R_x000d__x000d__x000d__x000d__x000d__x000d__x000d__x000d__x000d_
tQvvzZglPpOCZj2+8bGpuOTC2iJzRwVqDZYyLN8UoP3Vc7AxBe/V9zLKMpeOBMsU9u5D9Tyy_x000d__x000d__x000d__x000d__x000d__x000d__x000d__x000d__x000d_
gY284U6/4zq2YamLTH</vt:lpwstr>
  </property>
  <property fmtid="{D5CDD505-2E9C-101B-9397-08002B2CF9AE}" pid="3" name="_2015_ms_pID_7253431">
    <vt:lpwstr>Yt4DEQ8sCUaTSpkaRjHAJmL0yyeX+1hE/Kfrhh9m1BmmBkiqBXWs0r_x000d__x000d__x000d__x000d__x000d__x000d__x000d__x000d__x000d_
hMlpvSON6alpcRzCUc2AeizUqBDELpEQQkUrWJ23NtmuRlEcPhwmBI0aanrI5gw1UgMo1v/l_x000d__x000d__x000d__x000d__x000d__x000d__x000d__x000d__x000d_
oTGa0T/MSAApllSZOet/O0TN48kUVc6sXl8Ll6XSJSna2EpBo0Hm4l0P0CyJU6FLofkstqOg_x000d__x000d__x000d__x000d__x000d__x000d__x000d__x000d__x000d_
V8IiGOlpgTdBpLJECGMq6nNi8kGt8tC4C1sw</vt:lpwstr>
  </property>
  <property fmtid="{D5CDD505-2E9C-101B-9397-08002B2CF9AE}" pid="4" name="_2015_ms_pID_7253432">
    <vt:lpwstr>obioa3t5hqzUgoiaIvyrzyc=</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1690169917</vt:lpwstr>
  </property>
  <property fmtid="{D5CDD505-2E9C-101B-9397-08002B2CF9AE}" pid="9" name="ContentTypeId">
    <vt:lpwstr>0x01010062BEFE22FE2AE44C8A7ED1880C481F97</vt:lpwstr>
  </property>
  <property fmtid="{D5CDD505-2E9C-101B-9397-08002B2CF9AE}" pid="10" name="MediaServiceImageTags">
    <vt:lpwstr/>
  </property>
  <property fmtid="{D5CDD505-2E9C-101B-9397-08002B2CF9AE}" pid="11" name="MSIP_Label_e6c818a6-e1a0-4a6e-a969-20d857c5dc62_Enabled">
    <vt:lpwstr>true</vt:lpwstr>
  </property>
  <property fmtid="{D5CDD505-2E9C-101B-9397-08002B2CF9AE}" pid="12" name="MSIP_Label_e6c818a6-e1a0-4a6e-a969-20d857c5dc62_SetDate">
    <vt:lpwstr>2024-09-13T15:01:39Z</vt:lpwstr>
  </property>
  <property fmtid="{D5CDD505-2E9C-101B-9397-08002B2CF9AE}" pid="13" name="MSIP_Label_e6c818a6-e1a0-4a6e-a969-20d857c5dc62_Method">
    <vt:lpwstr>Standard</vt:lpwstr>
  </property>
  <property fmtid="{D5CDD505-2E9C-101B-9397-08002B2CF9AE}" pid="14" name="MSIP_Label_e6c818a6-e1a0-4a6e-a969-20d857c5dc62_Name">
    <vt:lpwstr>Orange_restricted_internal.2</vt:lpwstr>
  </property>
  <property fmtid="{D5CDD505-2E9C-101B-9397-08002B2CF9AE}" pid="15" name="MSIP_Label_e6c818a6-e1a0-4a6e-a969-20d857c5dc62_SiteId">
    <vt:lpwstr>90c7a20a-f34b-40bf-bc48-b9253b6f5d20</vt:lpwstr>
  </property>
  <property fmtid="{D5CDD505-2E9C-101B-9397-08002B2CF9AE}" pid="16" name="MSIP_Label_e6c818a6-e1a0-4a6e-a969-20d857c5dc62_ActionId">
    <vt:lpwstr>e70f82d5-9acf-4e9c-8aed-e9734fb3cf6b</vt:lpwstr>
  </property>
  <property fmtid="{D5CDD505-2E9C-101B-9397-08002B2CF9AE}" pid="17" name="MSIP_Label_e6c818a6-e1a0-4a6e-a969-20d857c5dc62_ContentBits">
    <vt:lpwstr>2</vt:lpwstr>
  </property>
  <property fmtid="{D5CDD505-2E9C-101B-9397-08002B2CF9AE}" pid="18" name="ICV">
    <vt:lpwstr>8A4EED42808280BDEA1ECD68CF989CA9_43</vt:lpwstr>
  </property>
  <property fmtid="{D5CDD505-2E9C-101B-9397-08002B2CF9AE}" pid="19" name="KSOProductBuildVer">
    <vt:lpwstr>2052-7.3.1.8967</vt:lpwstr>
  </property>
</Properties>
</file>