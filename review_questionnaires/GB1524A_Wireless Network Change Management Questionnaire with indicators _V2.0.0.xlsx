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tmf365-my.sharepoint.com/personal/ssibaya_tmforum_org/Documents/Documents/AN Levels/Questionnaires Updated to Correct Template and Ready for Publish/"/>
    </mc:Choice>
  </mc:AlternateContent>
  <xr:revisionPtr revIDLastSave="0" documentId="8_{645C4A50-9F0E-497F-B202-2798E095BFAD}" xr6:coauthVersionLast="47" xr6:coauthVersionMax="47" xr10:uidLastSave="{00000000-0000-0000-0000-000000000000}"/>
  <bookViews>
    <workbookView showHorizontalScroll="0" xWindow="-108" yWindow="-108" windowWidth="23256" windowHeight="13896" tabRatio="0" activeTab="5" xr2:uid="{00000000-000D-0000-FFFF-FFFF00000000}"/>
  </bookViews>
  <sheets>
    <sheet name="Document Title" sheetId="5" r:id="rId1"/>
    <sheet name="Notice-Landscape" sheetId="9" r:id="rId2"/>
    <sheet name="Guideline" sheetId="11" r:id="rId3"/>
    <sheet name="Questionnaire" sheetId="12" r:id="rId4"/>
    <sheet name="Scoring" sheetId="13" r:id="rId5"/>
    <sheet name="Administrative Appendix" sheetId="8" r:id="rId6"/>
    <sheet name="Sheet1" sheetId="10" r:id="rId7"/>
  </sheets>
  <externalReferences>
    <externalReference r:id="rId8"/>
  </externalReferences>
  <definedNames>
    <definedName name="_xlnm.Print_Area" localSheetId="5">'Administrative Appendix'!$A$1:$E$51</definedName>
    <definedName name="_xlnm.Print_Area" localSheetId="0">'Document Title'!$A$1:$B$27</definedName>
    <definedName name="_xlnm.Print_Area" localSheetId="1">'Notice-Landscape'!$A$1:$A$24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7" i="13" l="1"/>
  <c r="K17" i="13" s="1"/>
  <c r="D17" i="13"/>
  <c r="A17" i="13"/>
  <c r="J16" i="13"/>
  <c r="K16" i="13" s="1"/>
  <c r="L16" i="13" s="1"/>
  <c r="D16" i="13"/>
  <c r="A16" i="13"/>
  <c r="AE13" i="13"/>
  <c r="AF13" i="13" s="1"/>
  <c r="O13" i="13"/>
  <c r="N13" i="13"/>
  <c r="AB13" i="13" s="1"/>
  <c r="AC13" i="13" s="1"/>
  <c r="M13" i="13"/>
  <c r="Y13" i="13" s="1"/>
  <c r="Z13" i="13" s="1"/>
  <c r="L13" i="13"/>
  <c r="V13" i="13" s="1"/>
  <c r="W13" i="13" s="1"/>
  <c r="K13" i="13"/>
  <c r="S13" i="13" s="1"/>
  <c r="T13" i="13" s="1"/>
  <c r="J13" i="13"/>
  <c r="P13" i="13" s="1"/>
  <c r="Q13" i="13" s="1"/>
  <c r="E13" i="13"/>
  <c r="D13" i="13"/>
  <c r="C13" i="13"/>
  <c r="AB12" i="13"/>
  <c r="AC12" i="13" s="1"/>
  <c r="S12" i="13"/>
  <c r="T12" i="13" s="1"/>
  <c r="O12" i="13"/>
  <c r="AE12" i="13" s="1"/>
  <c r="AF12" i="13" s="1"/>
  <c r="N12" i="13"/>
  <c r="M12" i="13"/>
  <c r="Y12" i="13" s="1"/>
  <c r="L12" i="13"/>
  <c r="V12" i="13" s="1"/>
  <c r="K12" i="13"/>
  <c r="J12" i="13"/>
  <c r="P12" i="13" s="1"/>
  <c r="E12" i="13"/>
  <c r="D12" i="13"/>
  <c r="C12" i="13"/>
  <c r="AE11" i="13"/>
  <c r="AF11" i="13" s="1"/>
  <c r="AB11" i="13"/>
  <c r="AC11" i="13" s="1"/>
  <c r="Y11" i="13"/>
  <c r="Z11" i="13" s="1"/>
  <c r="O11" i="13"/>
  <c r="N11" i="13"/>
  <c r="M11" i="13"/>
  <c r="L11" i="13"/>
  <c r="V11" i="13" s="1"/>
  <c r="W11" i="13" s="1"/>
  <c r="K11" i="13"/>
  <c r="S11" i="13" s="1"/>
  <c r="T11" i="13" s="1"/>
  <c r="J11" i="13"/>
  <c r="P11" i="13" s="1"/>
  <c r="Q11" i="13" s="1"/>
  <c r="E11" i="13"/>
  <c r="D11" i="13"/>
  <c r="C11" i="13"/>
  <c r="AB10" i="13"/>
  <c r="AC10" i="13" s="1"/>
  <c r="S10" i="13"/>
  <c r="T10" i="13" s="1"/>
  <c r="O10" i="13"/>
  <c r="AE10" i="13" s="1"/>
  <c r="AF10" i="13" s="1"/>
  <c r="N10" i="13"/>
  <c r="M10" i="13"/>
  <c r="Y10" i="13" s="1"/>
  <c r="Z10" i="13" s="1"/>
  <c r="L10" i="13"/>
  <c r="V10" i="13" s="1"/>
  <c r="W10" i="13" s="1"/>
  <c r="K10" i="13"/>
  <c r="J10" i="13"/>
  <c r="P10" i="13" s="1"/>
  <c r="Q10" i="13" s="1"/>
  <c r="E10" i="13"/>
  <c r="D10" i="13"/>
  <c r="C10" i="13"/>
  <c r="AE9" i="13"/>
  <c r="AF9" i="13" s="1"/>
  <c r="AB9" i="13"/>
  <c r="AC9" i="13" s="1"/>
  <c r="Y9" i="13"/>
  <c r="Z9" i="13" s="1"/>
  <c r="O9" i="13"/>
  <c r="N9" i="13"/>
  <c r="M9" i="13"/>
  <c r="L9" i="13"/>
  <c r="V9" i="13" s="1"/>
  <c r="W9" i="13" s="1"/>
  <c r="K9" i="13"/>
  <c r="S9" i="13" s="1"/>
  <c r="T9" i="13" s="1"/>
  <c r="J9" i="13"/>
  <c r="P9" i="13" s="1"/>
  <c r="Q9" i="13" s="1"/>
  <c r="E9" i="13"/>
  <c r="D9" i="13"/>
  <c r="C9" i="13"/>
  <c r="S8" i="13"/>
  <c r="T8" i="13" s="1"/>
  <c r="O8" i="13"/>
  <c r="AE8" i="13" s="1"/>
  <c r="AF8" i="13" s="1"/>
  <c r="N8" i="13"/>
  <c r="AB8" i="13" s="1"/>
  <c r="AC8" i="13" s="1"/>
  <c r="M8" i="13"/>
  <c r="Y8" i="13" s="1"/>
  <c r="Z8" i="13" s="1"/>
  <c r="L8" i="13"/>
  <c r="V8" i="13" s="1"/>
  <c r="W8" i="13" s="1"/>
  <c r="K8" i="13"/>
  <c r="J8" i="13"/>
  <c r="P8" i="13" s="1"/>
  <c r="Q8" i="13" s="1"/>
  <c r="E8" i="13"/>
  <c r="D8" i="13"/>
  <c r="C8" i="13"/>
  <c r="AE7" i="13"/>
  <c r="AF7" i="13" s="1"/>
  <c r="AB7" i="13"/>
  <c r="AC7" i="13" s="1"/>
  <c r="Y7" i="13"/>
  <c r="O7" i="13"/>
  <c r="N7" i="13"/>
  <c r="M7" i="13"/>
  <c r="L7" i="13"/>
  <c r="V7" i="13" s="1"/>
  <c r="K7" i="13"/>
  <c r="S7" i="13" s="1"/>
  <c r="J7" i="13"/>
  <c r="P7" i="13" s="1"/>
  <c r="E7" i="13"/>
  <c r="D7" i="13"/>
  <c r="C7" i="13"/>
  <c r="AB6" i="13"/>
  <c r="S6" i="13"/>
  <c r="O6" i="13"/>
  <c r="AE6" i="13" s="1"/>
  <c r="AF6" i="13" s="1"/>
  <c r="N6" i="13"/>
  <c r="M6" i="13"/>
  <c r="Y6" i="13" s="1"/>
  <c r="L6" i="13"/>
  <c r="V6" i="13" s="1"/>
  <c r="W6" i="13" s="1"/>
  <c r="K6" i="13"/>
  <c r="J6" i="13"/>
  <c r="P6" i="13" s="1"/>
  <c r="E6" i="13"/>
  <c r="D6" i="13"/>
  <c r="C6" i="13"/>
  <c r="AE5" i="13"/>
  <c r="AF5" i="13" s="1"/>
  <c r="Y5" i="13"/>
  <c r="Z5" i="13" s="1"/>
  <c r="O5" i="13"/>
  <c r="N5" i="13"/>
  <c r="AB5" i="13" s="1"/>
  <c r="AC5" i="13" s="1"/>
  <c r="M5" i="13"/>
  <c r="L5" i="13"/>
  <c r="V5" i="13" s="1"/>
  <c r="W5" i="13" s="1"/>
  <c r="K5" i="13"/>
  <c r="S5" i="13" s="1"/>
  <c r="T5" i="13" s="1"/>
  <c r="J5" i="13"/>
  <c r="P5" i="13" s="1"/>
  <c r="Q5" i="13" s="1"/>
  <c r="E5" i="13"/>
  <c r="D5" i="13"/>
  <c r="D14" i="13" s="1"/>
  <c r="C5" i="13"/>
  <c r="O4" i="13"/>
  <c r="N4" i="13"/>
  <c r="M4" i="13"/>
  <c r="L4" i="13"/>
  <c r="K4" i="13"/>
  <c r="J4" i="13"/>
  <c r="AB3" i="13"/>
  <c r="Y3" i="13"/>
  <c r="V3" i="13"/>
  <c r="S3" i="13"/>
  <c r="P3" i="13"/>
  <c r="AE2" i="13"/>
  <c r="AB2" i="13"/>
  <c r="Y2" i="13"/>
  <c r="V2" i="13"/>
  <c r="S2" i="13"/>
  <c r="P2" i="13"/>
  <c r="D13" i="12"/>
  <c r="D24" i="11"/>
  <c r="C24" i="11"/>
  <c r="D23" i="11"/>
  <c r="C23" i="11"/>
  <c r="D22" i="11"/>
  <c r="C22" i="11"/>
  <c r="D21" i="11"/>
  <c r="C21" i="11"/>
  <c r="D20" i="11"/>
  <c r="C20" i="11"/>
  <c r="D19" i="11"/>
  <c r="C19" i="11"/>
  <c r="D18" i="11"/>
  <c r="C18" i="11"/>
  <c r="D17" i="11"/>
  <c r="C17" i="11"/>
  <c r="D16" i="11"/>
  <c r="C16" i="11"/>
  <c r="T6" i="13" l="1"/>
  <c r="Z7" i="13"/>
  <c r="AG5" i="13"/>
  <c r="Q7" i="13"/>
  <c r="T7" i="13"/>
  <c r="U5" i="13" s="1"/>
  <c r="Q12" i="13"/>
  <c r="W7" i="13"/>
  <c r="X5" i="13" s="1"/>
  <c r="Q6" i="13"/>
  <c r="R5" i="13" s="1"/>
  <c r="W12" i="13"/>
  <c r="Z6" i="13"/>
  <c r="AA5" i="13" s="1"/>
  <c r="Z12" i="13"/>
  <c r="AC6" i="13"/>
  <c r="AD5" i="13" s="1"/>
  <c r="AH5" i="13" l="1"/>
</calcChain>
</file>

<file path=xl/sharedStrings.xml><?xml version="1.0" encoding="utf-8"?>
<sst xmlns="http://schemas.openxmlformats.org/spreadsheetml/2006/main" count="357" uniqueCount="213">
  <si>
    <t>TM Forum Guidebook</t>
  </si>
  <si>
    <t>Team Approved Date: 27-May-2026</t>
  </si>
  <si>
    <t>Release Status:  Pre-production</t>
  </si>
  <si>
    <t>Approval Status:  Team-Approved</t>
  </si>
  <si>
    <t>IPR Mode: RAND</t>
  </si>
  <si>
    <t xml:space="preserve">©TM Forum 2026. All Rights Reserved.  </t>
  </si>
  <si>
    <t>Notice</t>
  </si>
  <si>
    <t>Copyright © TM Forum 2026. All Rights Reserved.</t>
  </si>
  <si>
    <r>
      <t xml:space="preserve">This document and translations of it may be copied and furnished to others, and derivative works that comment on or otherwise explain it or assist in its implementation may be prepared, copied, published, and distributed, in whole or in part, without restriction of any kind, provided that the above copyright notice and this section are included on all such copies and derivative works. However, this document itself may not be modified in any way, including by removing the copyright notice or references to TM FORUM, except as needed for the purpose of developing any document or deliverable produced by a TM FORUM Collaboration Project Team (in which case the rules applicable to copyrights, as set forth in the </t>
    </r>
    <r>
      <rPr>
        <u/>
        <sz val="12"/>
        <color theme="10"/>
        <rFont val="Aptos"/>
        <family val="2"/>
      </rPr>
      <t>TM FORUM IPR Policy</t>
    </r>
    <r>
      <rPr>
        <sz val="12"/>
        <color theme="10"/>
        <rFont val="Aptos"/>
        <family val="2"/>
      </rPr>
      <t>, must be followed) or as required to translate it into languages other than English.</t>
    </r>
  </si>
  <si>
    <t xml:space="preserve">The limited permissions granted above are perpetual and will not be revoked by TM FORUM or its successors or assigns. </t>
  </si>
  <si>
    <t xml:space="preserve">This document and the information contained herein is provided on an "AS IS" basis and TM FORUM DISCLAIMS ALL WARRANTIES, EXPRESS OR IMPLIED, INCLUDING BUT NOT LIMITED TO ANY WARRANTY THAT THE USE OF THE INFORMATION HEREIN WILL NOT INFRINGE ANY OWNERSHIP RIGHTS OR ANY IMPLIED WARRANTIES OF MERCHANTABILITY OR FITNESS FOR A PARTICULAR PURPOSE. </t>
  </si>
  <si>
    <t xml:space="preserve">Direct inquiries to the TM Forum office: </t>
  </si>
  <si>
    <t>100 Enterprise Drive</t>
  </si>
  <si>
    <t>Suite 301 #1649</t>
  </si>
  <si>
    <t>Rockaway, NJ 07866 USA</t>
  </si>
  <si>
    <t>Tel No.  +1 862 227 1648</t>
  </si>
  <si>
    <t>TM Forum Web Page: www.tmforum.org</t>
  </si>
  <si>
    <t>©TM Forum 2026. All Rights Reserved.</t>
  </si>
  <si>
    <t>Administrative Appendix</t>
  </si>
  <si>
    <t>Version History</t>
  </si>
  <si>
    <t>Version Number</t>
  </si>
  <si>
    <t>Date Modified</t>
  </si>
  <si>
    <t>Modified by:</t>
  </si>
  <si>
    <t>Description of Change</t>
  </si>
  <si>
    <t>Release History</t>
  </si>
  <si>
    <t>Release Status</t>
  </si>
  <si>
    <t>Pre-production</t>
  </si>
  <si>
    <t>Document History</t>
  </si>
  <si>
    <t>Acknowledgements</t>
  </si>
  <si>
    <r>
      <t>Team Member (@mention)</t>
    </r>
    <r>
      <rPr>
        <sz val="11"/>
        <color rgb="FF000000"/>
        <rFont val="Aptos"/>
        <family val="2"/>
      </rPr>
      <t> </t>
    </r>
  </si>
  <si>
    <r>
      <t>Company</t>
    </r>
    <r>
      <rPr>
        <sz val="11"/>
        <color rgb="FF000000"/>
        <rFont val="Aptos"/>
        <family val="2"/>
      </rPr>
      <t> </t>
    </r>
  </si>
  <si>
    <r>
      <t>Role*</t>
    </r>
    <r>
      <rPr>
        <sz val="11"/>
        <color rgb="FF000000"/>
        <rFont val="Aptos"/>
        <family val="2"/>
      </rPr>
      <t> </t>
    </r>
  </si>
  <si>
    <t>Wireless Network Change Management Questionnaire</t>
  </si>
  <si>
    <t>GB1524A</t>
  </si>
  <si>
    <t>Maturity Level: Beta</t>
  </si>
  <si>
    <t>Version 2.0.0</t>
  </si>
  <si>
    <t>I. Introduction</t>
  </si>
  <si>
    <t>The purpose of this questionnaire is to assess the autonomy level of Change Management scenarios for Wireless. The assessment is intended to be vendor-independent</t>
  </si>
  <si>
    <t>The questionnaire is aligned with the principles described in IG1252 and ETSI GR ENI 035 5.3.3 Network Change. Service Capabilities who are not available, require consensus.</t>
  </si>
  <si>
    <t>The participation of relevant Subject Matter Experts and automation experts involved in the Change management is required to complete the assessment</t>
  </si>
  <si>
    <t>Each question is answered by selecting one of the four options: A, B, C or D. Option A being the highest level of autonomy and option D being the lowest</t>
  </si>
  <si>
    <t xml:space="preserve">Change management comprises the processes of configuration changes. Configuration changes can be triggered by any process that can change the network equipment configuration (from service provisioning to network evolution). Such changes must include evaluation before &amp; after the execution. </t>
  </si>
  <si>
    <t xml:space="preserve">The whole lifecycle of each change management must be taken into account from change submission, until service validation. </t>
  </si>
  <si>
    <r>
      <rPr>
        <b/>
        <sz val="9"/>
        <rFont val="Calibri"/>
        <family val="2"/>
        <scheme val="minor"/>
      </rPr>
      <t>Key sub-scenarios recommended:</t>
    </r>
    <r>
      <rPr>
        <sz val="9"/>
        <rFont val="Calibri"/>
        <family val="2"/>
        <scheme val="minor"/>
      </rPr>
      <t xml:space="preserve"> </t>
    </r>
    <r>
      <rPr>
        <b/>
        <sz val="9"/>
        <rFont val="Calibri"/>
        <family val="2"/>
        <scheme val="minor"/>
      </rPr>
      <t>1)Parameter Optimization &amp; Tuning</t>
    </r>
    <r>
      <rPr>
        <sz val="9"/>
        <rFont val="Calibri"/>
        <family val="2"/>
        <scheme val="minor"/>
      </rPr>
      <t xml:space="preserve">: Adjusting radio parameters (e.g., handover thresholds, power control, antenna tilt) to improve coverage, capacity, and user experience. </t>
    </r>
    <r>
      <rPr>
        <b/>
        <sz val="9"/>
        <rFont val="Calibri"/>
        <family val="2"/>
        <scheme val="minor"/>
      </rPr>
      <t>2) Feature Activation &amp; Configuration Changes</t>
    </r>
    <r>
      <rPr>
        <sz val="9"/>
        <rFont val="Calibri"/>
        <family val="2"/>
        <scheme val="minor"/>
      </rPr>
      <t xml:space="preserve">: Enabling new features (e.g., VoLTE, carrier aggregation, 5G NSA/SA support) or modifying configurations for better performance. </t>
    </r>
    <r>
      <rPr>
        <b/>
        <sz val="9"/>
        <rFont val="Calibri"/>
        <family val="2"/>
        <scheme val="minor"/>
      </rPr>
      <t>3) Software Updates&amp; Patches</t>
    </r>
    <r>
      <rPr>
        <sz val="9"/>
        <rFont val="Calibri"/>
        <family val="2"/>
        <scheme val="minor"/>
      </rPr>
      <t xml:space="preserve">: Rolling out software updates or hotfixes on base stations. </t>
    </r>
    <r>
      <rPr>
        <b/>
        <sz val="9"/>
        <rFont val="Calibri"/>
        <family val="2"/>
        <scheme val="minor"/>
      </rPr>
      <t>4) Capacity Expansions &amp; Carrier Additions</t>
    </r>
    <r>
      <rPr>
        <sz val="9"/>
        <rFont val="Calibri"/>
        <family val="2"/>
        <scheme val="minor"/>
      </rPr>
      <t xml:space="preserve">: Adding new carriers, spectrum bands, or cells to handle traffic growth without degrading service. </t>
    </r>
    <r>
      <rPr>
        <b/>
        <sz val="9"/>
        <rFont val="Calibri"/>
        <family val="2"/>
        <scheme val="minor"/>
      </rPr>
      <t>5) Cell Site Integration &amp; Reconfiguration</t>
    </r>
    <r>
      <rPr>
        <sz val="9"/>
        <rFont val="Calibri"/>
        <family val="2"/>
        <scheme val="minor"/>
      </rPr>
      <t>: Integrating new sites or sectors into the network, re-homing cells to different controllers, or re-balancing load across neighboring sites</t>
    </r>
  </si>
  <si>
    <t>Dynamically Programable Rules: implies that the system uses rules that can be adjusted or modified in real-time based on changing conditions or requirements</t>
  </si>
  <si>
    <t>Sub-scenarios and related weighting are specific to the Communication Service Provider (CSP) and should be selected according to CSP priority and business objectives</t>
  </si>
  <si>
    <t>More detailed guidelines per question are provided in the guideline section below</t>
  </si>
  <si>
    <t xml:space="preserve">II. Guideline for Answering ANL Questionnaire </t>
  </si>
  <si>
    <t>Cognitive Activity (IAADE)</t>
  </si>
  <si>
    <t>Service Capability</t>
  </si>
  <si>
    <t>Question</t>
  </si>
  <si>
    <t>Answering Guideline</t>
  </si>
  <si>
    <t>Intent</t>
  </si>
  <si>
    <t>(A) Change management Intent is entered by Human. The System translates the Intent to task targets and policies. The System verifies Intent fulfillment based on Human confirmation.
(B) Intent is expressed through predefined Rules and Policies. Intent fulfilment is manually verified.  
(C) Change management activities are manually defined through basic "templates".
Prior to set the Intent, the user should: Understand the end goal of the change, understand the change category and applicable CM policies (lead time for CR, node information/domains, severity/urgency, date/time, impact &amp; risk, fall back, evaluation criteria, approvals,...)</t>
  </si>
  <si>
    <t>Awareness</t>
  </si>
  <si>
    <t>(A) The System automatically validates and accepts the change request, without human intervention
(B) The System validates the change request but the change acceptance is manually done.
(C) Both change request validation and acceptance are done based on manually defined rules
(D) Both validation and acceptance are manually done.
Note1: It is assumed that the individual Change Request is recorded in the System and made available to be processed by the Change Management System
Note2: Change Request Acceptance (Feasibility) according to Network Policies.</t>
  </si>
  <si>
    <t>(A) The System automatically collects change request information without human intervention
(B) The System collects change request information but needs human intervention
(C) The system collects change request information based on manually defined rules
(D) Change request information is collected manually.</t>
  </si>
  <si>
    <t>Analysis</t>
    <phoneticPr fontId="4" type="noConversion"/>
  </si>
  <si>
    <t>(A) The System identifies requirements impacts and evaluate subsequent risk based on AI models without the need for Human intervention (e.g.: number of impacted subscribers)
(B) The System identifies requirements impacts and evaluates subsequent risk based on Dynamically Programable Rules/ML and may need Human confirmation.
(C) The System identifies requirements impacts and evaluates subsequent risk based on manually defined rules.
(D) Change impact and risk analysis need to be manually evaluated based on Human expertise or through the execution of manual written procedures.</t>
  </si>
  <si>
    <t>(A) The System generates the solution based on AI models, without the need for Human intervention.
(B) The System generates the solution based on Dynamically Programable Rules/ML and may need Human confirmation.
(C) The System generates the solution based on manually defined rules.
(D) Solutions are generated manually.</t>
  </si>
  <si>
    <t>Decision</t>
  </si>
  <si>
    <t>(A) The System supports decision for change request based on AI models, without the need for Human intervention.
(B) The System supports decision for change request based on Dynamically Programable Rules/ML and may need Human confirmation (approval).
(C) The System supports decision for change request based on manually defined rules.
(D) The decision for change request is based on Human intervention.</t>
  </si>
  <si>
    <t>Execution</t>
  </si>
  <si>
    <t>(A) The System verifies the normality of the network based on AI models, without the need for Human intervention.
(B) The System verifies the normality of the network based on Dynamically Programable Rules/ML and may need Human confirmation
(C) The System verifies the normality of the network based on manually defined rules
(D) The normality of the network is verified by Human.
Note3: Network Change Implementation requires that nothing is broken, before applying the change (claim the outcome  of the change implementation)</t>
  </si>
  <si>
    <t>(A) The System automatically executes changes without Human intervention. If any issue is detected, an automated roll-back is executed and the issue will be reported. If the roll-back fails, the automatic disaster recovery will be activated and executed without Human intervention.
(B) The System executes changes based on manually defined rules. If any issue is detected, roll-back is executed based on Human intervention. If the roll-back fails, the disaster recovery will be activated and executed based on Human intervention
(C) Change implementation and roll-back (if necessary) are manually executed.</t>
  </si>
  <si>
    <t>(A) The System verifies change implementation and ensures no deterioration of performance without Human intervention.
(B) The System verifies change implementation and checks the corresponding alarms but performance indicators are verified based on Human intervention. 
(C) The System verifies change implementation but performance indicators and network element alarms are verified based on manually defines rules.
(D) Change verification performance indicators and network element alarms are manually verified.
Note4:  The Service Verification occurs within the lead time specified for the change request type and policies (After the execution is successfully verified, the standard preventive maintenance checks are in place to manage any deviation outside the maintenance window)
Note5: The cognitive loop is closed by Intent Fulfilment verification</t>
  </si>
  <si>
    <t>Process Flow</t>
  </si>
  <si>
    <t>Weight</t>
  </si>
  <si>
    <t>Option A</t>
  </si>
  <si>
    <t>Option B</t>
  </si>
  <si>
    <t>Option C</t>
  </si>
  <si>
    <t>Option D</t>
  </si>
  <si>
    <t>Sub-scenarios Change Management Wireless</t>
  </si>
  <si>
    <t>Understanding of selecting the option</t>
  </si>
  <si>
    <t>Interpretating on question</t>
    <phoneticPr fontId="3" type="noConversion"/>
  </si>
  <si>
    <t>Standard Reference</t>
  </si>
  <si>
    <t>Parameter Optimization &amp; Tuning</t>
  </si>
  <si>
    <t>Feature Activation &amp; Configuration Changes</t>
  </si>
  <si>
    <t>Capacity Expansions &amp; Carrier Additions</t>
  </si>
  <si>
    <t>Cell Site Integration &amp; Reconfiguration</t>
  </si>
  <si>
    <t>Software Upgrade &amp; Patches</t>
  </si>
  <si>
    <t>Other sub-scenarios to be defined by CSP</t>
  </si>
  <si>
    <t>% TBD</t>
  </si>
  <si>
    <t>Wireless Change Management</t>
  </si>
  <si>
    <t>Intent Translation, &amp; Intent Fulfilment</t>
  </si>
  <si>
    <t xml:space="preserve">How does the system handle intent translation and ensure successful intent fulfillment?
</t>
  </si>
  <si>
    <t>Change management Intent is entered by Human. The System translates the Intent to task targets. The System verifies Intent fulfillment based on Human confirmation</t>
  </si>
  <si>
    <t xml:space="preserve">Intent is expressed through predefined Rules and Policies. Intent fulfilment is manually verified.  </t>
  </si>
  <si>
    <t>Change management activities are manually defined through basic templates.</t>
  </si>
  <si>
    <t>Change management activities are manually defined</t>
  </si>
  <si>
    <t xml:space="preserve">ETSI GR ENI 035 5.3.3 Network change- Task: Intent-management </t>
  </si>
  <si>
    <t>A</t>
  </si>
  <si>
    <t xml:space="preserve">Change Request Validation &amp; Acceptance </t>
  </si>
  <si>
    <t xml:space="preserve">How does the System validate and accept the change request? 
</t>
  </si>
  <si>
    <t>The System automatically validates and accepts the change request, without Human intervention.</t>
  </si>
  <si>
    <t>The System validates the change request but the change acceptance is manually done.</t>
  </si>
  <si>
    <t>Both change request validation and acceptance are done based on manually defined rules</t>
  </si>
  <si>
    <t>Both validation and acceptance are manually done.</t>
  </si>
  <si>
    <t xml:space="preserve">Change Request Information Collection </t>
  </si>
  <si>
    <t xml:space="preserve">How does the System collect necessary information for change request?
</t>
  </si>
  <si>
    <t>The System automatically collects change request information, without human intervention</t>
  </si>
  <si>
    <t>The System collects change request information but may need human intervention</t>
  </si>
  <si>
    <t>The System collects change request information based on manually defined rules.</t>
  </si>
  <si>
    <t>Change request information is collected manually.</t>
  </si>
  <si>
    <t>ETSI GR ENI 035 5.3.3 Network change- Task: Resource survey</t>
  </si>
  <si>
    <t>Analysis</t>
  </si>
  <si>
    <t>Requirements Impact &amp; Risk Analysis</t>
  </si>
  <si>
    <t>How does the System support network change requirements impact and risk analysis?</t>
  </si>
  <si>
    <t>The System identifies requirements impacts and evaluates subsequent risk based on AI Models, without Human intervention.</t>
  </si>
  <si>
    <t>The System identifies requirements impacts and evaluate subsequent risk based on Dynamically Programmable Rules/ML, and may need Human confirmation</t>
  </si>
  <si>
    <t>The System identifies requirements impacts and evaluate subsequent risk based on manually defined rules.</t>
  </si>
  <si>
    <t>Change impact and risk analysis need to be manually evaluated based on Human expertise or through the execution of manual written procedures.</t>
  </si>
  <si>
    <t>Network change Solution Generation</t>
  </si>
  <si>
    <t>How does the System generate the solution that supports the Change Request?</t>
  </si>
  <si>
    <t>The System generates the solution based on AI Models, without Human intervention.</t>
  </si>
  <si>
    <t>The System generates the solution based on Dynamically Programmable Rules/ML, and may need Human confirmation</t>
  </si>
  <si>
    <t xml:space="preserve">The System generates the solution based on manually defined rules.
</t>
    <phoneticPr fontId="3" type="noConversion"/>
  </si>
  <si>
    <t>Change Management Solutions are generated manually.</t>
  </si>
  <si>
    <t>ETSI GR ENI 035 5.3.3 Network change- Task: Change analysis</t>
  </si>
  <si>
    <t>Network Change solution Evaluation &amp; Decision</t>
  </si>
  <si>
    <t>How does the System support solution evaluation and decision to implement requested change?</t>
  </si>
  <si>
    <t>The System supports solution evaluation and decision for change request based on AI Models, without Human intervention.</t>
  </si>
  <si>
    <t>The System supports solution evaluation and decision for change request based on Dynamically Programmable Rules/ML and my need Human confirmation (approval)</t>
  </si>
  <si>
    <t>The System supports solution evaluation and decision for change request based on manually defined rules.</t>
  </si>
  <si>
    <t>The solution evaluation and decision for change request is based on Human intervention.</t>
  </si>
  <si>
    <t>ETSI GR ENI 035 5.3.3 Network change- Task: Evaluation and Decision</t>
  </si>
  <si>
    <t>Network Normality Verification</t>
  </si>
  <si>
    <t>How does the System verify the normality of the network before the change? 
E.g.: automatic health check</t>
  </si>
  <si>
    <t>The System verifies the normality of the network based on AI Models, without Human intervention.</t>
  </si>
  <si>
    <t>The System verifies the normality of the network based on Dynamically Programmable Rules/ML and may need Human confirmation</t>
  </si>
  <si>
    <t>The System verifies the normality of the network based on manually defined rules.</t>
  </si>
  <si>
    <t>The normality of the network is verified by Human.</t>
  </si>
  <si>
    <t>Network Change Implementation</t>
  </si>
  <si>
    <t xml:space="preserve">How does the System implement the change in the network and roll-back in case of failure?
</t>
  </si>
  <si>
    <t>The System automatically executes changes without Human intervention. If an issue is detected, an automated roll-back is executed and the issue will be reported. If the roll-back fails, the automatic disaster recovery will be activated and executed without Human intervention</t>
  </si>
  <si>
    <t>The System executes changes based on manually defined rules. If any issue is detected, roll-back is executed based on Human intervention. If the roll-back fails, the disaster recovery will be activated and executed based on Human intervention</t>
  </si>
  <si>
    <t>Change implementation and roll-back (if necessary) are manually executed.</t>
  </si>
  <si>
    <t>ETSI GR ENI 035 5.3.3 Network change- Task: Change implementation and service verification</t>
  </si>
  <si>
    <t>Service Verification</t>
  </si>
  <si>
    <t xml:space="preserve">How does the System verify and confirm the change implementation results?
Note: Implementation results include network element alarms, performance indicators, inspection logs &amp; expected results of network changes. </t>
  </si>
  <si>
    <t xml:space="preserve">The System verifies change implementation and ensures no deterioration of performance without Human intervention.
</t>
  </si>
  <si>
    <t>The System verifies change implementation and checks the corresponding alarms but performance indicators are verified based on Human intervention.</t>
  </si>
  <si>
    <t>The System verifies change implementation but performance indicators and network domain element alarms are verified based on manually defines rules.</t>
  </si>
  <si>
    <t>Change verification performance indicators and network domain element alarms are manually verified.</t>
  </si>
  <si>
    <t>Proposal for data collection</t>
  </si>
  <si>
    <t>Indicator</t>
  </si>
  <si>
    <t>Description</t>
  </si>
  <si>
    <t>OptionD</t>
    <phoneticPr fontId="2" type="noConversion"/>
  </si>
  <si>
    <t>Source of the standard</t>
    <phoneticPr fontId="2" type="noConversion"/>
  </si>
  <si>
    <t>Answers</t>
    <phoneticPr fontId="2" type="noConversion"/>
  </si>
  <si>
    <t>First Time Right (FTR)</t>
  </si>
  <si>
    <t>Measures the % of changes that has been successfully executed and verified on first attempt, with no service degradation
Calculation formula:
(Number of Changes successfully implemented on the first attempt with no rollback, no rejection, no rework, no post‑change incident ÷ Total number of Changes executed in the same period) x 100</t>
  </si>
  <si>
    <t>&gt;=90%</t>
  </si>
  <si>
    <t>90% - 80%</t>
  </si>
  <si>
    <t>80% - 70%</t>
  </si>
  <si>
    <t>&lt;70%</t>
  </si>
  <si>
    <t>Change Success Rate</t>
  </si>
  <si>
    <t>Measures the % of changes that successfully achieved their objectives within the planned implementation window and related to the defined parameters in scope
Calculation formula:
(Number of Successful Changes Implemented ÷ Total Number of changes attempted) x 100</t>
  </si>
  <si>
    <t xml:space="preserve">Scoring method - Average </t>
  </si>
  <si>
    <t>Criteria</t>
  </si>
  <si>
    <t>Sub-scenarios - Wireless Change Management</t>
  </si>
  <si>
    <t>Overall Score</t>
  </si>
  <si>
    <t>Original 
score</t>
    <phoneticPr fontId="3" type="noConversion"/>
  </si>
  <si>
    <t>Compensated score</t>
    <phoneticPr fontId="3" type="noConversion"/>
  </si>
  <si>
    <t>Sub-score</t>
  </si>
  <si>
    <t>Indicator Score</t>
  </si>
  <si>
    <t>Score</t>
  </si>
  <si>
    <t>What is the percentage of changes successfully executed and verified on first attempt, with no service degradation</t>
  </si>
  <si>
    <t>What is the percentage of change that are automatically excuted</t>
  </si>
  <si>
    <t xml:space="preserve">% of Autonomy Capability </t>
  </si>
  <si>
    <t>% of Indicators</t>
  </si>
  <si>
    <t>High Value Scenario score</t>
  </si>
  <si>
    <t>Kevin McDonnell</t>
  </si>
  <si>
    <t>Huawei</t>
  </si>
  <si>
    <t>Project Chair</t>
  </si>
  <si>
    <t>Pedro Garcia Parra</t>
  </si>
  <si>
    <t>Telefónica</t>
  </si>
  <si>
    <t>Project Co-Chair</t>
  </si>
  <si>
    <t xml:space="preserve">Fernando Camacho </t>
  </si>
  <si>
    <t>Asser el Nahass</t>
  </si>
  <si>
    <t>Orange Group</t>
  </si>
  <si>
    <t>Author</t>
  </si>
  <si>
    <t>Juan Luis Mulas</t>
  </si>
  <si>
    <t>Eric Levrard</t>
  </si>
  <si>
    <t>Co-Author</t>
  </si>
  <si>
    <t>Tony Salim</t>
  </si>
  <si>
    <t>Ericsson</t>
  </si>
  <si>
    <t>David Condon</t>
  </si>
  <si>
    <t>Key Contributor</t>
  </si>
  <si>
    <t>Jorgen Homstrom</t>
  </si>
  <si>
    <t>Sam Keys-Toyer</t>
  </si>
  <si>
    <t>Reviewer</t>
  </si>
  <si>
    <t>Teemu Karhina</t>
  </si>
  <si>
    <t>Elisa</t>
  </si>
  <si>
    <t>Esa Vesterinen</t>
  </si>
  <si>
    <t>Detecon</t>
  </si>
  <si>
    <t>Jacek Hanusik</t>
  </si>
  <si>
    <t>Luqman Chantal</t>
  </si>
  <si>
    <t>Makman Consulting</t>
  </si>
  <si>
    <t>Ruowei Yin</t>
  </si>
  <si>
    <t>China Mobile</t>
  </si>
  <si>
    <t>Xuefeng Han</t>
  </si>
  <si>
    <t>Xini Wang</t>
  </si>
  <si>
    <t>Hai Wang</t>
  </si>
  <si>
    <t>Yanan Wang</t>
  </si>
  <si>
    <t>Mingshwang</t>
  </si>
  <si>
    <t>Wu Yunhe (Wikia)</t>
  </si>
  <si>
    <t xml:space="preserve">Gavin SHI </t>
  </si>
  <si>
    <t>ZTE</t>
  </si>
  <si>
    <t>2.0.0</t>
  </si>
  <si>
    <t>Sannah Sibaya</t>
  </si>
  <si>
    <t>Further Release</t>
  </si>
  <si>
    <t>This document was prepared by the members of the Autonomoous Networks Levels team.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</si>
</sst>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m\-yyyy"/>
    <numFmt numFmtId="169" formatCode="0.00_ "/>
    <numFmt numFmtId="170" formatCode="0.0"/>
  </numFmts>
  <fonts count="48">
    <font>
      <sz val="11"/>
      <color rgb="FF000000"/>
      <name val="Verdana"/>
    </font>
    <font>
      <sz val="11"/>
      <color theme="1"/>
      <name val="Calibri"/>
      <family val="2"/>
      <scheme val="minor"/>
    </font>
    <font>
      <sz val="11"/>
      <color theme="1"/>
      <name val="Calibri"/>
      <family val="2"/>
      <scheme val="minor"/>
    </font>
    <font>
      <u/>
      <sz val="11"/>
      <color theme="10"/>
      <name val="Calibri"/>
      <family val="2"/>
      <scheme val="minor"/>
    </font>
    <font>
      <sz val="10"/>
      <color rgb="FF000000"/>
      <name val="Calibri"/>
      <family val="2"/>
      <scheme val="minor"/>
    </font>
    <font>
      <sz val="10"/>
      <color theme="1"/>
      <name val="Arial"/>
      <family val="2"/>
    </font>
    <font>
      <b/>
      <sz val="28"/>
      <color rgb="FFC00000"/>
      <name val="Georgia"/>
      <family val="1"/>
    </font>
    <font>
      <u/>
      <sz val="11"/>
      <color theme="10"/>
      <name val="Verdana"/>
      <family val="2"/>
    </font>
    <font>
      <b/>
      <sz val="28"/>
      <color rgb="FFC00000"/>
      <name val="Aptos"/>
      <family val="2"/>
    </font>
    <font>
      <sz val="10"/>
      <color theme="1"/>
      <name val="Aptos"/>
      <family val="2"/>
    </font>
    <font>
      <sz val="10"/>
      <color rgb="FF000000"/>
      <name val="Aptos"/>
      <family val="2"/>
    </font>
    <font>
      <b/>
      <sz val="18"/>
      <color rgb="FF404040"/>
      <name val="Aptos"/>
      <family val="2"/>
    </font>
    <font>
      <b/>
      <sz val="14"/>
      <color rgb="FF404040"/>
      <name val="Aptos"/>
      <family val="2"/>
    </font>
    <font>
      <b/>
      <sz val="14"/>
      <color theme="1"/>
      <name val="Aptos"/>
      <family val="2"/>
    </font>
    <font>
      <sz val="28"/>
      <color rgb="FFC00000"/>
      <name val="Aptos"/>
      <family val="2"/>
    </font>
    <font>
      <sz val="11"/>
      <color rgb="FF000000"/>
      <name val="Aptos"/>
      <family val="2"/>
    </font>
    <font>
      <sz val="11"/>
      <color theme="1"/>
      <name val="Aptos"/>
      <family val="2"/>
    </font>
    <font>
      <u/>
      <sz val="11"/>
      <color theme="10"/>
      <name val="Aptos"/>
      <family val="2"/>
    </font>
    <font>
      <sz val="12"/>
      <color rgb="FF000000"/>
      <name val="Aptos"/>
      <family val="2"/>
    </font>
    <font>
      <sz val="12"/>
      <color theme="1"/>
      <name val="Aptos"/>
      <family val="2"/>
    </font>
    <font>
      <u/>
      <sz val="12"/>
      <color theme="10"/>
      <name val="Aptos"/>
      <family val="2"/>
    </font>
    <font>
      <b/>
      <sz val="20"/>
      <color rgb="FFC00000"/>
      <name val="Aptos"/>
      <family val="2"/>
    </font>
    <font>
      <b/>
      <sz val="12"/>
      <color rgb="FFC00000"/>
      <name val="Aptos"/>
      <family val="2"/>
    </font>
    <font>
      <sz val="10"/>
      <name val="Aptos"/>
      <family val="2"/>
    </font>
    <font>
      <b/>
      <sz val="11"/>
      <color rgb="FF000000"/>
      <name val="Aptos"/>
      <family val="2"/>
    </font>
    <font>
      <sz val="12"/>
      <name val="Aptos"/>
      <family val="2"/>
    </font>
    <font>
      <b/>
      <sz val="12"/>
      <color rgb="FF000000"/>
      <name val="Aptos"/>
      <family val="2"/>
    </font>
    <font>
      <b/>
      <sz val="10"/>
      <color rgb="FF000000"/>
      <name val="Aptos"/>
      <family val="2"/>
    </font>
    <font>
      <sz val="12"/>
      <color theme="10"/>
      <name val="Aptos"/>
      <family val="2"/>
    </font>
    <font>
      <sz val="11"/>
      <color theme="1"/>
      <name val="Arial"/>
      <family val="2"/>
    </font>
    <font>
      <sz val="11"/>
      <name val="宋体"/>
      <family val="3"/>
      <charset val="134"/>
    </font>
    <font>
      <sz val="10"/>
      <name val="Arial"/>
      <family val="2"/>
    </font>
    <font>
      <b/>
      <sz val="9"/>
      <color theme="1"/>
      <name val="Arial"/>
      <family val="2"/>
    </font>
    <font>
      <b/>
      <sz val="9"/>
      <color theme="1"/>
      <name val="Calibri"/>
      <family val="2"/>
      <scheme val="minor"/>
    </font>
    <font>
      <b/>
      <sz val="9"/>
      <name val="Calibri"/>
      <family val="2"/>
      <scheme val="minor"/>
    </font>
    <font>
      <sz val="9"/>
      <color theme="1"/>
      <name val="Calibri"/>
      <family val="2"/>
      <scheme val="minor"/>
    </font>
    <font>
      <sz val="9"/>
      <color rgb="FF000000"/>
      <name val="Calibri"/>
      <family val="2"/>
      <scheme val="minor"/>
    </font>
    <font>
      <sz val="9"/>
      <name val="Calibri"/>
      <family val="2"/>
      <scheme val="minor"/>
    </font>
    <font>
      <b/>
      <sz val="9"/>
      <color rgb="FF000000"/>
      <name val="Calibri"/>
      <family val="2"/>
      <scheme val="minor"/>
    </font>
    <font>
      <b/>
      <sz val="9"/>
      <color theme="0"/>
      <name val="Calibri"/>
      <family val="2"/>
      <scheme val="minor"/>
    </font>
    <font>
      <b/>
      <sz val="9"/>
      <color theme="0"/>
      <name val="Arial"/>
      <family val="2"/>
    </font>
    <font>
      <b/>
      <sz val="32"/>
      <color rgb="FF404040"/>
      <name val="Calibri"/>
      <family val="2"/>
      <scheme val="minor"/>
    </font>
    <font>
      <sz val="11"/>
      <color rgb="FF000000"/>
      <name val="Arial"/>
      <family val="2"/>
    </font>
    <font>
      <sz val="9"/>
      <color theme="1"/>
      <name val="Calibri"/>
      <family val="2"/>
      <charset val="134"/>
      <scheme val="minor"/>
    </font>
    <font>
      <sz val="9"/>
      <color theme="1"/>
      <name val="Calibri"/>
      <family val="3"/>
      <charset val="134"/>
      <scheme val="minor"/>
    </font>
    <font>
      <sz val="8"/>
      <color theme="1"/>
      <name val="Calibri"/>
      <family val="2"/>
      <scheme val="minor"/>
    </font>
    <font>
      <b/>
      <sz val="10"/>
      <color rgb="FF000000"/>
      <name val="Calibri"/>
      <family val="2"/>
      <scheme val="minor"/>
    </font>
    <font>
      <b/>
      <sz val="10"/>
      <color theme="1"/>
      <name val="Calibri"/>
      <family val="2"/>
      <scheme val="minor"/>
    </font>
  </fonts>
  <fills count="19">
    <fill>
      <patternFill patternType="none"/>
    </fill>
    <fill>
      <patternFill patternType="gray125"/>
    </fill>
    <fill>
      <patternFill patternType="solid">
        <fgColor theme="0" tint="-4.9989318521683403E-2"/>
        <bgColor indexed="64"/>
      </patternFill>
    </fill>
    <fill>
      <patternFill patternType="solid">
        <fgColor rgb="FFF4F5F7"/>
        <bgColor indexed="64"/>
      </patternFill>
    </fill>
    <fill>
      <patternFill patternType="solid">
        <fgColor theme="8" tint="0.79998168889431442"/>
        <bgColor indexed="64"/>
      </patternFill>
    </fill>
    <fill>
      <patternFill patternType="solid">
        <fgColor theme="0"/>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9" tint="0.79995117038483843"/>
        <bgColor indexed="64"/>
      </patternFill>
    </fill>
    <fill>
      <patternFill patternType="solid">
        <fgColor theme="7" tint="0.79998168889431442"/>
        <bgColor indexed="64"/>
      </patternFill>
    </fill>
    <fill>
      <patternFill patternType="solid">
        <fgColor rgb="FFF2F2F2"/>
        <bgColor indexed="64"/>
      </patternFill>
    </fill>
    <fill>
      <patternFill patternType="solid">
        <fgColor theme="4"/>
        <bgColor indexed="64"/>
      </patternFill>
    </fill>
    <fill>
      <patternFill patternType="solid">
        <fgColor theme="3" tint="0.7999816888943144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rgb="FFB7DEE8"/>
        <bgColor indexed="64"/>
      </patternFill>
    </fill>
    <fill>
      <patternFill patternType="solid">
        <fgColor rgb="FFFDE9D9"/>
        <bgColor indexed="64"/>
      </patternFill>
    </fill>
    <fill>
      <patternFill patternType="solid">
        <fgColor theme="8" tint="0.79995117038483843"/>
        <bgColor indexed="64"/>
      </patternFill>
    </fill>
  </fills>
  <borders count="68">
    <border>
      <left/>
      <right/>
      <top/>
      <bottom/>
      <diagonal/>
    </border>
    <border>
      <left style="medium">
        <color rgb="FF000000"/>
      </left>
      <right style="medium">
        <color rgb="FF000000"/>
      </right>
      <top style="medium">
        <color rgb="FF000000"/>
      </top>
      <bottom style="medium">
        <color rgb="FF000000"/>
      </bottom>
      <diagonal/>
    </border>
    <border>
      <left/>
      <right/>
      <top/>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top/>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top style="thin">
        <color indexed="64"/>
      </top>
      <bottom/>
      <diagonal/>
    </border>
    <border>
      <left style="medium">
        <color indexed="64"/>
      </left>
      <right style="medium">
        <color indexed="64"/>
      </right>
      <top style="thin">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medium">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bottom/>
      <diagonal/>
    </border>
    <border>
      <left style="medium">
        <color indexed="64"/>
      </left>
      <right style="thin">
        <color indexed="64"/>
      </right>
      <top/>
      <bottom/>
      <diagonal/>
    </border>
    <border>
      <left/>
      <right style="thin">
        <color indexed="64"/>
      </right>
      <top style="medium">
        <color indexed="64"/>
      </top>
      <bottom/>
      <diagonal/>
    </border>
    <border>
      <left/>
      <right style="thin">
        <color indexed="64"/>
      </right>
      <top/>
      <bottom/>
      <diagonal/>
    </border>
    <border>
      <left style="thin">
        <color indexed="64"/>
      </left>
      <right/>
      <top style="medium">
        <color indexed="64"/>
      </top>
      <bottom/>
      <diagonal/>
    </border>
    <border>
      <left style="thin">
        <color indexed="64"/>
      </left>
      <right style="thin">
        <color indexed="64"/>
      </right>
      <top/>
      <bottom style="thin">
        <color indexed="64"/>
      </bottom>
      <diagonal/>
    </border>
    <border>
      <left style="thin">
        <color indexed="64"/>
      </left>
      <right style="thin">
        <color indexed="64"/>
      </right>
      <top/>
      <bottom style="medium">
        <color indexed="64"/>
      </bottom>
      <diagonal/>
    </border>
    <border>
      <left/>
      <right/>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rgb="FF1D1D1A"/>
      </left>
      <right/>
      <top style="thin">
        <color rgb="FF1D1D1A"/>
      </top>
      <bottom style="thin">
        <color rgb="FF1D1D1A"/>
      </bottom>
      <diagonal/>
    </border>
    <border>
      <left/>
      <right/>
      <top style="thin">
        <color rgb="FF1D1D1A"/>
      </top>
      <bottom style="thin">
        <color rgb="FF1D1D1A"/>
      </bottom>
      <diagonal/>
    </border>
    <border>
      <left style="thin">
        <color rgb="FF1D1D1A"/>
      </left>
      <right style="thin">
        <color rgb="FF1D1D1A"/>
      </right>
      <top style="thin">
        <color rgb="FF1D1D1A"/>
      </top>
      <bottom style="thin">
        <color rgb="FF1D1D1A"/>
      </bottom>
      <diagonal/>
    </border>
    <border>
      <left style="thin">
        <color rgb="FF1D1D1A"/>
      </left>
      <right/>
      <top/>
      <bottom style="thin">
        <color rgb="FF1D1D1A"/>
      </bottom>
      <diagonal/>
    </border>
    <border>
      <left/>
      <right/>
      <top/>
      <bottom style="thin">
        <color rgb="FF1D1D1A"/>
      </bottom>
      <diagonal/>
    </border>
    <border>
      <left style="thin">
        <color rgb="FF1D1D1A"/>
      </left>
      <right style="thin">
        <color rgb="FF1D1D1A"/>
      </right>
      <top/>
      <bottom style="thin">
        <color rgb="FF1D1D1A"/>
      </bottom>
      <diagonal/>
    </border>
  </borders>
  <cellStyleXfs count="20">
    <xf numFmtId="0" fontId="0" fillId="0" borderId="0">
      <alignment horizontal="left" vertical="center" indent="1"/>
    </xf>
    <xf numFmtId="0" fontId="2" fillId="0" borderId="2">
      <alignment vertical="top"/>
    </xf>
    <xf numFmtId="0" fontId="2" fillId="0" borderId="2"/>
    <xf numFmtId="0" fontId="2" fillId="0" borderId="2"/>
    <xf numFmtId="0" fontId="3" fillId="0" borderId="2" applyNumberFormat="0" applyFill="0" applyBorder="0" applyAlignment="0" applyProtection="0"/>
    <xf numFmtId="0" fontId="2" fillId="0" borderId="2">
      <alignment vertical="top"/>
    </xf>
    <xf numFmtId="0" fontId="4" fillId="0" borderId="2"/>
    <xf numFmtId="0" fontId="4" fillId="0" borderId="2"/>
    <xf numFmtId="0" fontId="7" fillId="0" borderId="0" applyNumberFormat="0" applyFill="0" applyBorder="0" applyAlignment="0" applyProtection="0">
      <alignment horizontal="left" vertical="center" indent="1"/>
    </xf>
    <xf numFmtId="0" fontId="1" fillId="0" borderId="2"/>
    <xf numFmtId="0" fontId="30" fillId="0" borderId="2">
      <alignment vertical="center"/>
    </xf>
    <xf numFmtId="9" fontId="1" fillId="0" borderId="2" applyFont="0" applyFill="0" applyBorder="0" applyAlignment="0" applyProtection="0">
      <alignment vertical="center"/>
    </xf>
    <xf numFmtId="9" fontId="1" fillId="0" borderId="2" applyFont="0" applyFill="0" applyBorder="0" applyAlignment="0" applyProtection="0"/>
    <xf numFmtId="0" fontId="1" fillId="0" borderId="2"/>
    <xf numFmtId="0" fontId="1" fillId="0" borderId="2">
      <alignment vertical="center"/>
    </xf>
    <xf numFmtId="0" fontId="1" fillId="0" borderId="2">
      <alignment vertical="top"/>
    </xf>
    <xf numFmtId="0" fontId="1" fillId="0" borderId="2"/>
    <xf numFmtId="0" fontId="31" fillId="0" borderId="2"/>
    <xf numFmtId="0" fontId="1" fillId="0" borderId="2"/>
    <xf numFmtId="0" fontId="1" fillId="0" borderId="2">
      <alignment vertical="center"/>
    </xf>
  </cellStyleXfs>
  <cellXfs count="280">
    <xf numFmtId="0" fontId="0" fillId="0" borderId="0" xfId="0">
      <alignment horizontal="left" vertical="center" indent="1"/>
    </xf>
    <xf numFmtId="0" fontId="4" fillId="0" borderId="2" xfId="6"/>
    <xf numFmtId="0" fontId="5" fillId="0" borderId="2" xfId="6" applyFont="1"/>
    <xf numFmtId="0" fontId="6" fillId="0" borderId="2" xfId="6" applyFont="1" applyAlignment="1">
      <alignment vertical="center" wrapText="1"/>
    </xf>
    <xf numFmtId="0" fontId="9" fillId="0" borderId="2" xfId="6" applyFont="1"/>
    <xf numFmtId="0" fontId="10" fillId="0" borderId="2" xfId="6" applyFont="1"/>
    <xf numFmtId="0" fontId="11" fillId="0" borderId="2" xfId="6" applyFont="1"/>
    <xf numFmtId="0" fontId="13" fillId="0" borderId="1" xfId="6" applyFont="1" applyBorder="1" applyAlignment="1">
      <alignment vertical="top"/>
    </xf>
    <xf numFmtId="0" fontId="12" fillId="0" borderId="4" xfId="6" applyFont="1" applyBorder="1" applyAlignment="1">
      <alignment horizontal="left" vertical="top" wrapText="1"/>
    </xf>
    <xf numFmtId="0" fontId="12" fillId="0" borderId="3" xfId="6" applyFont="1" applyBorder="1" applyAlignment="1">
      <alignment horizontal="left" vertical="top" wrapText="1"/>
    </xf>
    <xf numFmtId="0" fontId="9" fillId="0" borderId="2" xfId="6" applyFont="1" applyAlignment="1">
      <alignment horizontal="left"/>
    </xf>
    <xf numFmtId="0" fontId="9" fillId="0" borderId="2" xfId="6" applyFont="1" applyAlignment="1">
      <alignment vertical="top" wrapText="1"/>
    </xf>
    <xf numFmtId="0" fontId="14" fillId="0" borderId="2" xfId="6" applyFont="1" applyAlignment="1">
      <alignment vertical="top" wrapText="1"/>
    </xf>
    <xf numFmtId="0" fontId="15" fillId="0" borderId="2" xfId="6" applyFont="1" applyAlignment="1">
      <alignment vertical="top" wrapText="1"/>
    </xf>
    <xf numFmtId="0" fontId="9" fillId="0" borderId="2" xfId="6" applyFont="1" applyAlignment="1">
      <alignment wrapText="1"/>
    </xf>
    <xf numFmtId="0" fontId="16" fillId="0" borderId="2" xfId="6" applyFont="1" applyAlignment="1">
      <alignment vertical="top" wrapText="1"/>
    </xf>
    <xf numFmtId="0" fontId="17" fillId="0" borderId="2" xfId="6" applyFont="1" applyAlignment="1">
      <alignment vertical="top"/>
    </xf>
    <xf numFmtId="0" fontId="18" fillId="0" borderId="2" xfId="6" applyFont="1" applyAlignment="1">
      <alignment vertical="top"/>
    </xf>
    <xf numFmtId="0" fontId="19" fillId="0" borderId="2" xfId="6" applyFont="1" applyAlignment="1">
      <alignment wrapText="1"/>
    </xf>
    <xf numFmtId="0" fontId="18" fillId="0" borderId="2" xfId="6" applyFont="1"/>
    <xf numFmtId="0" fontId="20" fillId="0" borderId="2" xfId="6" applyFont="1" applyAlignment="1">
      <alignment vertical="top"/>
    </xf>
    <xf numFmtId="0" fontId="13" fillId="0" borderId="2" xfId="6" applyFont="1" applyAlignment="1">
      <alignment vertical="center" wrapText="1"/>
    </xf>
    <xf numFmtId="0" fontId="10" fillId="0" borderId="2" xfId="6" applyFont="1" applyAlignment="1">
      <alignment wrapText="1"/>
    </xf>
    <xf numFmtId="0" fontId="18" fillId="0" borderId="2" xfId="6" applyFont="1" applyAlignment="1">
      <alignment wrapText="1"/>
    </xf>
    <xf numFmtId="0" fontId="18" fillId="0" borderId="7" xfId="6" applyFont="1" applyBorder="1" applyAlignment="1">
      <alignment wrapText="1"/>
    </xf>
    <xf numFmtId="164" fontId="18" fillId="0" borderId="7" xfId="6" applyNumberFormat="1" applyFont="1" applyBorder="1" applyAlignment="1">
      <alignment horizontal="left" wrapText="1"/>
    </xf>
    <xf numFmtId="15" fontId="18" fillId="0" borderId="2" xfId="6" applyNumberFormat="1" applyFont="1" applyAlignment="1">
      <alignment wrapText="1"/>
    </xf>
    <xf numFmtId="0" fontId="18" fillId="0" borderId="6" xfId="6" applyFont="1" applyBorder="1" applyAlignment="1">
      <alignment wrapText="1"/>
    </xf>
    <xf numFmtId="164" fontId="18" fillId="0" borderId="6" xfId="6" applyNumberFormat="1" applyFont="1" applyBorder="1" applyAlignment="1">
      <alignment horizontal="left" wrapText="1"/>
    </xf>
    <xf numFmtId="0" fontId="27" fillId="0" borderId="2" xfId="6" applyFont="1"/>
    <xf numFmtId="0" fontId="9" fillId="0" borderId="2" xfId="7" applyFont="1" applyAlignment="1">
      <alignment horizontal="left"/>
    </xf>
    <xf numFmtId="0" fontId="26" fillId="2" borderId="7" xfId="6" applyFont="1" applyFill="1" applyBorder="1" applyAlignment="1">
      <alignment wrapText="1"/>
    </xf>
    <xf numFmtId="0" fontId="26" fillId="2" borderId="6" xfId="6" applyFont="1" applyFill="1" applyBorder="1" applyAlignment="1">
      <alignment wrapText="1"/>
    </xf>
    <xf numFmtId="0" fontId="18" fillId="0" borderId="0" xfId="0" applyFont="1" applyAlignment="1">
      <alignment vertical="center"/>
    </xf>
    <xf numFmtId="0" fontId="24" fillId="3" borderId="7" xfId="0" applyFont="1" applyFill="1" applyBorder="1" applyAlignment="1">
      <alignment horizontal="left" vertical="center" wrapText="1" indent="1"/>
    </xf>
    <xf numFmtId="0" fontId="28" fillId="0" borderId="2" xfId="8" applyFont="1" applyBorder="1" applyAlignment="1">
      <alignment vertical="top" wrapText="1"/>
    </xf>
    <xf numFmtId="0" fontId="18" fillId="0" borderId="2" xfId="6" applyFont="1" applyAlignment="1">
      <alignment vertical="top" wrapText="1"/>
    </xf>
    <xf numFmtId="0" fontId="19" fillId="0" borderId="2" xfId="6" applyFont="1" applyAlignment="1">
      <alignment vertical="top" wrapText="1"/>
    </xf>
    <xf numFmtId="0" fontId="8" fillId="0" borderId="2" xfId="6" applyFont="1" applyAlignment="1">
      <alignment horizontal="left" vertical="center" wrapText="1"/>
    </xf>
    <xf numFmtId="0" fontId="21" fillId="0" borderId="2" xfId="6" applyFont="1" applyAlignment="1">
      <alignment vertical="center" wrapText="1"/>
    </xf>
    <xf numFmtId="0" fontId="10" fillId="0" borderId="2" xfId="6" applyFont="1"/>
    <xf numFmtId="0" fontId="22" fillId="0" borderId="2" xfId="6" applyFont="1" applyAlignment="1">
      <alignment horizontal="left" vertical="center" wrapText="1"/>
    </xf>
    <xf numFmtId="0" fontId="23" fillId="0" borderId="2" xfId="6" applyFont="1" applyAlignment="1">
      <alignment horizontal="left"/>
    </xf>
    <xf numFmtId="0" fontId="25" fillId="0" borderId="2" xfId="6" applyFont="1" applyAlignment="1">
      <alignment horizontal="left"/>
    </xf>
    <xf numFmtId="9" fontId="35" fillId="5" borderId="22" xfId="11" applyFont="1" applyFill="1" applyBorder="1" applyAlignment="1">
      <alignment horizontal="center" vertical="center" wrapText="1"/>
    </xf>
    <xf numFmtId="0" fontId="35" fillId="5" borderId="2" xfId="13" applyFont="1" applyFill="1"/>
    <xf numFmtId="0" fontId="35" fillId="5" borderId="2" xfId="13" applyFont="1" applyFill="1" applyAlignment="1">
      <alignment wrapText="1"/>
    </xf>
    <xf numFmtId="0" fontId="35" fillId="5" borderId="25" xfId="13" applyFont="1" applyFill="1" applyBorder="1" applyAlignment="1">
      <alignment horizontal="left" vertical="center" wrapText="1"/>
    </xf>
    <xf numFmtId="0" fontId="37" fillId="5" borderId="25" xfId="13" applyFont="1" applyFill="1" applyBorder="1" applyAlignment="1">
      <alignment horizontal="left" vertical="center" wrapText="1"/>
    </xf>
    <xf numFmtId="0" fontId="35" fillId="12" borderId="24" xfId="13" applyFont="1" applyFill="1" applyBorder="1" applyAlignment="1">
      <alignment horizontal="center" vertical="center" wrapText="1"/>
    </xf>
    <xf numFmtId="0" fontId="33" fillId="12" borderId="21" xfId="13" applyFont="1" applyFill="1" applyBorder="1" applyAlignment="1">
      <alignment horizontal="center" vertical="center" wrapText="1"/>
    </xf>
    <xf numFmtId="0" fontId="33" fillId="12" borderId="22" xfId="13" applyFont="1" applyFill="1" applyBorder="1" applyAlignment="1">
      <alignment horizontal="center" vertical="center" wrapText="1"/>
    </xf>
    <xf numFmtId="0" fontId="33" fillId="12" borderId="26" xfId="13" applyFont="1" applyFill="1" applyBorder="1" applyAlignment="1">
      <alignment horizontal="center" vertical="center" wrapText="1"/>
    </xf>
    <xf numFmtId="9" fontId="35" fillId="5" borderId="7" xfId="11" applyFont="1" applyFill="1" applyBorder="1" applyAlignment="1">
      <alignment horizontal="center" vertical="center" wrapText="1"/>
    </xf>
    <xf numFmtId="9" fontId="35" fillId="5" borderId="32" xfId="11" applyFont="1" applyFill="1" applyBorder="1" applyAlignment="1">
      <alignment horizontal="center" vertical="center" wrapText="1"/>
    </xf>
    <xf numFmtId="0" fontId="29" fillId="0" borderId="7" xfId="19" applyFont="1" applyBorder="1" applyAlignment="1"/>
    <xf numFmtId="0" fontId="42" fillId="0" borderId="7" xfId="19" applyFont="1" applyBorder="1" applyAlignment="1"/>
    <xf numFmtId="9" fontId="35" fillId="5" borderId="2" xfId="11" applyFont="1" applyFill="1" applyBorder="1" applyAlignment="1">
      <alignment horizontal="center" vertical="center" wrapText="1"/>
    </xf>
    <xf numFmtId="0" fontId="32" fillId="11" borderId="37" xfId="13" applyFont="1" applyFill="1" applyBorder="1" applyAlignment="1">
      <alignment horizontal="center" vertical="center" wrapText="1"/>
    </xf>
    <xf numFmtId="9" fontId="37" fillId="5" borderId="7" xfId="11" applyFont="1" applyFill="1" applyBorder="1" applyAlignment="1">
      <alignment horizontal="center" vertical="center" wrapText="1"/>
    </xf>
    <xf numFmtId="0" fontId="41" fillId="0" borderId="2" xfId="16" applyFont="1" applyAlignment="1">
      <alignment horizontal="left" vertical="top" wrapText="1"/>
    </xf>
    <xf numFmtId="0" fontId="12" fillId="0" borderId="5" xfId="6" applyFont="1" applyBorder="1" applyAlignment="1">
      <alignment vertical="top"/>
    </xf>
    <xf numFmtId="0" fontId="39" fillId="11" borderId="12" xfId="19" applyFont="1" applyFill="1" applyBorder="1" applyAlignment="1">
      <alignment horizontal="center" vertical="center" wrapText="1"/>
    </xf>
    <xf numFmtId="0" fontId="39" fillId="11" borderId="13" xfId="19" applyFont="1" applyFill="1" applyBorder="1" applyAlignment="1">
      <alignment horizontal="center" vertical="center" wrapText="1"/>
    </xf>
    <xf numFmtId="0" fontId="39" fillId="11" borderId="14" xfId="19" applyFont="1" applyFill="1" applyBorder="1" applyAlignment="1">
      <alignment horizontal="center" vertical="center" wrapText="1"/>
    </xf>
    <xf numFmtId="0" fontId="35" fillId="5" borderId="35" xfId="13" applyFont="1" applyFill="1" applyBorder="1" applyAlignment="1">
      <alignment horizontal="left" wrapText="1"/>
    </xf>
    <xf numFmtId="0" fontId="35" fillId="5" borderId="2" xfId="13" applyFont="1" applyFill="1" applyAlignment="1">
      <alignment horizontal="left" wrapText="1"/>
    </xf>
    <xf numFmtId="0" fontId="35" fillId="5" borderId="15" xfId="13" applyFont="1" applyFill="1" applyBorder="1" applyAlignment="1">
      <alignment horizontal="left" wrapText="1"/>
    </xf>
    <xf numFmtId="0" fontId="35" fillId="5" borderId="35" xfId="13" applyFont="1" applyFill="1" applyBorder="1" applyAlignment="1">
      <alignment wrapText="1"/>
    </xf>
    <xf numFmtId="0" fontId="35" fillId="5" borderId="2" xfId="13" applyFont="1" applyFill="1" applyAlignment="1">
      <alignment wrapText="1"/>
    </xf>
    <xf numFmtId="0" fontId="35" fillId="5" borderId="15" xfId="13" applyFont="1" applyFill="1" applyBorder="1" applyAlignment="1">
      <alignment wrapText="1"/>
    </xf>
    <xf numFmtId="0" fontId="37" fillId="5" borderId="35" xfId="13" applyFont="1" applyFill="1" applyBorder="1" applyAlignment="1">
      <alignment horizontal="left" wrapText="1"/>
    </xf>
    <xf numFmtId="0" fontId="37" fillId="5" borderId="2" xfId="13" applyFont="1" applyFill="1" applyAlignment="1">
      <alignment horizontal="left" wrapText="1"/>
    </xf>
    <xf numFmtId="0" fontId="37" fillId="5" borderId="15" xfId="13" applyFont="1" applyFill="1" applyBorder="1" applyAlignment="1">
      <alignment horizontal="left" wrapText="1"/>
    </xf>
    <xf numFmtId="0" fontId="43" fillId="5" borderId="35" xfId="13" applyFont="1" applyFill="1" applyBorder="1" applyAlignment="1">
      <alignment wrapText="1"/>
    </xf>
    <xf numFmtId="0" fontId="43" fillId="5" borderId="2" xfId="13" applyFont="1" applyFill="1" applyAlignment="1">
      <alignment wrapText="1"/>
    </xf>
    <xf numFmtId="0" fontId="43" fillId="5" borderId="15" xfId="13" applyFont="1" applyFill="1" applyBorder="1" applyAlignment="1">
      <alignment wrapText="1"/>
    </xf>
    <xf numFmtId="0" fontId="37" fillId="5" borderId="17" xfId="13" applyFont="1" applyFill="1" applyBorder="1" applyAlignment="1">
      <alignment wrapText="1"/>
    </xf>
    <xf numFmtId="0" fontId="37" fillId="5" borderId="18" xfId="13" applyFont="1" applyFill="1" applyBorder="1" applyAlignment="1">
      <alignment wrapText="1"/>
    </xf>
    <xf numFmtId="0" fontId="37" fillId="5" borderId="19" xfId="13" applyFont="1" applyFill="1" applyBorder="1" applyAlignment="1">
      <alignment wrapText="1"/>
    </xf>
    <xf numFmtId="0" fontId="40" fillId="11" borderId="51" xfId="13" applyFont="1" applyFill="1" applyBorder="1" applyAlignment="1">
      <alignment horizontal="center" vertical="center" wrapText="1"/>
    </xf>
    <xf numFmtId="0" fontId="40" fillId="11" borderId="11" xfId="13" applyFont="1" applyFill="1" applyBorder="1" applyAlignment="1">
      <alignment horizontal="center" vertical="center" wrapText="1"/>
    </xf>
    <xf numFmtId="0" fontId="40" fillId="11" borderId="10" xfId="13" applyFont="1" applyFill="1" applyBorder="1" applyAlignment="1">
      <alignment horizontal="center" vertical="center" wrapText="1"/>
    </xf>
    <xf numFmtId="0" fontId="36" fillId="12" borderId="7" xfId="16" applyFont="1" applyFill="1" applyBorder="1" applyAlignment="1">
      <alignment horizontal="left" vertical="center" wrapText="1" readingOrder="1"/>
    </xf>
    <xf numFmtId="0" fontId="36" fillId="0" borderId="7" xfId="16" applyFont="1" applyBorder="1" applyAlignment="1">
      <alignment horizontal="left" vertical="center" wrapText="1" readingOrder="1"/>
    </xf>
    <xf numFmtId="0" fontId="35" fillId="12" borderId="24" xfId="13" applyFont="1" applyFill="1" applyBorder="1" applyAlignment="1">
      <alignment horizontal="center" vertical="center" wrapText="1"/>
    </xf>
    <xf numFmtId="0" fontId="37" fillId="12" borderId="7" xfId="16" applyFont="1" applyFill="1" applyBorder="1" applyAlignment="1">
      <alignment horizontal="left" vertical="center" wrapText="1" readingOrder="1"/>
    </xf>
    <xf numFmtId="0" fontId="35" fillId="12" borderId="29" xfId="13" applyFont="1" applyFill="1" applyBorder="1" applyAlignment="1">
      <alignment horizontal="center" vertical="center" wrapText="1"/>
    </xf>
    <xf numFmtId="0" fontId="37" fillId="12" borderId="32" xfId="16" applyFont="1" applyFill="1" applyBorder="1" applyAlignment="1">
      <alignment horizontal="left" vertical="center" wrapText="1" readingOrder="1"/>
    </xf>
    <xf numFmtId="0" fontId="33" fillId="6" borderId="9" xfId="16" applyFont="1" applyFill="1" applyBorder="1" applyAlignment="1">
      <alignment horizontal="center" vertical="center" wrapText="1"/>
    </xf>
    <xf numFmtId="0" fontId="33" fillId="6" borderId="49" xfId="16" applyFont="1" applyFill="1" applyBorder="1" applyAlignment="1">
      <alignment horizontal="center" vertical="center" wrapText="1"/>
    </xf>
    <xf numFmtId="0" fontId="33" fillId="6" borderId="36" xfId="16" applyFont="1" applyFill="1" applyBorder="1" applyAlignment="1">
      <alignment horizontal="center" vertical="center" wrapText="1"/>
    </xf>
    <xf numFmtId="0" fontId="33" fillId="8" borderId="36" xfId="16" applyFont="1" applyFill="1" applyBorder="1" applyAlignment="1">
      <alignment horizontal="center" vertical="center" wrapText="1"/>
    </xf>
    <xf numFmtId="0" fontId="33" fillId="8" borderId="51" xfId="16" applyFont="1" applyFill="1" applyBorder="1" applyAlignment="1">
      <alignment horizontal="center" vertical="center" wrapText="1"/>
    </xf>
    <xf numFmtId="0" fontId="33" fillId="4" borderId="51" xfId="16" applyFont="1" applyFill="1" applyBorder="1" applyAlignment="1">
      <alignment horizontal="center" vertical="center" wrapText="1"/>
    </xf>
    <xf numFmtId="0" fontId="33" fillId="4" borderId="11" xfId="16" applyFont="1" applyFill="1" applyBorder="1" applyAlignment="1">
      <alignment horizontal="center" vertical="center" wrapText="1"/>
    </xf>
    <xf numFmtId="0" fontId="33" fillId="4" borderId="49" xfId="16" applyFont="1" applyFill="1" applyBorder="1" applyAlignment="1">
      <alignment horizontal="center" vertical="center" wrapText="1"/>
    </xf>
    <xf numFmtId="0" fontId="33" fillId="9" borderId="36" xfId="16" applyFont="1" applyFill="1" applyBorder="1" applyAlignment="1">
      <alignment horizontal="center" vertical="center" wrapText="1"/>
    </xf>
    <xf numFmtId="0" fontId="33" fillId="9" borderId="38" xfId="16" applyFont="1" applyFill="1" applyBorder="1" applyAlignment="1">
      <alignment horizontal="center" vertical="center" wrapText="1"/>
    </xf>
    <xf numFmtId="0" fontId="35" fillId="0" borderId="2" xfId="16" applyFont="1"/>
    <xf numFmtId="0" fontId="33" fillId="6" borderId="35" xfId="16" applyFont="1" applyFill="1" applyBorder="1" applyAlignment="1">
      <alignment horizontal="center" vertical="center" wrapText="1"/>
    </xf>
    <xf numFmtId="0" fontId="33" fillId="6" borderId="50" xfId="16" applyFont="1" applyFill="1" applyBorder="1" applyAlignment="1">
      <alignment horizontal="center" vertical="center" wrapText="1"/>
    </xf>
    <xf numFmtId="0" fontId="33" fillId="6" borderId="47" xfId="16" applyFont="1" applyFill="1" applyBorder="1" applyAlignment="1">
      <alignment horizontal="center" vertical="center" wrapText="1"/>
    </xf>
    <xf numFmtId="0" fontId="33" fillId="8" borderId="47" xfId="16" applyFont="1" applyFill="1" applyBorder="1" applyAlignment="1">
      <alignment horizontal="center" vertical="center" wrapText="1"/>
    </xf>
    <xf numFmtId="0" fontId="35" fillId="4" borderId="7" xfId="16" applyFont="1" applyFill="1" applyBorder="1" applyAlignment="1">
      <alignment horizontal="center" vertical="center" wrapText="1"/>
    </xf>
    <xf numFmtId="0" fontId="37" fillId="4" borderId="7" xfId="16" applyFont="1" applyFill="1" applyBorder="1" applyAlignment="1">
      <alignment horizontal="center" vertical="center" wrapText="1"/>
    </xf>
    <xf numFmtId="0" fontId="35" fillId="4" borderId="52" xfId="16" applyFont="1" applyFill="1" applyBorder="1" applyAlignment="1">
      <alignment horizontal="center" vertical="center" wrapText="1"/>
    </xf>
    <xf numFmtId="0" fontId="33" fillId="9" borderId="47" xfId="16" applyFont="1" applyFill="1" applyBorder="1" applyAlignment="1">
      <alignment horizontal="center" vertical="center" wrapText="1"/>
    </xf>
    <xf numFmtId="0" fontId="33" fillId="9" borderId="43" xfId="16" applyFont="1" applyFill="1" applyBorder="1" applyAlignment="1">
      <alignment horizontal="center" vertical="center" wrapText="1"/>
    </xf>
    <xf numFmtId="0" fontId="33" fillId="8" borderId="53" xfId="16" applyFont="1" applyFill="1" applyBorder="1" applyAlignment="1">
      <alignment horizontal="center" vertical="center" wrapText="1"/>
    </xf>
    <xf numFmtId="9" fontId="35" fillId="4" borderId="47" xfId="16" applyNumberFormat="1" applyFont="1" applyFill="1" applyBorder="1" applyAlignment="1">
      <alignment horizontal="center" vertical="center" wrapText="1"/>
    </xf>
    <xf numFmtId="0" fontId="33" fillId="12" borderId="27" xfId="16" applyFont="1" applyFill="1" applyBorder="1" applyAlignment="1">
      <alignment horizontal="center" vertical="center" wrapText="1"/>
    </xf>
    <xf numFmtId="0" fontId="38" fillId="12" borderId="46" xfId="16" applyFont="1" applyFill="1" applyBorder="1" applyAlignment="1">
      <alignment horizontal="center" vertical="center" wrapText="1" readingOrder="1"/>
    </xf>
    <xf numFmtId="0" fontId="36" fillId="12" borderId="22" xfId="16" applyFont="1" applyFill="1" applyBorder="1" applyAlignment="1">
      <alignment horizontal="left" vertical="center" wrapText="1" readingOrder="1"/>
    </xf>
    <xf numFmtId="0" fontId="36" fillId="0" borderId="22" xfId="16" applyFont="1" applyBorder="1" applyAlignment="1">
      <alignment horizontal="left" vertical="center" wrapText="1" readingOrder="1"/>
    </xf>
    <xf numFmtId="0" fontId="35" fillId="10" borderId="22" xfId="16" applyFont="1" applyFill="1" applyBorder="1" applyAlignment="1">
      <alignment horizontal="left" vertical="center" wrapText="1" readingOrder="1"/>
    </xf>
    <xf numFmtId="0" fontId="36" fillId="10" borderId="22" xfId="16" applyFont="1" applyFill="1" applyBorder="1" applyAlignment="1">
      <alignment horizontal="left" vertical="center" wrapText="1" readingOrder="1"/>
    </xf>
    <xf numFmtId="0" fontId="36" fillId="5" borderId="22" xfId="16" applyFont="1" applyFill="1" applyBorder="1" applyAlignment="1">
      <alignment horizontal="left" vertical="center" wrapText="1" readingOrder="1"/>
    </xf>
    <xf numFmtId="0" fontId="35" fillId="0" borderId="22" xfId="16" applyFont="1" applyBorder="1" applyAlignment="1" applyProtection="1">
      <alignment horizontal="center" vertical="center"/>
      <protection locked="0"/>
    </xf>
    <xf numFmtId="0" fontId="35" fillId="0" borderId="22" xfId="16" applyFont="1" applyBorder="1"/>
    <xf numFmtId="0" fontId="35" fillId="0" borderId="26" xfId="16" applyFont="1" applyBorder="1"/>
    <xf numFmtId="0" fontId="33" fillId="12" borderId="28" xfId="16" applyFont="1" applyFill="1" applyBorder="1" applyAlignment="1">
      <alignment horizontal="center" vertical="center" wrapText="1"/>
    </xf>
    <xf numFmtId="0" fontId="38" fillId="12" borderId="34" xfId="16" applyFont="1" applyFill="1" applyBorder="1" applyAlignment="1">
      <alignment horizontal="center" vertical="center" wrapText="1" readingOrder="1"/>
    </xf>
    <xf numFmtId="9" fontId="36" fillId="0" borderId="7" xfId="16" applyNumberFormat="1" applyFont="1" applyBorder="1" applyAlignment="1">
      <alignment horizontal="center" vertical="center" wrapText="1" readingOrder="1"/>
    </xf>
    <xf numFmtId="0" fontId="36" fillId="10" borderId="7" xfId="16" applyFont="1" applyFill="1" applyBorder="1" applyAlignment="1">
      <alignment horizontal="left" vertical="center" wrapText="1" readingOrder="1"/>
    </xf>
    <xf numFmtId="0" fontId="36" fillId="5" borderId="7" xfId="16" applyFont="1" applyFill="1" applyBorder="1" applyAlignment="1">
      <alignment horizontal="left" vertical="center" wrapText="1" readingOrder="1"/>
    </xf>
    <xf numFmtId="0" fontId="35" fillId="0" borderId="7" xfId="16" applyFont="1" applyBorder="1" applyAlignment="1" applyProtection="1">
      <alignment horizontal="center" vertical="center"/>
      <protection locked="0"/>
    </xf>
    <xf numFmtId="0" fontId="35" fillId="0" borderId="7" xfId="16" applyFont="1" applyBorder="1"/>
    <xf numFmtId="0" fontId="35" fillId="0" borderId="25" xfId="16" applyFont="1" applyBorder="1"/>
    <xf numFmtId="0" fontId="38" fillId="12" borderId="44" xfId="16" applyFont="1" applyFill="1" applyBorder="1" applyAlignment="1">
      <alignment horizontal="center" vertical="center" wrapText="1" readingOrder="1"/>
    </xf>
    <xf numFmtId="0" fontId="38" fillId="12" borderId="33" xfId="16" applyFont="1" applyFill="1" applyBorder="1" applyAlignment="1">
      <alignment horizontal="center" vertical="center" wrapText="1" readingOrder="1"/>
    </xf>
    <xf numFmtId="0" fontId="38" fillId="12" borderId="33" xfId="16" applyFont="1" applyFill="1" applyBorder="1" applyAlignment="1">
      <alignment horizontal="center" vertical="center" wrapText="1" readingOrder="1"/>
    </xf>
    <xf numFmtId="0" fontId="37" fillId="0" borderId="7" xfId="16" applyFont="1" applyBorder="1" applyAlignment="1">
      <alignment horizontal="left" vertical="center" wrapText="1" readingOrder="1"/>
    </xf>
    <xf numFmtId="0" fontId="33" fillId="12" borderId="34" xfId="16" applyFont="1" applyFill="1" applyBorder="1" applyAlignment="1">
      <alignment horizontal="center" vertical="center" wrapText="1"/>
    </xf>
    <xf numFmtId="0" fontId="35" fillId="12" borderId="7" xfId="16" applyFont="1" applyFill="1" applyBorder="1" applyAlignment="1">
      <alignment horizontal="left" vertical="center" wrapText="1" readingOrder="1"/>
    </xf>
    <xf numFmtId="9" fontId="35" fillId="0" borderId="7" xfId="16" applyNumberFormat="1" applyFont="1" applyBorder="1" applyAlignment="1">
      <alignment horizontal="center" vertical="center" wrapText="1" readingOrder="1"/>
    </xf>
    <xf numFmtId="0" fontId="35" fillId="0" borderId="7" xfId="16" applyFont="1" applyBorder="1" applyAlignment="1">
      <alignment horizontal="left" vertical="center" wrapText="1" readingOrder="1"/>
    </xf>
    <xf numFmtId="0" fontId="35" fillId="10" borderId="7" xfId="16" applyFont="1" applyFill="1" applyBorder="1" applyAlignment="1">
      <alignment horizontal="left" vertical="center" wrapText="1" readingOrder="1"/>
    </xf>
    <xf numFmtId="0" fontId="35" fillId="5" borderId="7" xfId="16" applyFont="1" applyFill="1" applyBorder="1" applyAlignment="1">
      <alignment horizontal="left" vertical="center" wrapText="1" readingOrder="1"/>
    </xf>
    <xf numFmtId="0" fontId="33" fillId="12" borderId="48" xfId="16" applyFont="1" applyFill="1" applyBorder="1" applyAlignment="1">
      <alignment horizontal="center" vertical="center" wrapText="1"/>
    </xf>
    <xf numFmtId="0" fontId="44" fillId="0" borderId="7" xfId="16" applyFont="1" applyBorder="1" applyAlignment="1">
      <alignment horizontal="left" vertical="center" wrapText="1" readingOrder="1"/>
    </xf>
    <xf numFmtId="0" fontId="33" fillId="12" borderId="31" xfId="16" applyFont="1" applyFill="1" applyBorder="1" applyAlignment="1">
      <alignment horizontal="center" vertical="center" wrapText="1"/>
    </xf>
    <xf numFmtId="0" fontId="33" fillId="12" borderId="45" xfId="16" applyFont="1" applyFill="1" applyBorder="1" applyAlignment="1">
      <alignment horizontal="center" vertical="center" wrapText="1"/>
    </xf>
    <xf numFmtId="0" fontId="35" fillId="12" borderId="32" xfId="16" applyFont="1" applyFill="1" applyBorder="1" applyAlignment="1">
      <alignment horizontal="left" vertical="center" wrapText="1" readingOrder="1"/>
    </xf>
    <xf numFmtId="9" fontId="35" fillId="0" borderId="32" xfId="16" applyNumberFormat="1" applyFont="1" applyBorder="1" applyAlignment="1">
      <alignment horizontal="center" vertical="center" wrapText="1" readingOrder="1"/>
    </xf>
    <xf numFmtId="0" fontId="35" fillId="0" borderId="32" xfId="16" applyFont="1" applyBorder="1" applyAlignment="1">
      <alignment horizontal="left" vertical="center" wrapText="1" readingOrder="1"/>
    </xf>
    <xf numFmtId="0" fontId="35" fillId="10" borderId="32" xfId="16" applyFont="1" applyFill="1" applyBorder="1" applyAlignment="1">
      <alignment horizontal="left" vertical="center" wrapText="1" readingOrder="1"/>
    </xf>
    <xf numFmtId="0" fontId="44" fillId="0" borderId="32" xfId="16" applyFont="1" applyBorder="1" applyAlignment="1">
      <alignment horizontal="left" vertical="center" wrapText="1" readingOrder="1"/>
    </xf>
    <xf numFmtId="0" fontId="35" fillId="0" borderId="32" xfId="16" applyFont="1" applyBorder="1" applyAlignment="1" applyProtection="1">
      <alignment horizontal="center" vertical="center"/>
      <protection locked="0"/>
    </xf>
    <xf numFmtId="0" fontId="35" fillId="0" borderId="32" xfId="16" applyFont="1" applyBorder="1"/>
    <xf numFmtId="0" fontId="35" fillId="0" borderId="30" xfId="16" applyFont="1" applyBorder="1"/>
    <xf numFmtId="0" fontId="35" fillId="0" borderId="2" xfId="16" applyFont="1" applyAlignment="1">
      <alignment horizontal="left" wrapText="1"/>
    </xf>
    <xf numFmtId="0" fontId="35" fillId="0" borderId="2" xfId="16" applyFont="1" applyAlignment="1">
      <alignment horizontal="center" wrapText="1"/>
    </xf>
    <xf numFmtId="9" fontId="35" fillId="0" borderId="2" xfId="16" applyNumberFormat="1" applyFont="1" applyAlignment="1">
      <alignment horizontal="center" vertical="center" wrapText="1"/>
    </xf>
    <xf numFmtId="0" fontId="33" fillId="13" borderId="7" xfId="16" applyFont="1" applyFill="1" applyBorder="1" applyAlignment="1">
      <alignment horizontal="center" vertical="center"/>
    </xf>
    <xf numFmtId="0" fontId="46" fillId="16" borderId="65" xfId="16" applyFont="1" applyFill="1" applyBorder="1" applyAlignment="1">
      <alignment horizontal="center" vertical="center" wrapText="1" readingOrder="1"/>
    </xf>
    <xf numFmtId="0" fontId="46" fillId="16" borderId="66" xfId="16" applyFont="1" applyFill="1" applyBorder="1" applyAlignment="1">
      <alignment horizontal="center" vertical="center" wrapText="1" readingOrder="1"/>
    </xf>
    <xf numFmtId="0" fontId="46" fillId="16" borderId="67" xfId="16" applyFont="1" applyFill="1" applyBorder="1" applyAlignment="1">
      <alignment horizontal="center" vertical="center" wrapText="1" readingOrder="1"/>
    </xf>
    <xf numFmtId="0" fontId="38" fillId="16" borderId="67" xfId="16" applyFont="1" applyFill="1" applyBorder="1" applyAlignment="1">
      <alignment horizontal="center" vertical="center" wrapText="1" readingOrder="1"/>
    </xf>
    <xf numFmtId="0" fontId="38" fillId="17" borderId="67" xfId="16" applyFont="1" applyFill="1" applyBorder="1" applyAlignment="1">
      <alignment horizontal="center" vertical="center" wrapText="1" readingOrder="1"/>
    </xf>
    <xf numFmtId="0" fontId="38" fillId="17" borderId="65" xfId="16" applyFont="1" applyFill="1" applyBorder="1" applyAlignment="1">
      <alignment horizontal="center" vertical="center" wrapText="1" readingOrder="1"/>
    </xf>
    <xf numFmtId="0" fontId="38" fillId="13" borderId="67" xfId="16" applyFont="1" applyFill="1" applyBorder="1" applyAlignment="1">
      <alignment horizontal="center" vertical="center" wrapText="1" readingOrder="1"/>
    </xf>
    <xf numFmtId="0" fontId="37" fillId="18" borderId="20" xfId="16" applyFont="1" applyFill="1" applyBorder="1" applyAlignment="1">
      <alignment horizontal="left" vertical="center" wrapText="1"/>
    </xf>
    <xf numFmtId="0" fontId="37" fillId="18" borderId="57" xfId="16" applyFont="1" applyFill="1" applyBorder="1" applyAlignment="1">
      <alignment horizontal="left" vertical="center" wrapText="1"/>
    </xf>
    <xf numFmtId="0" fontId="37" fillId="18" borderId="33" xfId="16" applyFont="1" applyFill="1" applyBorder="1" applyAlignment="1">
      <alignment horizontal="left" vertical="center" wrapText="1"/>
    </xf>
    <xf numFmtId="0" fontId="37" fillId="5" borderId="7" xfId="16" applyFont="1" applyFill="1" applyBorder="1" applyAlignment="1">
      <alignment horizontal="left" vertical="center" wrapText="1"/>
    </xf>
    <xf numFmtId="9" fontId="37" fillId="2" borderId="7" xfId="16" applyNumberFormat="1" applyFont="1" applyFill="1" applyBorder="1" applyAlignment="1">
      <alignment horizontal="center" vertical="center" wrapText="1"/>
    </xf>
    <xf numFmtId="0" fontId="37" fillId="2" borderId="7" xfId="16" applyFont="1" applyFill="1" applyBorder="1" applyAlignment="1">
      <alignment horizontal="center" vertical="center" wrapText="1"/>
    </xf>
    <xf numFmtId="9" fontId="37" fillId="2" borderId="20" xfId="16" applyNumberFormat="1" applyFont="1" applyFill="1" applyBorder="1" applyAlignment="1">
      <alignment horizontal="center" vertical="center" wrapText="1"/>
    </xf>
    <xf numFmtId="0" fontId="37" fillId="2" borderId="64" xfId="16" applyFont="1" applyFill="1" applyBorder="1" applyAlignment="1">
      <alignment horizontal="center" vertical="center" wrapText="1"/>
    </xf>
    <xf numFmtId="0" fontId="37" fillId="0" borderId="64" xfId="16" applyFont="1" applyBorder="1" applyAlignment="1">
      <alignment horizontal="center" vertical="center"/>
    </xf>
    <xf numFmtId="0" fontId="37" fillId="0" borderId="64" xfId="16" applyFont="1" applyBorder="1" applyAlignment="1" applyProtection="1">
      <alignment horizontal="center" vertical="center"/>
      <protection locked="0"/>
    </xf>
    <xf numFmtId="0" fontId="37" fillId="0" borderId="2" xfId="16" applyFont="1"/>
    <xf numFmtId="0" fontId="1" fillId="0" borderId="2" xfId="16" applyAlignment="1">
      <alignment wrapText="1"/>
    </xf>
    <xf numFmtId="0" fontId="33" fillId="6" borderId="16" xfId="16" applyFont="1" applyFill="1" applyBorder="1" applyAlignment="1">
      <alignment horizontal="center" vertical="center" wrapText="1"/>
    </xf>
    <xf numFmtId="0" fontId="33" fillId="6" borderId="21" xfId="16" applyFont="1" applyFill="1" applyBorder="1" applyAlignment="1">
      <alignment horizontal="center" vertical="center" wrapText="1"/>
    </xf>
    <xf numFmtId="0" fontId="33" fillId="6" borderId="22" xfId="16" applyFont="1" applyFill="1" applyBorder="1" applyAlignment="1">
      <alignment horizontal="center" vertical="center" wrapText="1"/>
    </xf>
    <xf numFmtId="0" fontId="33" fillId="6" borderId="11" xfId="16" applyFont="1" applyFill="1" applyBorder="1" applyAlignment="1">
      <alignment horizontal="center" vertical="center" wrapText="1"/>
    </xf>
    <xf numFmtId="0" fontId="37" fillId="7" borderId="20" xfId="16" applyFont="1" applyFill="1" applyBorder="1" applyAlignment="1">
      <alignment horizontal="center" vertical="center" wrapText="1"/>
    </xf>
    <xf numFmtId="0" fontId="37" fillId="7" borderId="57" xfId="16" applyFont="1" applyFill="1" applyBorder="1" applyAlignment="1">
      <alignment horizontal="center" vertical="center" wrapText="1"/>
    </xf>
    <xf numFmtId="0" fontId="37" fillId="7" borderId="33" xfId="16" applyFont="1" applyFill="1" applyBorder="1" applyAlignment="1">
      <alignment horizontal="center" vertical="center" wrapText="1"/>
    </xf>
    <xf numFmtId="0" fontId="33" fillId="6" borderId="41" xfId="16" applyFont="1" applyFill="1" applyBorder="1" applyAlignment="1">
      <alignment horizontal="center" vertical="center" wrapText="1"/>
    </xf>
    <xf numFmtId="0" fontId="33" fillId="6" borderId="24" xfId="16" applyFont="1" applyFill="1" applyBorder="1" applyAlignment="1">
      <alignment horizontal="center" vertical="center" wrapText="1"/>
    </xf>
    <xf numFmtId="0" fontId="33" fillId="6" borderId="7" xfId="16" applyFont="1" applyFill="1" applyBorder="1" applyAlignment="1">
      <alignment horizontal="center" vertical="center" wrapText="1"/>
    </xf>
    <xf numFmtId="0" fontId="33" fillId="6" borderId="2" xfId="16" applyFont="1" applyFill="1" applyAlignment="1">
      <alignment horizontal="center" vertical="center" wrapText="1"/>
    </xf>
    <xf numFmtId="0" fontId="35" fillId="7" borderId="39" xfId="16" applyFont="1" applyFill="1" applyBorder="1" applyAlignment="1">
      <alignment horizontal="center" vertical="center"/>
    </xf>
    <xf numFmtId="0" fontId="35" fillId="7" borderId="58" xfId="16" applyFont="1" applyFill="1" applyBorder="1" applyAlignment="1">
      <alignment horizontal="center" vertical="center"/>
    </xf>
    <xf numFmtId="0" fontId="35" fillId="7" borderId="59" xfId="16" applyFont="1" applyFill="1" applyBorder="1" applyAlignment="1">
      <alignment horizontal="center" vertical="center"/>
    </xf>
    <xf numFmtId="0" fontId="35" fillId="7" borderId="39" xfId="16" applyFont="1" applyFill="1" applyBorder="1" applyAlignment="1">
      <alignment horizontal="center" vertical="center" wrapText="1"/>
    </xf>
    <xf numFmtId="0" fontId="35" fillId="7" borderId="58" xfId="16" applyFont="1" applyFill="1" applyBorder="1" applyAlignment="1">
      <alignment horizontal="center" vertical="center" wrapText="1"/>
    </xf>
    <xf numFmtId="0" fontId="35" fillId="7" borderId="59" xfId="16" applyFont="1" applyFill="1" applyBorder="1" applyAlignment="1">
      <alignment horizontal="center" vertical="center" wrapText="1"/>
    </xf>
    <xf numFmtId="0" fontId="45" fillId="2" borderId="7" xfId="16" applyFont="1" applyFill="1" applyBorder="1" applyAlignment="1">
      <alignment horizontal="center" vertical="center"/>
    </xf>
    <xf numFmtId="0" fontId="45" fillId="13" borderId="7" xfId="16" applyFont="1" applyFill="1" applyBorder="1" applyAlignment="1">
      <alignment horizontal="center" vertical="center" wrapText="1"/>
    </xf>
    <xf numFmtId="0" fontId="45" fillId="14" borderId="7" xfId="16" applyFont="1" applyFill="1" applyBorder="1" applyAlignment="1">
      <alignment horizontal="center" vertical="center" wrapText="1"/>
    </xf>
    <xf numFmtId="0" fontId="45" fillId="4" borderId="7" xfId="16" applyFont="1" applyFill="1" applyBorder="1" applyAlignment="1">
      <alignment horizontal="center" vertical="center" wrapText="1"/>
    </xf>
    <xf numFmtId="0" fontId="45" fillId="7" borderId="7" xfId="16" applyFont="1" applyFill="1" applyBorder="1" applyAlignment="1">
      <alignment horizontal="center" vertical="center" wrapText="1"/>
    </xf>
    <xf numFmtId="0" fontId="45" fillId="9" borderId="7" xfId="16" applyFont="1" applyFill="1" applyBorder="1" applyAlignment="1">
      <alignment horizontal="center" vertical="center" wrapText="1"/>
    </xf>
    <xf numFmtId="0" fontId="33" fillId="15" borderId="7" xfId="16" applyFont="1" applyFill="1" applyBorder="1" applyAlignment="1">
      <alignment horizontal="center" vertical="center"/>
    </xf>
    <xf numFmtId="0" fontId="33" fillId="6" borderId="34" xfId="16" applyFont="1" applyFill="1" applyBorder="1" applyAlignment="1">
      <alignment horizontal="center" vertical="center" wrapText="1"/>
    </xf>
    <xf numFmtId="0" fontId="33" fillId="6" borderId="8" xfId="16" applyFont="1" applyFill="1" applyBorder="1" applyAlignment="1">
      <alignment horizontal="center" vertical="center" wrapText="1"/>
    </xf>
    <xf numFmtId="0" fontId="35" fillId="7" borderId="60" xfId="16" applyFont="1" applyFill="1" applyBorder="1" applyAlignment="1">
      <alignment horizontal="center" vertical="center"/>
    </xf>
    <xf numFmtId="0" fontId="35" fillId="7" borderId="54" xfId="16" applyFont="1" applyFill="1" applyBorder="1" applyAlignment="1">
      <alignment horizontal="center" vertical="center"/>
    </xf>
    <xf numFmtId="0" fontId="35" fillId="7" borderId="61" xfId="16" applyFont="1" applyFill="1" applyBorder="1" applyAlignment="1">
      <alignment horizontal="center" vertical="center"/>
    </xf>
    <xf numFmtId="0" fontId="35" fillId="7" borderId="60" xfId="16" applyFont="1" applyFill="1" applyBorder="1" applyAlignment="1">
      <alignment horizontal="center" vertical="center" wrapText="1"/>
    </xf>
    <xf numFmtId="0" fontId="35" fillId="7" borderId="54" xfId="16" applyFont="1" applyFill="1" applyBorder="1" applyAlignment="1">
      <alignment horizontal="center" vertical="center" wrapText="1"/>
    </xf>
    <xf numFmtId="0" fontId="35" fillId="7" borderId="61" xfId="16" applyFont="1" applyFill="1" applyBorder="1" applyAlignment="1">
      <alignment horizontal="center" vertical="center" wrapText="1"/>
    </xf>
    <xf numFmtId="9" fontId="35" fillId="2" borderId="7" xfId="16" applyNumberFormat="1" applyFont="1" applyFill="1" applyBorder="1" applyAlignment="1">
      <alignment horizontal="center" vertical="center"/>
    </xf>
    <xf numFmtId="9" fontId="35" fillId="13" borderId="7" xfId="16" applyNumberFormat="1" applyFont="1" applyFill="1" applyBorder="1" applyAlignment="1">
      <alignment horizontal="center" vertical="center"/>
    </xf>
    <xf numFmtId="9" fontId="35" fillId="14" borderId="7" xfId="16" applyNumberFormat="1" applyFont="1" applyFill="1" applyBorder="1" applyAlignment="1">
      <alignment horizontal="center" vertical="center"/>
    </xf>
    <xf numFmtId="9" fontId="35" fillId="4" borderId="7" xfId="16" applyNumberFormat="1" applyFont="1" applyFill="1" applyBorder="1" applyAlignment="1">
      <alignment horizontal="center" vertical="center"/>
    </xf>
    <xf numFmtId="9" fontId="35" fillId="7" borderId="7" xfId="16" applyNumberFormat="1" applyFont="1" applyFill="1" applyBorder="1" applyAlignment="1">
      <alignment horizontal="center" vertical="center"/>
    </xf>
    <xf numFmtId="9" fontId="35" fillId="9" borderId="7" xfId="16" applyNumberFormat="1" applyFont="1" applyFill="1" applyBorder="1" applyAlignment="1">
      <alignment horizontal="center" vertical="center"/>
    </xf>
    <xf numFmtId="0" fontId="33" fillId="6" borderId="42" xfId="16" applyFont="1" applyFill="1" applyBorder="1" applyAlignment="1">
      <alignment horizontal="center" vertical="center" wrapText="1"/>
    </xf>
    <xf numFmtId="0" fontId="35" fillId="7" borderId="7" xfId="16" applyFont="1" applyFill="1" applyBorder="1" applyAlignment="1">
      <alignment horizontal="center" vertical="center" wrapText="1"/>
    </xf>
    <xf numFmtId="0" fontId="45" fillId="2" borderId="7" xfId="16" applyFont="1" applyFill="1" applyBorder="1" applyAlignment="1">
      <alignment horizontal="center" vertical="center" wrapText="1"/>
    </xf>
    <xf numFmtId="0" fontId="45" fillId="13" borderId="7" xfId="16" applyFont="1" applyFill="1" applyBorder="1" applyAlignment="1">
      <alignment horizontal="center" vertical="center" wrapText="1"/>
    </xf>
    <xf numFmtId="0" fontId="45" fillId="14" borderId="7" xfId="16" applyFont="1" applyFill="1" applyBorder="1" applyAlignment="1">
      <alignment horizontal="center" vertical="center" wrapText="1"/>
    </xf>
    <xf numFmtId="0" fontId="45" fillId="4" borderId="7" xfId="16" applyFont="1" applyFill="1" applyBorder="1" applyAlignment="1">
      <alignment horizontal="center" vertical="center" wrapText="1"/>
    </xf>
    <xf numFmtId="0" fontId="45" fillId="7" borderId="7" xfId="16" applyFont="1" applyFill="1" applyBorder="1" applyAlignment="1">
      <alignment horizontal="center" vertical="center" wrapText="1"/>
    </xf>
    <xf numFmtId="0" fontId="45" fillId="9" borderId="7" xfId="16" applyFont="1" applyFill="1" applyBorder="1" applyAlignment="1">
      <alignment horizontal="center" vertical="center" wrapText="1"/>
    </xf>
    <xf numFmtId="0" fontId="33" fillId="12" borderId="16" xfId="16" applyFont="1" applyFill="1" applyBorder="1" applyAlignment="1">
      <alignment horizontal="center" vertical="center" wrapText="1"/>
    </xf>
    <xf numFmtId="0" fontId="34" fillId="12" borderId="27" xfId="16" applyFont="1" applyFill="1" applyBorder="1" applyAlignment="1">
      <alignment horizontal="center" vertical="center" wrapText="1"/>
    </xf>
    <xf numFmtId="0" fontId="36" fillId="12" borderId="21" xfId="16" applyFont="1" applyFill="1" applyBorder="1" applyAlignment="1">
      <alignment horizontal="left" vertical="center" wrapText="1" readingOrder="1"/>
    </xf>
    <xf numFmtId="0" fontId="36" fillId="0" borderId="55" xfId="16" applyFont="1" applyBorder="1" applyAlignment="1">
      <alignment horizontal="left" vertical="center" wrapText="1" readingOrder="1"/>
    </xf>
    <xf numFmtId="0" fontId="37" fillId="0" borderId="7" xfId="16" applyFont="1" applyBorder="1" applyAlignment="1">
      <alignment horizontal="center" vertical="center"/>
    </xf>
    <xf numFmtId="0" fontId="37" fillId="2" borderId="7" xfId="16" applyFont="1" applyFill="1" applyBorder="1" applyAlignment="1">
      <alignment horizontal="center" vertical="center"/>
    </xf>
    <xf numFmtId="0" fontId="37" fillId="13" borderId="7" xfId="16" applyFont="1" applyFill="1" applyBorder="1" applyAlignment="1">
      <alignment horizontal="center" vertical="center"/>
    </xf>
    <xf numFmtId="0" fontId="37" fillId="14" borderId="7" xfId="16" applyFont="1" applyFill="1" applyBorder="1" applyAlignment="1">
      <alignment horizontal="center" vertical="center"/>
    </xf>
    <xf numFmtId="0" fontId="37" fillId="4" borderId="7" xfId="16" applyFont="1" applyFill="1" applyBorder="1" applyAlignment="1">
      <alignment horizontal="center" vertical="center"/>
    </xf>
    <xf numFmtId="0" fontId="37" fillId="7" borderId="7" xfId="16" applyFont="1" applyFill="1" applyBorder="1" applyAlignment="1">
      <alignment horizontal="center" vertical="center"/>
    </xf>
    <xf numFmtId="0" fontId="37" fillId="9" borderId="7" xfId="16" applyFont="1" applyFill="1" applyBorder="1" applyAlignment="1">
      <alignment horizontal="center" vertical="center"/>
    </xf>
    <xf numFmtId="1" fontId="37" fillId="2" borderId="7" xfId="16" applyNumberFormat="1" applyFont="1" applyFill="1" applyBorder="1" applyAlignment="1">
      <alignment horizontal="center" vertical="center"/>
    </xf>
    <xf numFmtId="170" fontId="37" fillId="2" borderId="7" xfId="16" applyNumberFormat="1" applyFont="1" applyFill="1" applyBorder="1" applyAlignment="1">
      <alignment horizontal="center" vertical="center"/>
    </xf>
    <xf numFmtId="1" fontId="37" fillId="13" borderId="7" xfId="16" applyNumberFormat="1" applyFont="1" applyFill="1" applyBorder="1" applyAlignment="1">
      <alignment horizontal="center" vertical="center"/>
    </xf>
    <xf numFmtId="170" fontId="37" fillId="13" borderId="7" xfId="16" applyNumberFormat="1" applyFont="1" applyFill="1" applyBorder="1" applyAlignment="1">
      <alignment horizontal="center" vertical="center"/>
    </xf>
    <xf numFmtId="0" fontId="35" fillId="14" borderId="7" xfId="16" applyFont="1" applyFill="1" applyBorder="1" applyAlignment="1">
      <alignment horizontal="center" vertical="center"/>
    </xf>
    <xf numFmtId="1" fontId="35" fillId="14" borderId="7" xfId="16" applyNumberFormat="1" applyFont="1" applyFill="1" applyBorder="1" applyAlignment="1">
      <alignment horizontal="center" vertical="center"/>
    </xf>
    <xf numFmtId="170" fontId="35" fillId="14" borderId="7" xfId="16" applyNumberFormat="1" applyFont="1" applyFill="1" applyBorder="1" applyAlignment="1">
      <alignment horizontal="center" vertical="center"/>
    </xf>
    <xf numFmtId="0" fontId="35" fillId="4" borderId="7" xfId="16" applyFont="1" applyFill="1" applyBorder="1" applyAlignment="1">
      <alignment horizontal="center" vertical="center"/>
    </xf>
    <xf numFmtId="1" fontId="35" fillId="4" borderId="7" xfId="16" applyNumberFormat="1" applyFont="1" applyFill="1" applyBorder="1" applyAlignment="1">
      <alignment horizontal="center" vertical="center"/>
    </xf>
    <xf numFmtId="170" fontId="35" fillId="4" borderId="7" xfId="16" applyNumberFormat="1" applyFont="1" applyFill="1" applyBorder="1" applyAlignment="1">
      <alignment horizontal="center" vertical="center"/>
    </xf>
    <xf numFmtId="0" fontId="35" fillId="7" borderId="7" xfId="16" applyFont="1" applyFill="1" applyBorder="1" applyAlignment="1">
      <alignment horizontal="center" vertical="center"/>
    </xf>
    <xf numFmtId="1" fontId="37" fillId="7" borderId="7" xfId="16" applyNumberFormat="1" applyFont="1" applyFill="1" applyBorder="1" applyAlignment="1">
      <alignment horizontal="center" vertical="center"/>
    </xf>
    <xf numFmtId="170" fontId="37" fillId="7" borderId="7" xfId="16" applyNumberFormat="1" applyFont="1" applyFill="1" applyBorder="1" applyAlignment="1">
      <alignment horizontal="center" vertical="center"/>
    </xf>
    <xf numFmtId="0" fontId="35" fillId="9" borderId="7" xfId="16" applyFont="1" applyFill="1" applyBorder="1" applyAlignment="1">
      <alignment horizontal="center" vertical="center"/>
    </xf>
    <xf numFmtId="1" fontId="37" fillId="9" borderId="7" xfId="16" applyNumberFormat="1" applyFont="1" applyFill="1" applyBorder="1" applyAlignment="1">
      <alignment horizontal="center" vertical="center"/>
    </xf>
    <xf numFmtId="170" fontId="37" fillId="9" borderId="7" xfId="16" applyNumberFormat="1" applyFont="1" applyFill="1" applyBorder="1" applyAlignment="1">
      <alignment horizontal="center" vertical="center"/>
    </xf>
    <xf numFmtId="170" fontId="33" fillId="15" borderId="7" xfId="16" applyNumberFormat="1" applyFont="1" applyFill="1" applyBorder="1" applyAlignment="1">
      <alignment horizontal="center" vertical="center"/>
    </xf>
    <xf numFmtId="0" fontId="33" fillId="12" borderId="41" xfId="16" applyFont="1" applyFill="1" applyBorder="1" applyAlignment="1">
      <alignment horizontal="center" vertical="center" wrapText="1"/>
    </xf>
    <xf numFmtId="0" fontId="34" fillId="12" borderId="40" xfId="16" applyFont="1" applyFill="1" applyBorder="1" applyAlignment="1">
      <alignment horizontal="center" vertical="center" wrapText="1"/>
    </xf>
    <xf numFmtId="0" fontId="36" fillId="12" borderId="24" xfId="16" applyFont="1" applyFill="1" applyBorder="1" applyAlignment="1">
      <alignment horizontal="left" vertical="center" wrapText="1" readingOrder="1"/>
    </xf>
    <xf numFmtId="0" fontId="36" fillId="0" borderId="20" xfId="16" applyFont="1" applyBorder="1" applyAlignment="1">
      <alignment horizontal="left" vertical="center" wrapText="1" readingOrder="1"/>
    </xf>
    <xf numFmtId="0" fontId="34" fillId="12" borderId="23" xfId="16" applyFont="1" applyFill="1" applyBorder="1" applyAlignment="1">
      <alignment horizontal="center" vertical="center" wrapText="1"/>
    </xf>
    <xf numFmtId="0" fontId="38" fillId="12" borderId="28" xfId="16" applyFont="1" applyFill="1" applyBorder="1" applyAlignment="1">
      <alignment horizontal="center" vertical="center" wrapText="1" readingOrder="1"/>
    </xf>
    <xf numFmtId="0" fontId="34" fillId="12" borderId="28" xfId="16" applyFont="1" applyFill="1" applyBorder="1" applyAlignment="1">
      <alignment horizontal="center" vertical="center" wrapText="1"/>
    </xf>
    <xf numFmtId="0" fontId="33" fillId="12" borderId="40" xfId="16" applyFont="1" applyFill="1" applyBorder="1" applyAlignment="1">
      <alignment horizontal="center" vertical="center" wrapText="1"/>
    </xf>
    <xf numFmtId="0" fontId="33" fillId="12" borderId="42" xfId="16" applyFont="1" applyFill="1" applyBorder="1" applyAlignment="1">
      <alignment horizontal="center" vertical="center" wrapText="1"/>
    </xf>
    <xf numFmtId="0" fontId="36" fillId="12" borderId="29" xfId="16" applyFont="1" applyFill="1" applyBorder="1" applyAlignment="1">
      <alignment horizontal="left" vertical="center" wrapText="1" readingOrder="1"/>
    </xf>
    <xf numFmtId="0" fontId="36" fillId="0" borderId="56" xfId="16" applyFont="1" applyBorder="1" applyAlignment="1">
      <alignment horizontal="left" vertical="center" wrapText="1" readingOrder="1"/>
    </xf>
    <xf numFmtId="0" fontId="36" fillId="0" borderId="2" xfId="16" applyFont="1" applyAlignment="1">
      <alignment horizontal="left" vertical="center" wrapText="1" readingOrder="1"/>
    </xf>
    <xf numFmtId="0" fontId="37" fillId="0" borderId="2" xfId="16" applyFont="1" applyAlignment="1">
      <alignment horizontal="center" vertical="center"/>
    </xf>
    <xf numFmtId="0" fontId="35" fillId="0" borderId="2" xfId="16" applyFont="1" applyAlignment="1">
      <alignment horizontal="center" vertical="center"/>
    </xf>
    <xf numFmtId="169" fontId="37" fillId="0" borderId="2" xfId="16" applyNumberFormat="1" applyFont="1" applyAlignment="1">
      <alignment horizontal="center" vertical="center"/>
    </xf>
    <xf numFmtId="0" fontId="38" fillId="16" borderId="62" xfId="16" applyFont="1" applyFill="1" applyBorder="1" applyAlignment="1">
      <alignment horizontal="center" vertical="center" wrapText="1" readingOrder="1"/>
    </xf>
    <xf numFmtId="0" fontId="38" fillId="16" borderId="63" xfId="16" applyFont="1" applyFill="1" applyBorder="1" applyAlignment="1">
      <alignment horizontal="center" vertical="center" wrapText="1" readingOrder="1"/>
    </xf>
    <xf numFmtId="0" fontId="36" fillId="16" borderId="64" xfId="16" applyFont="1" applyFill="1" applyBorder="1" applyAlignment="1">
      <alignment horizontal="center" vertical="center" wrapText="1" readingOrder="1"/>
    </xf>
    <xf numFmtId="0" fontId="36" fillId="17" borderId="64" xfId="16" applyFont="1" applyFill="1" applyBorder="1" applyAlignment="1">
      <alignment horizontal="center" vertical="center" wrapText="1" readingOrder="1"/>
    </xf>
    <xf numFmtId="0" fontId="36" fillId="17" borderId="62" xfId="16" applyFont="1" applyFill="1" applyBorder="1" applyAlignment="1">
      <alignment horizontal="center" vertical="center" wrapText="1" readingOrder="1"/>
    </xf>
    <xf numFmtId="0" fontId="36" fillId="16" borderId="20" xfId="16" applyFont="1" applyFill="1" applyBorder="1" applyAlignment="1">
      <alignment horizontal="center" vertical="center" wrapText="1" readingOrder="1"/>
    </xf>
    <xf numFmtId="0" fontId="36" fillId="16" borderId="7" xfId="16" applyFont="1" applyFill="1" applyBorder="1" applyAlignment="1">
      <alignment horizontal="center" vertical="center" wrapText="1" readingOrder="1"/>
    </xf>
    <xf numFmtId="0" fontId="37" fillId="2" borderId="20" xfId="16" applyFont="1" applyFill="1" applyBorder="1" applyAlignment="1">
      <alignment horizontal="center" vertical="center" wrapText="1"/>
    </xf>
    <xf numFmtId="0" fontId="37" fillId="0" borderId="65" xfId="16" applyFont="1" applyBorder="1" applyAlignment="1">
      <alignment horizontal="center" vertical="center"/>
    </xf>
    <xf numFmtId="0" fontId="36" fillId="16" borderId="7" xfId="16" applyFont="1" applyFill="1" applyBorder="1" applyAlignment="1">
      <alignment horizontal="center" vertical="center" wrapText="1" readingOrder="1"/>
    </xf>
    <xf numFmtId="0" fontId="37" fillId="0" borderId="62" xfId="16" applyFont="1" applyBorder="1" applyAlignment="1">
      <alignment horizontal="center" vertical="center"/>
    </xf>
    <xf numFmtId="0" fontId="35" fillId="7" borderId="7" xfId="16" applyFont="1" applyFill="1" applyBorder="1" applyAlignment="1">
      <alignment vertical="center" wrapText="1"/>
    </xf>
    <xf numFmtId="9" fontId="35" fillId="7" borderId="7" xfId="16" applyNumberFormat="1" applyFont="1" applyFill="1" applyBorder="1" applyAlignment="1">
      <alignment horizontal="center" vertical="center"/>
    </xf>
    <xf numFmtId="0" fontId="36" fillId="16" borderId="20" xfId="16" applyFont="1" applyFill="1" applyBorder="1" applyAlignment="1">
      <alignment horizontal="left" vertical="center" wrapText="1" readingOrder="1"/>
    </xf>
    <xf numFmtId="9" fontId="35" fillId="6" borderId="7" xfId="16" applyNumberFormat="1" applyFont="1" applyFill="1" applyBorder="1" applyAlignment="1">
      <alignment horizontal="center" vertical="center"/>
    </xf>
    <xf numFmtId="0" fontId="47" fillId="13" borderId="7" xfId="16" applyFont="1" applyFill="1" applyBorder="1" applyAlignment="1">
      <alignment vertical="center" wrapText="1"/>
    </xf>
    <xf numFmtId="0" fontId="47" fillId="13" borderId="7" xfId="16" applyFont="1" applyFill="1" applyBorder="1" applyAlignment="1">
      <alignment horizontal="center" vertical="center"/>
    </xf>
  </cellXfs>
  <cellStyles count="20">
    <cellStyle name="Hyperlink" xfId="8" builtinId="8"/>
    <cellStyle name="Hyperlink 3" xfId="4" xr:uid="{BFE66D0D-A643-9B46-8A67-522AB3045A8B}"/>
    <cellStyle name="Normal" xfId="0" builtinId="0"/>
    <cellStyle name="Normal 10" xfId="3" xr:uid="{60C16CD1-3FA3-034F-8D19-AE2630E4F026}"/>
    <cellStyle name="Normal 10 2" xfId="16" xr:uid="{AF18D1FA-CF6A-4C22-BFB0-743517E22FAF}"/>
    <cellStyle name="Normal 2" xfId="2" xr:uid="{BD4532BF-A0C2-D642-90B7-D3220B76DCB1}"/>
    <cellStyle name="Normal 2 2" xfId="17" xr:uid="{A3D64CBB-646F-4E38-B56C-462BF7F148DB}"/>
    <cellStyle name="Normal 2 3" xfId="19" xr:uid="{53FD94A3-F35E-4ADF-9F74-3174037C76E9}"/>
    <cellStyle name="Normal 2 4" xfId="14" xr:uid="{8EDF582A-D9D3-47AA-8935-9ABC419E3F65}"/>
    <cellStyle name="Normal 21" xfId="1" xr:uid="{3C464FA7-439C-634E-B719-0AA0F4E6F425}"/>
    <cellStyle name="Normal 21 2" xfId="15" xr:uid="{C8641861-C609-45F2-A281-EB5B2EAFECDE}"/>
    <cellStyle name="Normal 22" xfId="5" xr:uid="{7D5524D7-2589-704F-A973-BB4FDCE11F46}"/>
    <cellStyle name="Normal 3" xfId="6" xr:uid="{E15A48A1-4213-EC49-AB79-8C1C9EC02C82}"/>
    <cellStyle name="Normal 3 2" xfId="7" xr:uid="{C49A8999-0F8D-4891-A2F4-E503C2623348}"/>
    <cellStyle name="Normal 3 3" xfId="18" xr:uid="{6AF2C3A4-2F85-4E40-9FF3-0474E143D1FD}"/>
    <cellStyle name="Normal 4" xfId="13" xr:uid="{2F92A604-4C75-4DE9-B56C-7432E0AD5129}"/>
    <cellStyle name="Normal 5" xfId="9" xr:uid="{85D07DCD-CD08-4B6F-9B45-4FF1DAFD1AF9}"/>
    <cellStyle name="Percent 2" xfId="12" xr:uid="{8A925276-E553-4228-92E5-0B448D93A13C}"/>
    <cellStyle name="Percent 3" xfId="11" xr:uid="{6D4976C7-28A6-4CF6-9583-081CD31D44D9}"/>
    <cellStyle name="常规 2" xfId="10" xr:uid="{8EA3EC1F-DDED-4E6B-B3B4-92EF6B99657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5.emf"/><Relationship Id="rId7" Type="http://schemas.openxmlformats.org/officeDocument/2006/relationships/image" Target="../media/image9.emf"/><Relationship Id="rId2" Type="http://schemas.openxmlformats.org/officeDocument/2006/relationships/image" Target="../media/image4.emf"/><Relationship Id="rId1" Type="http://schemas.openxmlformats.org/officeDocument/2006/relationships/image" Target="../media/image3.emf"/><Relationship Id="rId6" Type="http://schemas.openxmlformats.org/officeDocument/2006/relationships/image" Target="../media/image8.emf"/><Relationship Id="rId5" Type="http://schemas.openxmlformats.org/officeDocument/2006/relationships/image" Target="../media/image7.emf"/><Relationship Id="rId4" Type="http://schemas.openxmlformats.org/officeDocument/2006/relationships/image" Target="../media/image6.png"/></Relationships>
</file>

<file path=xl/drawings/_rels/drawing4.xml.rels><?xml version="1.0" encoding="UTF-8" standalone="yes"?>
<Relationships xmlns="http://schemas.openxmlformats.org/package/2006/relationships"><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1</xdr:col>
      <xdr:colOff>2149475</xdr:colOff>
      <xdr:row>0</xdr:row>
      <xdr:rowOff>19050</xdr:rowOff>
    </xdr:from>
    <xdr:to>
      <xdr:col>1</xdr:col>
      <xdr:colOff>3183890</xdr:colOff>
      <xdr:row>5</xdr:row>
      <xdr:rowOff>154940</xdr:rowOff>
    </xdr:to>
    <xdr:pic>
      <xdr:nvPicPr>
        <xdr:cNvPr id="5" name="Picture 4" descr="A black background with red and blue text&#10;&#10;AI-generated content may be incorrect.">
          <a:extLst>
            <a:ext uri="{FF2B5EF4-FFF2-40B4-BE49-F238E27FC236}">
              <a16:creationId xmlns:a16="http://schemas.microsoft.com/office/drawing/2014/main" id="{8B02EB55-8B17-2AA9-468C-BE864A5E41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950075" y="19050"/>
          <a:ext cx="1118235" cy="93599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7124700</xdr:colOff>
      <xdr:row>0</xdr:row>
      <xdr:rowOff>0</xdr:rowOff>
    </xdr:from>
    <xdr:to>
      <xdr:col>0</xdr:col>
      <xdr:colOff>8239760</xdr:colOff>
      <xdr:row>6</xdr:row>
      <xdr:rowOff>297815</xdr:rowOff>
    </xdr:to>
    <xdr:pic>
      <xdr:nvPicPr>
        <xdr:cNvPr id="3" name="Picture 2" descr="A black background with red and blue text&#10;&#10;AI-generated content may be incorrect.">
          <a:extLst>
            <a:ext uri="{FF2B5EF4-FFF2-40B4-BE49-F238E27FC236}">
              <a16:creationId xmlns:a16="http://schemas.microsoft.com/office/drawing/2014/main" id="{576B6493-C8E2-46E6-975B-74E6D3E3959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124700" y="0"/>
          <a:ext cx="1115060" cy="93281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95676</xdr:colOff>
      <xdr:row>15</xdr:row>
      <xdr:rowOff>360258</xdr:rowOff>
    </xdr:from>
    <xdr:to>
      <xdr:col>12</xdr:col>
      <xdr:colOff>256543</xdr:colOff>
      <xdr:row>15</xdr:row>
      <xdr:rowOff>918969</xdr:rowOff>
    </xdr:to>
    <xdr:pic>
      <xdr:nvPicPr>
        <xdr:cNvPr id="2" name="Picture 1">
          <a:extLst>
            <a:ext uri="{FF2B5EF4-FFF2-40B4-BE49-F238E27FC236}">
              <a16:creationId xmlns:a16="http://schemas.microsoft.com/office/drawing/2014/main" id="{A522A5B4-3F02-44CC-9F0B-320F2B4DA9B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15036" y="3652098"/>
          <a:ext cx="3681307" cy="5587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109224</xdr:colOff>
      <xdr:row>22</xdr:row>
      <xdr:rowOff>665052</xdr:rowOff>
    </xdr:from>
    <xdr:to>
      <xdr:col>12</xdr:col>
      <xdr:colOff>254004</xdr:colOff>
      <xdr:row>23</xdr:row>
      <xdr:rowOff>30899</xdr:rowOff>
    </xdr:to>
    <xdr:pic>
      <xdr:nvPicPr>
        <xdr:cNvPr id="3" name="Picture 2">
          <a:extLst>
            <a:ext uri="{FF2B5EF4-FFF2-40B4-BE49-F238E27FC236}">
              <a16:creationId xmlns:a16="http://schemas.microsoft.com/office/drawing/2014/main" id="{55295A6F-616C-4074-A907-7C63C76BCC0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28584" y="10738692"/>
          <a:ext cx="3665220" cy="5012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5854700</xdr:colOff>
      <xdr:row>15</xdr:row>
      <xdr:rowOff>8466</xdr:rowOff>
    </xdr:from>
    <xdr:to>
      <xdr:col>6</xdr:col>
      <xdr:colOff>67733</xdr:colOff>
      <xdr:row>16</xdr:row>
      <xdr:rowOff>2540</xdr:rowOff>
    </xdr:to>
    <xdr:sp macro="" textlink="">
      <xdr:nvSpPr>
        <xdr:cNvPr id="4" name="Right Brace 3">
          <a:extLst>
            <a:ext uri="{FF2B5EF4-FFF2-40B4-BE49-F238E27FC236}">
              <a16:creationId xmlns:a16="http://schemas.microsoft.com/office/drawing/2014/main" id="{331D4FFE-65EE-48D4-9A8B-2AD083E5D6B8}"/>
            </a:ext>
          </a:extLst>
        </xdr:cNvPr>
        <xdr:cNvSpPr/>
      </xdr:nvSpPr>
      <xdr:spPr>
        <a:xfrm>
          <a:off x="9870440" y="3300306"/>
          <a:ext cx="316653" cy="1258994"/>
        </a:xfrm>
        <a:prstGeom prst="rightBrace">
          <a:avLst/>
        </a:prstGeom>
        <a:ln>
          <a:solidFill>
            <a:srgbClr val="FF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5</xdr:col>
      <xdr:colOff>0</xdr:colOff>
      <xdr:row>16</xdr:row>
      <xdr:rowOff>7620</xdr:rowOff>
    </xdr:from>
    <xdr:to>
      <xdr:col>6</xdr:col>
      <xdr:colOff>76200</xdr:colOff>
      <xdr:row>17</xdr:row>
      <xdr:rowOff>952500</xdr:rowOff>
    </xdr:to>
    <xdr:sp macro="" textlink="">
      <xdr:nvSpPr>
        <xdr:cNvPr id="5" name="Right Brace 4">
          <a:extLst>
            <a:ext uri="{FF2B5EF4-FFF2-40B4-BE49-F238E27FC236}">
              <a16:creationId xmlns:a16="http://schemas.microsoft.com/office/drawing/2014/main" id="{6B16336A-8C57-40CC-AFBF-AD6A3A319415}"/>
            </a:ext>
          </a:extLst>
        </xdr:cNvPr>
        <xdr:cNvSpPr/>
      </xdr:nvSpPr>
      <xdr:spPr>
        <a:xfrm>
          <a:off x="9867900" y="4564380"/>
          <a:ext cx="327660" cy="1790700"/>
        </a:xfrm>
        <a:prstGeom prst="rightBrace">
          <a:avLst/>
        </a:prstGeom>
        <a:ln>
          <a:solidFill>
            <a:srgbClr val="FF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5</xdr:col>
      <xdr:colOff>8467</xdr:colOff>
      <xdr:row>18</xdr:row>
      <xdr:rowOff>0</xdr:rowOff>
    </xdr:from>
    <xdr:to>
      <xdr:col>6</xdr:col>
      <xdr:colOff>93133</xdr:colOff>
      <xdr:row>20</xdr:row>
      <xdr:rowOff>0</xdr:rowOff>
    </xdr:to>
    <xdr:sp macro="" textlink="">
      <xdr:nvSpPr>
        <xdr:cNvPr id="6" name="Right Brace 5">
          <a:extLst>
            <a:ext uri="{FF2B5EF4-FFF2-40B4-BE49-F238E27FC236}">
              <a16:creationId xmlns:a16="http://schemas.microsoft.com/office/drawing/2014/main" id="{524CCB7E-DFEA-41CB-9190-5576F252673E}"/>
            </a:ext>
          </a:extLst>
        </xdr:cNvPr>
        <xdr:cNvSpPr/>
      </xdr:nvSpPr>
      <xdr:spPr>
        <a:xfrm>
          <a:off x="9876367" y="6355080"/>
          <a:ext cx="336126" cy="1805940"/>
        </a:xfrm>
        <a:prstGeom prst="rightBrace">
          <a:avLst/>
        </a:prstGeom>
        <a:ln>
          <a:solidFill>
            <a:srgbClr val="FF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4</xdr:col>
      <xdr:colOff>5842000</xdr:colOff>
      <xdr:row>20</xdr:row>
      <xdr:rowOff>6350</xdr:rowOff>
    </xdr:from>
    <xdr:to>
      <xdr:col>6</xdr:col>
      <xdr:colOff>101600</xdr:colOff>
      <xdr:row>20</xdr:row>
      <xdr:rowOff>889000</xdr:rowOff>
    </xdr:to>
    <xdr:sp macro="" textlink="">
      <xdr:nvSpPr>
        <xdr:cNvPr id="7" name="Right Brace 6">
          <a:extLst>
            <a:ext uri="{FF2B5EF4-FFF2-40B4-BE49-F238E27FC236}">
              <a16:creationId xmlns:a16="http://schemas.microsoft.com/office/drawing/2014/main" id="{48C75226-389F-43B0-AD32-1F768229F43D}"/>
            </a:ext>
          </a:extLst>
        </xdr:cNvPr>
        <xdr:cNvSpPr/>
      </xdr:nvSpPr>
      <xdr:spPr>
        <a:xfrm>
          <a:off x="9865360" y="8167370"/>
          <a:ext cx="355600" cy="753110"/>
        </a:xfrm>
        <a:prstGeom prst="rightBrace">
          <a:avLst/>
        </a:prstGeom>
        <a:ln>
          <a:solidFill>
            <a:srgbClr val="FF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4</xdr:col>
      <xdr:colOff>5749290</xdr:colOff>
      <xdr:row>21</xdr:row>
      <xdr:rowOff>0</xdr:rowOff>
    </xdr:from>
    <xdr:to>
      <xdr:col>6</xdr:col>
      <xdr:colOff>76200</xdr:colOff>
      <xdr:row>23</xdr:row>
      <xdr:rowOff>1706880</xdr:rowOff>
    </xdr:to>
    <xdr:sp macro="" textlink="">
      <xdr:nvSpPr>
        <xdr:cNvPr id="8" name="Right Brace 7">
          <a:extLst>
            <a:ext uri="{FF2B5EF4-FFF2-40B4-BE49-F238E27FC236}">
              <a16:creationId xmlns:a16="http://schemas.microsoft.com/office/drawing/2014/main" id="{818C9331-4000-4004-B1F3-87919BFDA49E}"/>
            </a:ext>
          </a:extLst>
        </xdr:cNvPr>
        <xdr:cNvSpPr/>
      </xdr:nvSpPr>
      <xdr:spPr>
        <a:xfrm>
          <a:off x="9864090" y="8923020"/>
          <a:ext cx="331470" cy="3992880"/>
        </a:xfrm>
        <a:prstGeom prst="rightBrace">
          <a:avLst/>
        </a:prstGeom>
        <a:ln>
          <a:solidFill>
            <a:srgbClr val="FF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editAs="oneCell">
    <xdr:from>
      <xdr:col>6</xdr:col>
      <xdr:colOff>124460</xdr:colOff>
      <xdr:row>8</xdr:row>
      <xdr:rowOff>143510</xdr:rowOff>
    </xdr:from>
    <xdr:to>
      <xdr:col>12</xdr:col>
      <xdr:colOff>269240</xdr:colOff>
      <xdr:row>14</xdr:row>
      <xdr:rowOff>63500</xdr:rowOff>
    </xdr:to>
    <xdr:pic>
      <xdr:nvPicPr>
        <xdr:cNvPr id="9" name="Picture 8">
          <a:extLst>
            <a:ext uri="{FF2B5EF4-FFF2-40B4-BE49-F238E27FC236}">
              <a16:creationId xmlns:a16="http://schemas.microsoft.com/office/drawing/2014/main" id="{66718DAD-2E50-4CCD-9808-0B6EE557A0F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243820" y="1606550"/>
          <a:ext cx="3665220" cy="12915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246880</xdr:colOff>
      <xdr:row>0</xdr:row>
      <xdr:rowOff>30480</xdr:rowOff>
    </xdr:from>
    <xdr:to>
      <xdr:col>12</xdr:col>
      <xdr:colOff>388620</xdr:colOff>
      <xdr:row>9</xdr:row>
      <xdr:rowOff>39650</xdr:rowOff>
    </xdr:to>
    <xdr:pic>
      <xdr:nvPicPr>
        <xdr:cNvPr id="10" name="Picture 9">
          <a:extLst>
            <a:ext uri="{FF2B5EF4-FFF2-40B4-BE49-F238E27FC236}">
              <a16:creationId xmlns:a16="http://schemas.microsoft.com/office/drawing/2014/main" id="{061C1B73-5D87-48AA-AC6A-DC27A9D94B4F}"/>
            </a:ext>
          </a:extLst>
        </xdr:cNvPr>
        <xdr:cNvPicPr>
          <a:picLocks noChangeAspect="1"/>
        </xdr:cNvPicPr>
      </xdr:nvPicPr>
      <xdr:blipFill>
        <a:blip xmlns:r="http://schemas.openxmlformats.org/officeDocument/2006/relationships" r:embed="rId4"/>
        <a:stretch>
          <a:fillRect/>
        </a:stretch>
      </xdr:blipFill>
      <xdr:spPr>
        <a:xfrm>
          <a:off x="10114780" y="30480"/>
          <a:ext cx="3913640" cy="2104670"/>
        </a:xfrm>
        <a:prstGeom prst="rect">
          <a:avLst/>
        </a:prstGeom>
      </xdr:spPr>
    </xdr:pic>
    <xdr:clientData/>
  </xdr:twoCellAnchor>
  <xdr:twoCellAnchor editAs="oneCell">
    <xdr:from>
      <xdr:col>6</xdr:col>
      <xdr:colOff>133350</xdr:colOff>
      <xdr:row>16</xdr:row>
      <xdr:rowOff>565150</xdr:rowOff>
    </xdr:from>
    <xdr:to>
      <xdr:col>12</xdr:col>
      <xdr:colOff>285750</xdr:colOff>
      <xdr:row>17</xdr:row>
      <xdr:rowOff>66040</xdr:rowOff>
    </xdr:to>
    <xdr:pic>
      <xdr:nvPicPr>
        <xdr:cNvPr id="11" name="Picture 10">
          <a:extLst>
            <a:ext uri="{FF2B5EF4-FFF2-40B4-BE49-F238E27FC236}">
              <a16:creationId xmlns:a16="http://schemas.microsoft.com/office/drawing/2014/main" id="{D725983D-4F19-4823-8F00-186A35891FE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0252710" y="5121910"/>
          <a:ext cx="3672840" cy="552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147320</xdr:colOff>
      <xdr:row>18</xdr:row>
      <xdr:rowOff>629920</xdr:rowOff>
    </xdr:from>
    <xdr:to>
      <xdr:col>12</xdr:col>
      <xdr:colOff>299720</xdr:colOff>
      <xdr:row>19</xdr:row>
      <xdr:rowOff>91440</xdr:rowOff>
    </xdr:to>
    <xdr:pic>
      <xdr:nvPicPr>
        <xdr:cNvPr id="12" name="Picture 11">
          <a:extLst>
            <a:ext uri="{FF2B5EF4-FFF2-40B4-BE49-F238E27FC236}">
              <a16:creationId xmlns:a16="http://schemas.microsoft.com/office/drawing/2014/main" id="{EFC3FB2D-084F-4D66-96E8-5E6F52764EB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0266680" y="6985000"/>
          <a:ext cx="3672840" cy="558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133350</xdr:colOff>
      <xdr:row>20</xdr:row>
      <xdr:rowOff>25400</xdr:rowOff>
    </xdr:from>
    <xdr:to>
      <xdr:col>12</xdr:col>
      <xdr:colOff>228600</xdr:colOff>
      <xdr:row>20</xdr:row>
      <xdr:rowOff>610026</xdr:rowOff>
    </xdr:to>
    <xdr:pic>
      <xdr:nvPicPr>
        <xdr:cNvPr id="13" name="Picture 15">
          <a:extLst>
            <a:ext uri="{FF2B5EF4-FFF2-40B4-BE49-F238E27FC236}">
              <a16:creationId xmlns:a16="http://schemas.microsoft.com/office/drawing/2014/main" id="{5755ABCE-4BA9-4025-9239-0A8EBD1AC8D8}"/>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0252710" y="8186420"/>
          <a:ext cx="3615690" cy="5846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742950</xdr:colOff>
      <xdr:row>0</xdr:row>
      <xdr:rowOff>9525</xdr:rowOff>
    </xdr:from>
    <xdr:to>
      <xdr:col>4</xdr:col>
      <xdr:colOff>464185</xdr:colOff>
      <xdr:row>4</xdr:row>
      <xdr:rowOff>180340</xdr:rowOff>
    </xdr:to>
    <xdr:pic>
      <xdr:nvPicPr>
        <xdr:cNvPr id="5" name="Picture 4" descr="A black background with red and blue text&#10;&#10;AI-generated content may be incorrect.">
          <a:extLst>
            <a:ext uri="{FF2B5EF4-FFF2-40B4-BE49-F238E27FC236}">
              <a16:creationId xmlns:a16="http://schemas.microsoft.com/office/drawing/2014/main" id="{50D85552-D066-4FA6-8826-FFF0D0F0F8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324475" y="9525"/>
          <a:ext cx="1115060" cy="93599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annahSibaya\Downloads\GB1524A_Wireless_Network_Change_Management_Questionnaire_v2.0.0%20(1)%20(1).xlsx" TargetMode="External"/><Relationship Id="rId1" Type="http://schemas.openxmlformats.org/officeDocument/2006/relationships/externalLinkPath" Target="file:///C:\Users\SannahSibaya\Downloads\GB1524A_Wireless_Network_Change_Management_Questionnaire_v2.0.0%20(1)%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uideline_Orange"/>
      <sheetName val="Document Title"/>
      <sheetName val="Legal Notice"/>
      <sheetName val="Guideline"/>
      <sheetName val="Questionnaire"/>
      <sheetName val="Scoring"/>
      <sheetName val="Acknowledgements"/>
      <sheetName val="Change Management_Orange"/>
      <sheetName val="Scoring_Orange"/>
      <sheetName val="Change Management-tracking_Oran"/>
    </sheetNames>
    <sheetDataSet>
      <sheetData sheetId="0"/>
      <sheetData sheetId="1"/>
      <sheetData sheetId="2"/>
      <sheetData sheetId="3"/>
      <sheetData sheetId="4">
        <row r="2">
          <cell r="K2" t="str">
            <v>Parameter Optimization &amp; Tuning</v>
          </cell>
          <cell r="L2" t="str">
            <v>Feature Activation &amp; Configuration Changes</v>
          </cell>
          <cell r="M2" t="str">
            <v>Capacity Expansions &amp; Carrier Additions</v>
          </cell>
          <cell r="N2" t="str">
            <v>Cell Site Integration &amp; Reconfiguration</v>
          </cell>
          <cell r="O2" t="str">
            <v>Software Upgrade &amp; Patches</v>
          </cell>
          <cell r="P2" t="str">
            <v>Other sub-scenarios to be defined by CSP</v>
          </cell>
        </row>
        <row r="3">
          <cell r="K3">
            <v>0.4</v>
          </cell>
          <cell r="L3">
            <v>0.2</v>
          </cell>
          <cell r="M3">
            <v>0.2</v>
          </cell>
          <cell r="N3">
            <v>0.15</v>
          </cell>
          <cell r="O3">
            <v>0.05</v>
          </cell>
        </row>
        <row r="4">
          <cell r="C4" t="str">
            <v>Intent Translation, &amp; Intent Fulfilment</v>
          </cell>
          <cell r="D4">
            <v>0.1</v>
          </cell>
          <cell r="E4" t="str">
            <v xml:space="preserve">How does the system handle intent translation and ensure successful intent fulfillment?
</v>
          </cell>
          <cell r="K4" t="str">
            <v>A</v>
          </cell>
          <cell r="L4" t="str">
            <v>A</v>
          </cell>
          <cell r="M4" t="str">
            <v>A</v>
          </cell>
          <cell r="N4" t="str">
            <v>A</v>
          </cell>
          <cell r="O4" t="str">
            <v>A</v>
          </cell>
          <cell r="P4" t="str">
            <v>A</v>
          </cell>
        </row>
        <row r="5">
          <cell r="C5" t="str">
            <v xml:space="preserve">Change Request Validation &amp; Acceptance </v>
          </cell>
          <cell r="D5">
            <v>0.1</v>
          </cell>
          <cell r="E5" t="str">
            <v xml:space="preserve">How does the System validate and accept the change request? 
</v>
          </cell>
          <cell r="K5" t="str">
            <v>A</v>
          </cell>
          <cell r="L5" t="str">
            <v>A</v>
          </cell>
          <cell r="M5" t="str">
            <v>A</v>
          </cell>
          <cell r="N5" t="str">
            <v>A</v>
          </cell>
          <cell r="O5" t="str">
            <v>A</v>
          </cell>
          <cell r="P5" t="str">
            <v>A</v>
          </cell>
        </row>
        <row r="6">
          <cell r="C6" t="str">
            <v xml:space="preserve">Change Request Information Collection </v>
          </cell>
          <cell r="D6">
            <v>0.1</v>
          </cell>
          <cell r="E6" t="str">
            <v xml:space="preserve">How does the System collect necessary information for change request?
</v>
          </cell>
          <cell r="K6" t="str">
            <v>A</v>
          </cell>
          <cell r="L6" t="str">
            <v>A</v>
          </cell>
          <cell r="M6" t="str">
            <v>A</v>
          </cell>
          <cell r="N6" t="str">
            <v>A</v>
          </cell>
          <cell r="O6" t="str">
            <v>A</v>
          </cell>
          <cell r="P6" t="str">
            <v>A</v>
          </cell>
        </row>
        <row r="7">
          <cell r="C7" t="str">
            <v>Requirements Impact &amp; Risk Analysis</v>
          </cell>
          <cell r="D7">
            <v>0.15</v>
          </cell>
          <cell r="E7" t="str">
            <v>How does the System support network change requirements impact and risk analysis?</v>
          </cell>
          <cell r="K7" t="str">
            <v>A</v>
          </cell>
          <cell r="L7" t="str">
            <v>A</v>
          </cell>
          <cell r="M7" t="str">
            <v>A</v>
          </cell>
          <cell r="N7" t="str">
            <v>A</v>
          </cell>
          <cell r="O7" t="str">
            <v>A</v>
          </cell>
          <cell r="P7" t="str">
            <v>A</v>
          </cell>
        </row>
        <row r="8">
          <cell r="C8" t="str">
            <v>Network change Solution Generation</v>
          </cell>
          <cell r="D8">
            <v>0.1</v>
          </cell>
          <cell r="E8" t="str">
            <v>How does the System generate the solution that supports the Change Request?</v>
          </cell>
          <cell r="K8" t="str">
            <v>A</v>
          </cell>
          <cell r="L8" t="str">
            <v>A</v>
          </cell>
          <cell r="M8" t="str">
            <v>A</v>
          </cell>
          <cell r="N8" t="str">
            <v>A</v>
          </cell>
          <cell r="O8" t="str">
            <v>A</v>
          </cell>
          <cell r="P8" t="str">
            <v>A</v>
          </cell>
        </row>
        <row r="9">
          <cell r="C9" t="str">
            <v>Network Change solution Evaluation &amp; Decision</v>
          </cell>
          <cell r="D9">
            <v>0.15</v>
          </cell>
          <cell r="E9" t="str">
            <v>How does the System support solution evaluation and decision to implement requested change?</v>
          </cell>
          <cell r="K9" t="str">
            <v>A</v>
          </cell>
          <cell r="L9" t="str">
            <v>A</v>
          </cell>
          <cell r="M9" t="str">
            <v>A</v>
          </cell>
          <cell r="N9" t="str">
            <v>A</v>
          </cell>
          <cell r="O9" t="str">
            <v>A</v>
          </cell>
          <cell r="P9" t="str">
            <v>A</v>
          </cell>
        </row>
        <row r="10">
          <cell r="C10" t="str">
            <v>Network Normality Verification</v>
          </cell>
          <cell r="D10">
            <v>0.1</v>
          </cell>
          <cell r="E10" t="str">
            <v>How does the System verify the normality of the network before the change? 
E.g.: automatic health check</v>
          </cell>
          <cell r="K10" t="str">
            <v>A</v>
          </cell>
          <cell r="L10" t="str">
            <v>A</v>
          </cell>
          <cell r="M10" t="str">
            <v>A</v>
          </cell>
          <cell r="N10" t="str">
            <v>A</v>
          </cell>
          <cell r="O10" t="str">
            <v>A</v>
          </cell>
          <cell r="P10" t="str">
            <v>A</v>
          </cell>
        </row>
        <row r="11">
          <cell r="C11" t="str">
            <v>Network Change Implementation</v>
          </cell>
          <cell r="D11">
            <v>0.1</v>
          </cell>
          <cell r="E11" t="str">
            <v xml:space="preserve">How does the System implement the change in the network and roll-back in case of failure?
</v>
          </cell>
          <cell r="K11" t="str">
            <v>A</v>
          </cell>
          <cell r="L11" t="str">
            <v>A</v>
          </cell>
          <cell r="M11" t="str">
            <v>A</v>
          </cell>
          <cell r="N11" t="str">
            <v>A</v>
          </cell>
          <cell r="O11" t="str">
            <v>A</v>
          </cell>
          <cell r="P11" t="str">
            <v>A</v>
          </cell>
        </row>
        <row r="12">
          <cell r="C12" t="str">
            <v>Service Verification</v>
          </cell>
          <cell r="D12">
            <v>0.1</v>
          </cell>
          <cell r="E12" t="str">
            <v xml:space="preserve">How does the System verify and confirm the change implementation results?
Note: Implementation results include network element alarms, performance indicators, inspection logs &amp; expected results of network changes. </v>
          </cell>
          <cell r="K12" t="str">
            <v>A</v>
          </cell>
          <cell r="L12" t="str">
            <v>A</v>
          </cell>
          <cell r="M12" t="str">
            <v>A</v>
          </cell>
          <cell r="N12" t="str">
            <v>A</v>
          </cell>
          <cell r="O12" t="str">
            <v>A</v>
          </cell>
          <cell r="P12" t="str">
            <v>A</v>
          </cell>
        </row>
        <row r="17">
          <cell r="A17" t="str">
            <v>First Time Right (FTR)</v>
          </cell>
          <cell r="D17">
            <v>0.6</v>
          </cell>
          <cell r="L17" t="str">
            <v>A</v>
          </cell>
        </row>
        <row r="18">
          <cell r="A18" t="str">
            <v>Change Success Rate</v>
          </cell>
          <cell r="D18">
            <v>0.4</v>
          </cell>
          <cell r="L18" t="str">
            <v>A</v>
          </cell>
        </row>
      </sheetData>
      <sheetData sheetId="5"/>
      <sheetData sheetId="6"/>
      <sheetData sheetId="7"/>
      <sheetData sheetId="8"/>
      <sheetData sheetId="9"/>
    </sheetDataSet>
  </externalBook>
</externalLink>
</file>

<file path=xl/theme/theme1.xml><?xml version="1.0" encoding="utf-8"?>
<a:theme xmlns:a="http://schemas.openxmlformats.org/drawingml/2006/main" name="Excellentable2019">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www.tmforum.org/" TargetMode="External"/><Relationship Id="rId1" Type="http://schemas.openxmlformats.org/officeDocument/2006/relationships/hyperlink" Target="https://www.tmforum.org/resources/standard/by-laws-of-tm-forum/"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60633-445A-6349-B49F-595BC2100502}">
  <dimension ref="A1:Z998"/>
  <sheetViews>
    <sheetView topLeftCell="A3" workbookViewId="0">
      <selection activeCell="A18" sqref="A18"/>
    </sheetView>
  </sheetViews>
  <sheetFormatPr defaultColWidth="10.26953125" defaultRowHeight="15" customHeight="1"/>
  <cols>
    <col min="1" max="1" width="54" style="1" customWidth="1"/>
    <col min="2" max="2" width="38" style="1" customWidth="1"/>
    <col min="3" max="26" width="6.36328125" style="1" customWidth="1"/>
    <col min="27" max="16384" width="10.26953125" style="1"/>
  </cols>
  <sheetData>
    <row r="1" spans="1:26" ht="12.75" customHeight="1">
      <c r="A1" s="2"/>
      <c r="B1" s="2"/>
      <c r="C1" s="2"/>
      <c r="D1" s="2"/>
      <c r="E1" s="2"/>
      <c r="F1" s="2"/>
      <c r="G1" s="2"/>
      <c r="H1" s="2"/>
      <c r="I1" s="2"/>
      <c r="J1" s="2"/>
      <c r="K1" s="2"/>
      <c r="L1" s="2"/>
      <c r="M1" s="2"/>
      <c r="N1" s="2"/>
      <c r="O1" s="2"/>
      <c r="P1" s="2"/>
      <c r="Q1" s="2"/>
      <c r="R1" s="2"/>
      <c r="S1" s="2"/>
      <c r="T1" s="2"/>
      <c r="U1" s="2"/>
      <c r="V1" s="2"/>
      <c r="W1" s="2"/>
      <c r="X1" s="2"/>
      <c r="Y1" s="2"/>
      <c r="Z1" s="2"/>
    </row>
    <row r="2" spans="1:26" ht="12.75" customHeight="1">
      <c r="A2" s="2"/>
      <c r="B2" s="2"/>
      <c r="C2" s="2"/>
      <c r="D2" s="2"/>
      <c r="E2" s="2"/>
      <c r="F2" s="2"/>
      <c r="G2" s="2"/>
      <c r="H2" s="2"/>
      <c r="I2" s="2"/>
      <c r="J2" s="2"/>
      <c r="K2" s="2"/>
      <c r="L2" s="2"/>
      <c r="M2" s="2"/>
      <c r="N2" s="2"/>
      <c r="O2" s="2"/>
      <c r="P2" s="2"/>
      <c r="Q2" s="2"/>
      <c r="R2" s="2"/>
      <c r="S2" s="2"/>
      <c r="T2" s="2"/>
      <c r="U2" s="2"/>
      <c r="V2" s="2"/>
      <c r="W2" s="2"/>
      <c r="X2" s="2"/>
      <c r="Y2" s="2"/>
      <c r="Z2" s="2"/>
    </row>
    <row r="3" spans="1:26" ht="12.75" customHeight="1">
      <c r="A3" s="2"/>
      <c r="B3" s="2"/>
      <c r="C3" s="2"/>
      <c r="D3" s="2"/>
      <c r="E3" s="2"/>
      <c r="F3" s="2"/>
      <c r="G3" s="2"/>
      <c r="H3" s="2"/>
      <c r="I3" s="2"/>
      <c r="J3" s="2"/>
      <c r="K3" s="2"/>
      <c r="L3" s="2"/>
      <c r="M3" s="2"/>
      <c r="N3" s="2"/>
      <c r="O3" s="2"/>
      <c r="P3" s="2"/>
      <c r="Q3" s="2"/>
      <c r="R3" s="2"/>
      <c r="S3" s="2"/>
      <c r="T3" s="2"/>
      <c r="U3" s="2"/>
      <c r="V3" s="2"/>
      <c r="W3" s="2"/>
      <c r="X3" s="2"/>
      <c r="Y3" s="2"/>
      <c r="Z3" s="2"/>
    </row>
    <row r="4" spans="1:26" ht="13.8">
      <c r="B4" s="2"/>
      <c r="C4" s="2"/>
      <c r="D4" s="2"/>
      <c r="E4" s="2"/>
      <c r="F4" s="2"/>
      <c r="G4" s="2"/>
      <c r="H4" s="2"/>
      <c r="I4" s="2"/>
      <c r="J4" s="2"/>
      <c r="K4" s="2"/>
      <c r="L4" s="2"/>
      <c r="M4" s="2"/>
      <c r="N4" s="2"/>
      <c r="O4" s="2"/>
      <c r="P4" s="2"/>
      <c r="Q4" s="2"/>
      <c r="R4" s="2"/>
      <c r="S4" s="2"/>
      <c r="T4" s="2"/>
      <c r="U4" s="2"/>
      <c r="V4" s="2"/>
      <c r="W4" s="2"/>
      <c r="X4" s="2"/>
      <c r="Y4" s="2"/>
      <c r="Z4" s="2"/>
    </row>
    <row r="5" spans="1:26" ht="12" customHeight="1">
      <c r="A5" s="3"/>
      <c r="B5" s="2"/>
      <c r="C5" s="2"/>
      <c r="D5" s="2"/>
      <c r="E5" s="2"/>
      <c r="F5" s="2"/>
      <c r="G5" s="2"/>
      <c r="H5" s="2"/>
      <c r="I5" s="2"/>
      <c r="J5" s="2"/>
      <c r="K5" s="2"/>
      <c r="L5" s="2"/>
      <c r="M5" s="2"/>
      <c r="N5" s="2"/>
      <c r="O5" s="2"/>
      <c r="P5" s="2"/>
      <c r="Q5" s="2"/>
      <c r="R5" s="2"/>
      <c r="S5" s="2"/>
      <c r="T5" s="2"/>
      <c r="U5" s="2"/>
      <c r="V5" s="2"/>
      <c r="W5" s="2"/>
      <c r="X5" s="2"/>
      <c r="Y5" s="2"/>
      <c r="Z5" s="2"/>
    </row>
    <row r="6" spans="1:26" ht="15.75" customHeight="1">
      <c r="A6" s="3"/>
      <c r="B6" s="2"/>
      <c r="C6" s="2"/>
      <c r="D6" s="2"/>
      <c r="E6" s="2"/>
      <c r="F6" s="2"/>
      <c r="G6" s="2"/>
      <c r="H6" s="2"/>
      <c r="I6" s="2"/>
      <c r="J6" s="2"/>
      <c r="K6" s="2"/>
      <c r="L6" s="2"/>
      <c r="M6" s="2"/>
      <c r="N6" s="2"/>
      <c r="O6" s="2"/>
      <c r="P6" s="2"/>
      <c r="Q6" s="2"/>
      <c r="R6" s="2"/>
      <c r="S6" s="2"/>
      <c r="T6" s="2"/>
      <c r="U6" s="2"/>
      <c r="V6" s="2"/>
      <c r="W6" s="2"/>
      <c r="X6" s="2"/>
      <c r="Y6" s="2"/>
      <c r="Z6" s="2"/>
    </row>
    <row r="7" spans="1:26" s="5" customFormat="1" ht="63" customHeight="1">
      <c r="A7" s="38" t="s">
        <v>0</v>
      </c>
      <c r="B7" s="38"/>
      <c r="C7" s="4"/>
      <c r="D7" s="4"/>
      <c r="E7" s="4"/>
      <c r="F7" s="4"/>
      <c r="G7" s="4"/>
      <c r="H7" s="4"/>
      <c r="I7" s="4"/>
      <c r="J7" s="4"/>
      <c r="K7" s="4"/>
      <c r="L7" s="4"/>
      <c r="M7" s="4"/>
      <c r="N7" s="4"/>
      <c r="O7" s="4"/>
      <c r="P7" s="4"/>
      <c r="Q7" s="4"/>
      <c r="R7" s="4"/>
      <c r="S7" s="4"/>
      <c r="T7" s="4"/>
      <c r="U7" s="4"/>
      <c r="V7" s="4"/>
      <c r="W7" s="4"/>
      <c r="X7" s="4"/>
      <c r="Y7" s="4"/>
      <c r="Z7" s="4"/>
    </row>
    <row r="8" spans="1:26" s="5" customFormat="1" ht="80.400000000000006" customHeight="1">
      <c r="A8" s="60" t="s">
        <v>32</v>
      </c>
      <c r="B8" s="60"/>
      <c r="C8" s="4"/>
      <c r="D8" s="4"/>
      <c r="E8" s="4"/>
      <c r="F8" s="4"/>
      <c r="G8" s="4"/>
      <c r="H8" s="4"/>
      <c r="I8" s="4"/>
      <c r="J8" s="4"/>
      <c r="K8" s="4"/>
      <c r="L8" s="4"/>
      <c r="M8" s="4"/>
      <c r="N8" s="4"/>
      <c r="O8" s="4"/>
      <c r="P8" s="4"/>
      <c r="Q8" s="4"/>
      <c r="R8" s="4"/>
      <c r="S8" s="4"/>
      <c r="T8" s="4"/>
      <c r="U8" s="4"/>
      <c r="V8" s="4"/>
      <c r="W8" s="4"/>
      <c r="X8" s="4"/>
      <c r="Y8" s="4"/>
      <c r="Z8" s="4"/>
    </row>
    <row r="9" spans="1:26" s="5" customFormat="1" ht="12.75" customHeight="1">
      <c r="A9" s="6"/>
      <c r="B9" s="4"/>
      <c r="C9" s="4"/>
      <c r="D9" s="4"/>
      <c r="E9" s="4"/>
      <c r="F9" s="4"/>
      <c r="G9" s="4"/>
      <c r="H9" s="4"/>
      <c r="I9" s="4"/>
      <c r="J9" s="4"/>
      <c r="K9" s="4"/>
      <c r="L9" s="4"/>
      <c r="M9" s="4"/>
      <c r="N9" s="4"/>
      <c r="O9" s="4"/>
      <c r="P9" s="4"/>
      <c r="Q9" s="4"/>
      <c r="R9" s="4"/>
      <c r="S9" s="4"/>
      <c r="T9" s="4"/>
      <c r="U9" s="4"/>
      <c r="V9" s="4"/>
      <c r="W9" s="4"/>
      <c r="X9" s="4"/>
      <c r="Y9" s="4"/>
      <c r="Z9" s="4"/>
    </row>
    <row r="10" spans="1:26" s="5" customFormat="1" ht="12.75" customHeight="1">
      <c r="A10" s="6"/>
      <c r="B10" s="4"/>
      <c r="C10" s="4"/>
      <c r="D10" s="4"/>
      <c r="E10" s="4"/>
      <c r="F10" s="4"/>
      <c r="G10" s="4"/>
      <c r="H10" s="4"/>
      <c r="I10" s="4"/>
      <c r="J10" s="4"/>
      <c r="K10" s="4"/>
      <c r="L10" s="4"/>
      <c r="M10" s="4"/>
      <c r="N10" s="4"/>
      <c r="O10" s="4"/>
      <c r="P10" s="4"/>
      <c r="Q10" s="4"/>
      <c r="R10" s="4"/>
      <c r="S10" s="4"/>
      <c r="T10" s="4"/>
      <c r="U10" s="4"/>
      <c r="V10" s="4"/>
      <c r="W10" s="4"/>
      <c r="X10" s="4"/>
      <c r="Y10" s="4"/>
      <c r="Z10" s="4"/>
    </row>
    <row r="11" spans="1:26" s="5" customFormat="1" ht="12.75" customHeight="1">
      <c r="A11" s="6"/>
      <c r="B11" s="4"/>
      <c r="C11" s="4"/>
      <c r="D11" s="4"/>
      <c r="E11" s="4"/>
      <c r="F11" s="4"/>
      <c r="G11" s="4"/>
      <c r="H11" s="4"/>
      <c r="I11" s="4"/>
      <c r="J11" s="4"/>
      <c r="K11" s="4"/>
      <c r="L11" s="4"/>
      <c r="M11" s="4"/>
      <c r="N11" s="4"/>
      <c r="O11" s="4"/>
      <c r="P11" s="4"/>
      <c r="Q11" s="4"/>
      <c r="R11" s="4"/>
      <c r="S11" s="4"/>
      <c r="T11" s="4"/>
      <c r="U11" s="4"/>
      <c r="V11" s="4"/>
      <c r="W11" s="4"/>
      <c r="X11" s="4"/>
      <c r="Y11" s="4"/>
      <c r="Z11" s="4"/>
    </row>
    <row r="12" spans="1:26" s="5" customFormat="1" ht="14.25" customHeight="1">
      <c r="A12" s="6"/>
      <c r="B12" s="4"/>
      <c r="C12" s="4"/>
      <c r="D12" s="4"/>
      <c r="E12" s="4"/>
      <c r="F12" s="4"/>
      <c r="G12" s="4"/>
      <c r="H12" s="4"/>
      <c r="I12" s="4"/>
      <c r="J12" s="4"/>
      <c r="K12" s="4"/>
      <c r="L12" s="4"/>
      <c r="M12" s="4"/>
      <c r="N12" s="4"/>
      <c r="O12" s="4"/>
      <c r="P12" s="4"/>
      <c r="Q12" s="4"/>
      <c r="R12" s="4"/>
      <c r="S12" s="4"/>
      <c r="T12" s="4"/>
      <c r="U12" s="4"/>
      <c r="V12" s="4"/>
      <c r="W12" s="4"/>
      <c r="X12" s="4"/>
      <c r="Y12" s="4"/>
      <c r="Z12" s="4"/>
    </row>
    <row r="13" spans="1:26" s="5" customFormat="1" ht="12" customHeight="1">
      <c r="A13" s="6"/>
      <c r="B13" s="4"/>
      <c r="C13" s="4"/>
      <c r="D13" s="4"/>
      <c r="E13" s="4"/>
      <c r="F13" s="4"/>
      <c r="G13" s="4"/>
      <c r="H13" s="4"/>
      <c r="I13" s="4"/>
      <c r="J13" s="4"/>
      <c r="K13" s="4"/>
      <c r="L13" s="4"/>
      <c r="M13" s="4"/>
      <c r="N13" s="4"/>
      <c r="O13" s="4"/>
      <c r="P13" s="4"/>
      <c r="Q13" s="4"/>
      <c r="R13" s="4"/>
      <c r="S13" s="4"/>
      <c r="T13" s="4"/>
      <c r="U13" s="4"/>
      <c r="V13" s="4"/>
      <c r="W13" s="4"/>
      <c r="X13" s="4"/>
      <c r="Y13" s="4"/>
      <c r="Z13" s="4"/>
    </row>
    <row r="14" spans="1:26" s="5" customFormat="1" ht="23.4">
      <c r="A14" s="6" t="s">
        <v>33</v>
      </c>
      <c r="B14" s="4"/>
      <c r="C14" s="4"/>
      <c r="D14" s="4"/>
      <c r="E14" s="4"/>
      <c r="F14" s="4"/>
      <c r="G14" s="4"/>
      <c r="H14" s="4"/>
      <c r="I14" s="4"/>
      <c r="J14" s="4"/>
      <c r="K14" s="4"/>
      <c r="L14" s="4"/>
      <c r="M14" s="4"/>
      <c r="N14" s="4"/>
      <c r="O14" s="4"/>
      <c r="P14" s="4"/>
      <c r="Q14" s="4"/>
      <c r="R14" s="4"/>
      <c r="S14" s="4"/>
      <c r="T14" s="4"/>
      <c r="U14" s="4"/>
      <c r="V14" s="4"/>
      <c r="W14" s="4"/>
      <c r="X14" s="4"/>
      <c r="Y14" s="4"/>
      <c r="Z14" s="4"/>
    </row>
    <row r="15" spans="1:26" s="5" customFormat="1" ht="11.25" customHeight="1" thickBot="1">
      <c r="A15" s="6"/>
      <c r="B15" s="4"/>
      <c r="C15" s="4"/>
      <c r="D15" s="4"/>
      <c r="E15" s="4"/>
      <c r="F15" s="4"/>
      <c r="G15" s="4"/>
      <c r="H15" s="4"/>
      <c r="I15" s="4"/>
      <c r="J15" s="4"/>
      <c r="K15" s="4"/>
      <c r="L15" s="4"/>
      <c r="M15" s="4"/>
      <c r="N15" s="4"/>
      <c r="O15" s="4"/>
      <c r="P15" s="4"/>
      <c r="Q15" s="4"/>
      <c r="R15" s="4"/>
      <c r="S15" s="4"/>
      <c r="T15" s="4"/>
      <c r="U15" s="4"/>
      <c r="V15" s="4"/>
      <c r="W15" s="4"/>
      <c r="X15" s="4"/>
      <c r="Y15" s="4"/>
      <c r="Z15" s="4"/>
    </row>
    <row r="16" spans="1:26" s="5" customFormat="1" ht="18">
      <c r="A16" s="61" t="s">
        <v>34</v>
      </c>
      <c r="B16" s="7" t="s">
        <v>1</v>
      </c>
      <c r="C16" s="4"/>
      <c r="D16" s="4"/>
      <c r="E16" s="4"/>
      <c r="F16" s="4"/>
      <c r="G16" s="4"/>
      <c r="H16" s="4"/>
      <c r="I16" s="4"/>
      <c r="J16" s="4"/>
      <c r="K16" s="4"/>
      <c r="L16" s="4"/>
      <c r="M16" s="4"/>
      <c r="N16" s="4"/>
      <c r="O16" s="4"/>
      <c r="P16" s="4"/>
      <c r="Q16" s="4"/>
      <c r="R16" s="4"/>
      <c r="S16" s="4"/>
      <c r="T16" s="4"/>
      <c r="U16" s="4"/>
      <c r="V16" s="4"/>
      <c r="W16" s="4"/>
      <c r="X16" s="4"/>
      <c r="Y16" s="4"/>
      <c r="Z16" s="4"/>
    </row>
    <row r="17" spans="1:26" s="5" customFormat="1" ht="18.600000000000001" thickBot="1">
      <c r="A17" s="8" t="s">
        <v>2</v>
      </c>
      <c r="B17" s="9" t="s">
        <v>3</v>
      </c>
      <c r="C17" s="4"/>
      <c r="D17" s="4"/>
      <c r="E17" s="4"/>
      <c r="F17" s="4"/>
      <c r="G17" s="4"/>
      <c r="H17" s="4"/>
      <c r="I17" s="4"/>
      <c r="J17" s="4"/>
      <c r="K17" s="4"/>
      <c r="L17" s="4"/>
      <c r="M17" s="4"/>
      <c r="N17" s="4"/>
      <c r="O17" s="4"/>
      <c r="P17" s="4"/>
      <c r="Q17" s="4"/>
      <c r="R17" s="4"/>
      <c r="S17" s="4"/>
      <c r="T17" s="4"/>
      <c r="U17" s="4"/>
      <c r="V17" s="4"/>
      <c r="W17" s="4"/>
      <c r="X17" s="4"/>
      <c r="Y17" s="4"/>
      <c r="Z17" s="4"/>
    </row>
    <row r="18" spans="1:26" s="5" customFormat="1" ht="18.600000000000001" thickBot="1">
      <c r="A18" s="8" t="s">
        <v>35</v>
      </c>
      <c r="B18" s="9" t="s">
        <v>4</v>
      </c>
      <c r="C18" s="4"/>
      <c r="D18" s="4"/>
      <c r="E18" s="4"/>
      <c r="F18" s="4"/>
      <c r="G18" s="4"/>
      <c r="H18" s="4"/>
      <c r="I18" s="4"/>
      <c r="J18" s="4"/>
      <c r="K18" s="4"/>
      <c r="L18" s="4"/>
      <c r="M18" s="4"/>
      <c r="N18" s="4"/>
      <c r="O18" s="4"/>
      <c r="P18" s="4"/>
      <c r="Q18" s="4"/>
      <c r="R18" s="4"/>
      <c r="S18" s="4"/>
      <c r="T18" s="4"/>
      <c r="U18" s="4"/>
      <c r="V18" s="4"/>
      <c r="W18" s="4"/>
      <c r="X18" s="4"/>
      <c r="Y18" s="4"/>
      <c r="Z18" s="4"/>
    </row>
    <row r="19" spans="1:26" s="5" customFormat="1" ht="13.8">
      <c r="A19" s="4"/>
      <c r="C19" s="4"/>
      <c r="D19" s="4"/>
      <c r="E19" s="4"/>
      <c r="F19" s="4"/>
      <c r="G19" s="4"/>
      <c r="H19" s="4"/>
      <c r="I19" s="4"/>
      <c r="J19" s="4"/>
      <c r="K19" s="4"/>
      <c r="L19" s="4"/>
      <c r="M19" s="4"/>
      <c r="N19" s="4"/>
      <c r="O19" s="4"/>
      <c r="P19" s="4"/>
      <c r="Q19" s="4"/>
      <c r="R19" s="4"/>
      <c r="S19" s="4"/>
      <c r="T19" s="4"/>
      <c r="U19" s="4"/>
      <c r="V19" s="4"/>
      <c r="W19" s="4"/>
      <c r="X19" s="4"/>
      <c r="Y19" s="4"/>
      <c r="Z19" s="4"/>
    </row>
    <row r="20" spans="1:26" s="5" customFormat="1" ht="6.75" customHeight="1">
      <c r="A20" s="4"/>
      <c r="B20" s="4"/>
      <c r="C20" s="4"/>
      <c r="D20" s="4"/>
      <c r="E20" s="4"/>
      <c r="F20" s="4"/>
      <c r="G20" s="4"/>
      <c r="H20" s="4"/>
      <c r="I20" s="4"/>
      <c r="J20" s="4"/>
      <c r="K20" s="4"/>
      <c r="L20" s="4"/>
      <c r="M20" s="4"/>
      <c r="N20" s="4"/>
      <c r="O20" s="4"/>
      <c r="P20" s="4"/>
      <c r="Q20" s="4"/>
      <c r="R20" s="4"/>
      <c r="S20" s="4"/>
      <c r="T20" s="4"/>
      <c r="U20" s="4"/>
      <c r="V20" s="4"/>
      <c r="W20" s="4"/>
      <c r="X20" s="4"/>
      <c r="Y20" s="4"/>
      <c r="Z20" s="4"/>
    </row>
    <row r="21" spans="1:26" s="5" customFormat="1" ht="12.75" customHeight="1">
      <c r="B21" s="4"/>
      <c r="C21" s="4"/>
      <c r="D21" s="4"/>
      <c r="E21" s="4"/>
      <c r="F21" s="4"/>
      <c r="G21" s="4"/>
      <c r="H21" s="4"/>
      <c r="I21" s="4"/>
      <c r="J21" s="4"/>
      <c r="K21" s="4"/>
      <c r="L21" s="4"/>
      <c r="M21" s="4"/>
      <c r="N21" s="4"/>
      <c r="O21" s="4"/>
      <c r="P21" s="4"/>
      <c r="Q21" s="4"/>
      <c r="R21" s="4"/>
      <c r="S21" s="4"/>
      <c r="T21" s="4"/>
      <c r="U21" s="4"/>
      <c r="V21" s="4"/>
      <c r="W21" s="4"/>
      <c r="X21" s="4"/>
      <c r="Y21" s="4"/>
      <c r="Z21" s="4"/>
    </row>
    <row r="22" spans="1:26" s="5" customFormat="1" ht="12.75" customHeight="1">
      <c r="B22" s="4"/>
      <c r="C22" s="4"/>
      <c r="D22" s="4"/>
      <c r="E22" s="4"/>
      <c r="F22" s="4"/>
      <c r="G22" s="4"/>
      <c r="H22" s="4"/>
      <c r="I22" s="4"/>
      <c r="J22" s="4"/>
      <c r="K22" s="4"/>
      <c r="L22" s="4"/>
      <c r="M22" s="4"/>
      <c r="N22" s="4"/>
      <c r="O22" s="4"/>
      <c r="P22" s="4"/>
      <c r="Q22" s="4"/>
      <c r="R22" s="4"/>
      <c r="S22" s="4"/>
      <c r="T22" s="4"/>
      <c r="U22" s="4"/>
      <c r="V22" s="4"/>
      <c r="W22" s="4"/>
      <c r="X22" s="4"/>
      <c r="Y22" s="4"/>
      <c r="Z22" s="4"/>
    </row>
    <row r="23" spans="1:26" s="5" customFormat="1" ht="12.7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spans="1:26" ht="12.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2.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2.75" customHeight="1">
      <c r="A26" s="10" t="s">
        <v>5</v>
      </c>
      <c r="B26" s="2"/>
      <c r="C26" s="2"/>
      <c r="D26" s="2"/>
      <c r="E26" s="2"/>
      <c r="F26" s="2"/>
      <c r="G26" s="2"/>
      <c r="H26" s="2"/>
      <c r="I26" s="2"/>
      <c r="J26" s="2"/>
      <c r="K26" s="2"/>
      <c r="L26" s="2"/>
      <c r="M26" s="2"/>
      <c r="N26" s="2"/>
      <c r="O26" s="2"/>
      <c r="P26" s="2"/>
      <c r="Q26" s="2"/>
      <c r="R26" s="2"/>
      <c r="S26" s="2"/>
      <c r="T26" s="2"/>
      <c r="U26" s="2"/>
      <c r="V26" s="2"/>
      <c r="W26" s="2"/>
      <c r="X26" s="2"/>
      <c r="Y26" s="2"/>
      <c r="Z26" s="2"/>
    </row>
    <row r="27" spans="1:26" ht="12.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2.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2.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2.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2.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2.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2.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2.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2.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2.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2.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2.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2.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2.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2.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2.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2.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2.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2.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2.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2.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2.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2.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2.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2.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2.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2.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2.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2.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2.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2.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2.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2.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2.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2.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2.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2.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2.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2.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2.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2.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2.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2.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2.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2.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2.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2.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2.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2.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2.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2.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2.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2.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2.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2.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2.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2.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2.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2.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2.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2.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2.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2.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2.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2.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2.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2.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2.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2.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2.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2.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2.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2.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2.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sheetData>
  <mergeCells count="2">
    <mergeCell ref="A7:B7"/>
    <mergeCell ref="A8:B8"/>
  </mergeCells>
  <pageMargins left="0.7" right="0.7" top="0.25" bottom="0.5" header="0" footer="0"/>
  <pageSetup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F625D-07A6-4C5A-8AAD-45BD5326E116}">
  <dimension ref="A1:Z970"/>
  <sheetViews>
    <sheetView workbookViewId="0">
      <selection activeCell="A24" sqref="A24"/>
    </sheetView>
  </sheetViews>
  <sheetFormatPr defaultColWidth="10.26953125" defaultRowHeight="15" customHeight="1"/>
  <cols>
    <col min="1" max="1" width="95.90625" style="5" customWidth="1"/>
    <col min="2" max="26" width="6.36328125" style="5" customWidth="1"/>
    <col min="27" max="16384" width="10.26953125" style="5"/>
  </cols>
  <sheetData>
    <row r="1" spans="1:26" ht="5.25" customHeight="1">
      <c r="A1" s="11"/>
      <c r="B1" s="4"/>
      <c r="C1" s="4"/>
      <c r="D1" s="4"/>
      <c r="E1" s="4"/>
      <c r="F1" s="4"/>
      <c r="G1" s="4"/>
      <c r="H1" s="4"/>
      <c r="I1" s="4"/>
      <c r="J1" s="4"/>
      <c r="K1" s="4"/>
      <c r="L1" s="4"/>
      <c r="M1" s="4"/>
      <c r="N1" s="4"/>
      <c r="O1" s="4"/>
      <c r="P1" s="4"/>
      <c r="Q1" s="4"/>
      <c r="R1" s="4"/>
      <c r="S1" s="4"/>
      <c r="T1" s="4"/>
      <c r="U1" s="4"/>
      <c r="V1" s="4"/>
      <c r="W1" s="4"/>
      <c r="X1" s="4"/>
      <c r="Y1" s="4"/>
      <c r="Z1" s="4"/>
    </row>
    <row r="2" spans="1:26" ht="24" customHeight="1">
      <c r="A2" s="11"/>
      <c r="B2" s="4"/>
      <c r="C2" s="4"/>
      <c r="D2" s="4"/>
      <c r="E2" s="4"/>
      <c r="F2" s="4"/>
      <c r="G2" s="4"/>
      <c r="H2" s="4"/>
      <c r="I2" s="4"/>
      <c r="J2" s="4"/>
      <c r="K2" s="4"/>
      <c r="L2" s="4"/>
      <c r="M2" s="4"/>
      <c r="N2" s="4"/>
      <c r="O2" s="4"/>
      <c r="P2" s="4"/>
      <c r="Q2" s="4"/>
      <c r="R2" s="4"/>
      <c r="S2" s="4"/>
      <c r="T2" s="4"/>
      <c r="U2" s="4"/>
      <c r="V2" s="4"/>
      <c r="W2" s="4"/>
      <c r="X2" s="4"/>
      <c r="Y2" s="4"/>
      <c r="Z2" s="4"/>
    </row>
    <row r="3" spans="1:26" ht="5.25" customHeight="1">
      <c r="A3" s="11"/>
      <c r="B3" s="4"/>
      <c r="C3" s="4"/>
      <c r="D3" s="4"/>
      <c r="E3" s="4"/>
      <c r="F3" s="4"/>
      <c r="G3" s="4"/>
      <c r="H3" s="4"/>
      <c r="I3" s="4"/>
      <c r="J3" s="4"/>
      <c r="K3" s="4"/>
      <c r="L3" s="4"/>
      <c r="M3" s="4"/>
      <c r="N3" s="4"/>
      <c r="O3" s="4"/>
      <c r="P3" s="4"/>
      <c r="Q3" s="4"/>
      <c r="R3" s="4"/>
      <c r="S3" s="4"/>
      <c r="T3" s="4"/>
      <c r="U3" s="4"/>
      <c r="V3" s="4"/>
      <c r="W3" s="4"/>
      <c r="X3" s="4"/>
      <c r="Y3" s="4"/>
      <c r="Z3" s="4"/>
    </row>
    <row r="4" spans="1:26" ht="5.25" customHeight="1">
      <c r="A4" s="11"/>
      <c r="B4" s="4"/>
      <c r="C4" s="4"/>
      <c r="D4" s="4"/>
      <c r="E4" s="4"/>
      <c r="F4" s="4"/>
      <c r="G4" s="4"/>
      <c r="H4" s="4"/>
      <c r="I4" s="4"/>
      <c r="J4" s="4"/>
      <c r="K4" s="4"/>
      <c r="L4" s="4"/>
      <c r="M4" s="4"/>
      <c r="N4" s="4"/>
      <c r="O4" s="4"/>
      <c r="P4" s="4"/>
      <c r="Q4" s="4"/>
      <c r="R4" s="4"/>
      <c r="S4" s="4"/>
      <c r="T4" s="4"/>
      <c r="U4" s="4"/>
      <c r="V4" s="4"/>
      <c r="W4" s="4"/>
      <c r="X4" s="4"/>
      <c r="Y4" s="4"/>
      <c r="Z4" s="4"/>
    </row>
    <row r="5" spans="1:26" ht="5.25" customHeight="1">
      <c r="A5" s="11"/>
      <c r="B5" s="4"/>
      <c r="C5" s="4"/>
      <c r="D5" s="4"/>
      <c r="E5" s="4"/>
      <c r="F5" s="4"/>
      <c r="G5" s="4"/>
      <c r="H5" s="4"/>
      <c r="I5" s="4"/>
      <c r="J5" s="4"/>
      <c r="K5" s="4"/>
      <c r="L5" s="4"/>
      <c r="M5" s="4"/>
      <c r="N5" s="4"/>
      <c r="O5" s="4"/>
      <c r="P5" s="4"/>
      <c r="Q5" s="4"/>
      <c r="R5" s="4"/>
      <c r="S5" s="4"/>
      <c r="T5" s="4"/>
      <c r="U5" s="4"/>
      <c r="V5" s="4"/>
      <c r="W5" s="4"/>
      <c r="X5" s="4"/>
      <c r="Y5" s="4"/>
      <c r="Z5" s="4"/>
    </row>
    <row r="6" spans="1:26" ht="5.25" customHeight="1">
      <c r="A6" s="11"/>
      <c r="B6" s="4"/>
      <c r="C6" s="4"/>
      <c r="D6" s="4"/>
      <c r="E6" s="4"/>
      <c r="F6" s="4"/>
      <c r="G6" s="4"/>
      <c r="H6" s="4"/>
      <c r="I6" s="4"/>
      <c r="J6" s="4"/>
      <c r="K6" s="4"/>
      <c r="L6" s="4"/>
      <c r="M6" s="4"/>
      <c r="N6" s="4"/>
      <c r="O6" s="4"/>
      <c r="P6" s="4"/>
      <c r="Q6" s="4"/>
      <c r="R6" s="4"/>
      <c r="S6" s="4"/>
      <c r="T6" s="4"/>
      <c r="U6" s="4"/>
      <c r="V6" s="4"/>
      <c r="W6" s="4"/>
      <c r="X6" s="4"/>
      <c r="Y6" s="4"/>
      <c r="Z6" s="4"/>
    </row>
    <row r="7" spans="1:26" ht="41.25" customHeight="1">
      <c r="A7" s="12" t="s">
        <v>6</v>
      </c>
      <c r="B7" s="4"/>
      <c r="C7" s="4"/>
      <c r="D7" s="4"/>
      <c r="E7" s="4"/>
      <c r="F7" s="4"/>
      <c r="G7" s="4"/>
      <c r="H7" s="4"/>
      <c r="I7" s="4"/>
      <c r="J7" s="4"/>
      <c r="K7" s="4"/>
      <c r="L7" s="4"/>
      <c r="M7" s="4"/>
      <c r="N7" s="4"/>
      <c r="O7" s="4"/>
      <c r="P7" s="4"/>
      <c r="Q7" s="4"/>
      <c r="R7" s="4"/>
      <c r="S7" s="4"/>
      <c r="T7" s="4"/>
      <c r="U7" s="4"/>
      <c r="V7" s="4"/>
      <c r="W7" s="4"/>
      <c r="X7" s="4"/>
      <c r="Y7" s="4"/>
      <c r="Z7" s="4"/>
    </row>
    <row r="8" spans="1:26" ht="15" customHeight="1">
      <c r="A8" s="13" t="s">
        <v>7</v>
      </c>
      <c r="B8" s="14"/>
      <c r="C8" s="14"/>
      <c r="D8" s="14"/>
      <c r="E8" s="14"/>
      <c r="F8" s="14"/>
      <c r="G8" s="14"/>
      <c r="H8" s="14"/>
      <c r="I8" s="14"/>
      <c r="J8" s="14"/>
      <c r="K8" s="14"/>
      <c r="L8" s="14"/>
      <c r="M8" s="14"/>
      <c r="N8" s="14"/>
      <c r="O8" s="14"/>
      <c r="P8" s="14"/>
      <c r="Q8" s="14"/>
      <c r="R8" s="14"/>
      <c r="S8" s="14"/>
      <c r="T8" s="14"/>
      <c r="U8" s="14"/>
      <c r="V8" s="14"/>
      <c r="W8" s="14"/>
      <c r="X8" s="14"/>
      <c r="Y8" s="14"/>
      <c r="Z8" s="14"/>
    </row>
    <row r="9" spans="1:26" ht="7.5" customHeight="1">
      <c r="A9" s="13"/>
      <c r="B9" s="14"/>
      <c r="C9" s="14"/>
      <c r="D9" s="14"/>
      <c r="E9" s="14"/>
      <c r="F9" s="14"/>
      <c r="G9" s="14"/>
      <c r="H9" s="14"/>
      <c r="I9" s="14"/>
      <c r="J9" s="14"/>
      <c r="K9" s="14"/>
      <c r="L9" s="14"/>
      <c r="M9" s="14"/>
      <c r="N9" s="14"/>
      <c r="O9" s="14"/>
      <c r="P9" s="14"/>
      <c r="Q9" s="14"/>
      <c r="R9" s="14"/>
      <c r="S9" s="14"/>
      <c r="T9" s="14"/>
      <c r="U9" s="14"/>
      <c r="V9" s="14"/>
      <c r="W9" s="14"/>
      <c r="X9" s="14"/>
      <c r="Y9" s="14"/>
      <c r="Z9" s="14"/>
    </row>
    <row r="10" spans="1:26" ht="120.6" customHeight="1">
      <c r="A10" s="35" t="s">
        <v>8</v>
      </c>
      <c r="B10" s="14"/>
      <c r="C10" s="14"/>
      <c r="D10" s="14"/>
      <c r="E10" s="14"/>
      <c r="F10" s="14"/>
      <c r="G10" s="14"/>
      <c r="H10" s="14"/>
      <c r="I10" s="14"/>
      <c r="J10" s="14"/>
      <c r="K10" s="14"/>
      <c r="L10" s="14"/>
      <c r="M10" s="14"/>
      <c r="N10" s="14"/>
      <c r="O10" s="14"/>
      <c r="P10" s="14"/>
      <c r="Q10" s="14"/>
      <c r="R10" s="14"/>
      <c r="S10" s="14"/>
      <c r="T10" s="14"/>
      <c r="U10" s="14"/>
      <c r="V10" s="14"/>
      <c r="W10" s="14"/>
      <c r="X10" s="14"/>
      <c r="Y10" s="14"/>
      <c r="Z10" s="14"/>
    </row>
    <row r="11" spans="1:26" ht="7.5" customHeight="1">
      <c r="A11" s="15"/>
      <c r="B11" s="14"/>
      <c r="C11" s="14"/>
      <c r="D11" s="14"/>
      <c r="E11" s="14"/>
      <c r="F11" s="14"/>
      <c r="G11" s="14"/>
      <c r="H11" s="14"/>
      <c r="I11" s="14"/>
      <c r="J11" s="14"/>
      <c r="K11" s="14"/>
      <c r="L11" s="14"/>
      <c r="M11" s="14"/>
      <c r="N11" s="14"/>
      <c r="O11" s="14"/>
      <c r="P11" s="14"/>
      <c r="Q11" s="14"/>
      <c r="R11" s="14"/>
      <c r="S11" s="14"/>
      <c r="T11" s="14"/>
      <c r="U11" s="14"/>
      <c r="V11" s="14"/>
      <c r="W11" s="14"/>
      <c r="X11" s="14"/>
      <c r="Y11" s="14"/>
      <c r="Z11" s="14"/>
    </row>
    <row r="12" spans="1:26" s="19" customFormat="1" ht="19.5" customHeight="1">
      <c r="A12" s="36" t="s">
        <v>9</v>
      </c>
      <c r="B12" s="18"/>
      <c r="C12" s="18"/>
      <c r="D12" s="18"/>
      <c r="E12" s="18"/>
      <c r="F12" s="18"/>
      <c r="G12" s="18"/>
      <c r="H12" s="18"/>
      <c r="I12" s="18"/>
      <c r="J12" s="18"/>
      <c r="K12" s="18"/>
      <c r="L12" s="18"/>
      <c r="M12" s="18"/>
      <c r="N12" s="18"/>
      <c r="O12" s="18"/>
      <c r="P12" s="18"/>
      <c r="Q12" s="18"/>
      <c r="R12" s="18"/>
      <c r="S12" s="18"/>
      <c r="T12" s="18"/>
      <c r="U12" s="18"/>
      <c r="V12" s="18"/>
      <c r="W12" s="18"/>
      <c r="X12" s="18"/>
      <c r="Y12" s="18"/>
      <c r="Z12" s="18"/>
    </row>
    <row r="13" spans="1:26" ht="7.5" customHeight="1">
      <c r="A13" s="13"/>
      <c r="B13" s="14"/>
      <c r="C13" s="14"/>
      <c r="D13" s="14"/>
      <c r="E13" s="14"/>
      <c r="F13" s="14"/>
      <c r="G13" s="14"/>
      <c r="H13" s="14"/>
      <c r="I13" s="14"/>
      <c r="J13" s="14"/>
      <c r="K13" s="14"/>
      <c r="L13" s="14"/>
      <c r="M13" s="14"/>
      <c r="N13" s="14"/>
      <c r="O13" s="14"/>
      <c r="P13" s="14"/>
      <c r="Q13" s="14"/>
      <c r="R13" s="14"/>
      <c r="S13" s="14"/>
      <c r="T13" s="14"/>
      <c r="U13" s="14"/>
      <c r="V13" s="14"/>
      <c r="W13" s="14"/>
      <c r="X13" s="14"/>
      <c r="Y13" s="14"/>
      <c r="Z13" s="14"/>
    </row>
    <row r="14" spans="1:26" s="19" customFormat="1" ht="62.4" customHeight="1">
      <c r="A14" s="36" t="s">
        <v>10</v>
      </c>
      <c r="B14" s="18"/>
      <c r="C14" s="18"/>
      <c r="D14" s="18"/>
      <c r="E14" s="18"/>
      <c r="F14" s="18"/>
      <c r="G14" s="18"/>
      <c r="H14" s="18"/>
      <c r="I14" s="18"/>
      <c r="J14" s="18"/>
      <c r="K14" s="18"/>
      <c r="L14" s="18"/>
      <c r="M14" s="18"/>
      <c r="N14" s="18"/>
      <c r="O14" s="18"/>
      <c r="P14" s="18"/>
      <c r="Q14" s="18"/>
      <c r="R14" s="18"/>
      <c r="S14" s="18"/>
      <c r="T14" s="18"/>
      <c r="U14" s="18"/>
      <c r="V14" s="18"/>
      <c r="W14" s="18"/>
      <c r="X14" s="18"/>
      <c r="Y14" s="18"/>
      <c r="Z14" s="18"/>
    </row>
    <row r="15" spans="1:26" ht="12" customHeight="1">
      <c r="A15" s="13"/>
      <c r="B15" s="14"/>
      <c r="C15" s="14"/>
      <c r="D15" s="14"/>
      <c r="E15" s="14"/>
      <c r="F15" s="14"/>
      <c r="G15" s="14"/>
      <c r="H15" s="14"/>
      <c r="I15" s="14"/>
      <c r="J15" s="14"/>
      <c r="K15" s="14"/>
      <c r="L15" s="14"/>
      <c r="M15" s="14"/>
      <c r="N15" s="14"/>
      <c r="O15" s="14"/>
      <c r="P15" s="14"/>
      <c r="Q15" s="14"/>
      <c r="R15" s="14"/>
      <c r="S15" s="14"/>
      <c r="T15" s="14"/>
      <c r="U15" s="14"/>
      <c r="V15" s="14"/>
      <c r="W15" s="14"/>
      <c r="X15" s="14"/>
      <c r="Y15" s="14"/>
      <c r="Z15" s="14"/>
    </row>
    <row r="16" spans="1:26" s="19" customFormat="1" ht="17.399999999999999" customHeight="1">
      <c r="A16" s="37" t="s">
        <v>11</v>
      </c>
      <c r="B16" s="18"/>
      <c r="C16" s="18"/>
      <c r="D16" s="18"/>
      <c r="E16" s="18"/>
      <c r="F16" s="18"/>
      <c r="G16" s="18"/>
      <c r="H16" s="18"/>
      <c r="I16" s="18"/>
      <c r="J16" s="18"/>
      <c r="K16" s="18"/>
      <c r="L16" s="18"/>
      <c r="M16" s="18"/>
      <c r="N16" s="18"/>
      <c r="O16" s="18"/>
      <c r="P16" s="18"/>
      <c r="Q16" s="18"/>
      <c r="R16" s="18"/>
      <c r="S16" s="18"/>
      <c r="T16" s="18"/>
      <c r="U16" s="18"/>
      <c r="V16" s="18"/>
      <c r="W16" s="18"/>
      <c r="X16" s="18"/>
      <c r="Y16" s="18"/>
      <c r="Z16" s="18"/>
    </row>
    <row r="17" spans="1:26" s="19" customFormat="1" ht="6" customHeight="1">
      <c r="A17" s="37"/>
      <c r="B17" s="18"/>
      <c r="C17" s="18"/>
      <c r="D17" s="18"/>
      <c r="E17" s="18"/>
      <c r="F17" s="18"/>
      <c r="G17" s="18"/>
      <c r="H17" s="18"/>
      <c r="I17" s="18"/>
      <c r="J17" s="18"/>
      <c r="K17" s="18"/>
      <c r="L17" s="18"/>
      <c r="M17" s="18"/>
      <c r="N17" s="18"/>
      <c r="O17" s="18"/>
      <c r="P17" s="18"/>
      <c r="Q17" s="18"/>
      <c r="R17" s="18"/>
      <c r="S17" s="18"/>
      <c r="T17" s="18"/>
      <c r="U17" s="18"/>
      <c r="V17" s="18"/>
      <c r="W17" s="18"/>
      <c r="X17" s="18"/>
      <c r="Y17" s="18"/>
      <c r="Z17" s="18"/>
    </row>
    <row r="18" spans="1:26" s="19" customFormat="1" ht="17.399999999999999" customHeight="1">
      <c r="A18" s="17" t="s">
        <v>12</v>
      </c>
      <c r="B18" s="18"/>
      <c r="C18" s="18"/>
      <c r="D18" s="18"/>
      <c r="E18" s="18"/>
      <c r="F18" s="18"/>
      <c r="G18" s="18"/>
      <c r="H18" s="18"/>
      <c r="I18" s="18"/>
      <c r="J18" s="18"/>
      <c r="K18" s="18"/>
      <c r="L18" s="18"/>
      <c r="M18" s="18"/>
      <c r="N18" s="18"/>
      <c r="O18" s="18"/>
      <c r="P18" s="18"/>
      <c r="Q18" s="18"/>
      <c r="R18" s="18"/>
      <c r="S18" s="18"/>
      <c r="T18" s="18"/>
      <c r="U18" s="18"/>
      <c r="V18" s="18"/>
      <c r="W18" s="18"/>
      <c r="X18" s="18"/>
      <c r="Y18" s="18"/>
      <c r="Z18" s="18"/>
    </row>
    <row r="19" spans="1:26" s="19" customFormat="1" ht="16.5" customHeight="1">
      <c r="A19" s="19" t="s">
        <v>13</v>
      </c>
      <c r="B19" s="18"/>
      <c r="C19" s="18"/>
      <c r="D19" s="18"/>
      <c r="E19" s="18"/>
      <c r="F19" s="18"/>
      <c r="G19" s="18"/>
      <c r="H19" s="18"/>
      <c r="I19" s="18"/>
      <c r="J19" s="18"/>
      <c r="K19" s="18"/>
      <c r="L19" s="18"/>
      <c r="M19" s="18"/>
      <c r="N19" s="18"/>
      <c r="O19" s="18"/>
      <c r="P19" s="18"/>
      <c r="Q19" s="18"/>
      <c r="R19" s="18"/>
      <c r="S19" s="18"/>
      <c r="T19" s="18"/>
      <c r="U19" s="18"/>
      <c r="V19" s="18"/>
      <c r="W19" s="18"/>
      <c r="X19" s="18"/>
      <c r="Y19" s="18"/>
      <c r="Z19" s="18"/>
    </row>
    <row r="20" spans="1:26" s="19" customFormat="1" ht="16.5" customHeight="1">
      <c r="A20" s="17" t="s">
        <v>14</v>
      </c>
      <c r="B20" s="18"/>
      <c r="C20" s="18"/>
      <c r="D20" s="18"/>
      <c r="E20" s="18"/>
      <c r="F20" s="18"/>
      <c r="G20" s="18"/>
      <c r="H20" s="18"/>
      <c r="I20" s="18"/>
      <c r="J20" s="18"/>
      <c r="K20" s="18"/>
      <c r="L20" s="18"/>
      <c r="M20" s="18"/>
      <c r="N20" s="18"/>
      <c r="O20" s="18"/>
      <c r="P20" s="18"/>
      <c r="Q20" s="18"/>
      <c r="R20" s="18"/>
      <c r="S20" s="18"/>
      <c r="T20" s="18"/>
      <c r="U20" s="18"/>
      <c r="V20" s="18"/>
      <c r="W20" s="18"/>
      <c r="X20" s="18"/>
      <c r="Y20" s="18"/>
      <c r="Z20" s="18"/>
    </row>
    <row r="21" spans="1:26" s="19" customFormat="1" ht="16.5" customHeight="1">
      <c r="A21" s="17" t="s">
        <v>15</v>
      </c>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spans="1:26" s="19" customFormat="1" ht="18" customHeight="1">
      <c r="A22" s="20" t="s">
        <v>16</v>
      </c>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4" spans="1:26" ht="14.4" customHeight="1">
      <c r="A24" s="10" t="s">
        <v>17</v>
      </c>
      <c r="B24" s="14"/>
      <c r="C24" s="14"/>
      <c r="D24" s="14"/>
      <c r="E24" s="14"/>
      <c r="F24" s="14"/>
      <c r="G24" s="14"/>
      <c r="H24" s="14"/>
      <c r="I24" s="14"/>
      <c r="J24" s="14"/>
      <c r="K24" s="14"/>
      <c r="L24" s="14"/>
      <c r="M24" s="14"/>
      <c r="N24" s="14"/>
      <c r="O24" s="14"/>
      <c r="P24" s="14"/>
      <c r="Q24" s="14"/>
      <c r="R24" s="14"/>
      <c r="S24" s="14"/>
      <c r="T24" s="14"/>
      <c r="U24" s="14"/>
      <c r="V24" s="14"/>
      <c r="W24" s="14"/>
      <c r="X24" s="14"/>
      <c r="Y24" s="14"/>
      <c r="Z24" s="14"/>
    </row>
    <row r="25" spans="1:26" ht="18" customHeight="1">
      <c r="A25" s="13"/>
      <c r="B25" s="14"/>
      <c r="C25" s="14"/>
      <c r="D25" s="14"/>
      <c r="E25" s="14"/>
      <c r="F25" s="14"/>
      <c r="G25" s="14"/>
      <c r="H25" s="14"/>
      <c r="I25" s="14"/>
      <c r="J25" s="14"/>
      <c r="K25" s="14"/>
      <c r="L25" s="14"/>
      <c r="M25" s="14"/>
      <c r="N25" s="14"/>
      <c r="O25" s="14"/>
      <c r="P25" s="14"/>
      <c r="Q25" s="14"/>
      <c r="R25" s="14"/>
      <c r="S25" s="14"/>
      <c r="T25" s="14"/>
      <c r="U25" s="14"/>
      <c r="V25" s="14"/>
      <c r="W25" s="14"/>
      <c r="X25" s="14"/>
      <c r="Y25" s="14"/>
      <c r="Z25" s="14"/>
    </row>
    <row r="26" spans="1:26" ht="18" customHeight="1">
      <c r="A26" s="13"/>
      <c r="B26" s="14"/>
      <c r="C26" s="14"/>
      <c r="D26" s="14"/>
      <c r="E26" s="14"/>
      <c r="F26" s="14"/>
      <c r="G26" s="14"/>
      <c r="H26" s="14"/>
      <c r="I26" s="14"/>
      <c r="J26" s="14"/>
      <c r="K26" s="14"/>
      <c r="L26" s="14"/>
      <c r="M26" s="14"/>
      <c r="N26" s="14"/>
      <c r="O26" s="14"/>
      <c r="P26" s="14"/>
      <c r="Q26" s="14"/>
      <c r="R26" s="14"/>
      <c r="S26" s="14"/>
      <c r="T26" s="14"/>
      <c r="U26" s="14"/>
      <c r="V26" s="14"/>
      <c r="W26" s="14"/>
      <c r="X26" s="14"/>
      <c r="Y26" s="14"/>
      <c r="Z26" s="14"/>
    </row>
    <row r="27" spans="1:26" ht="6.6" customHeight="1">
      <c r="A27" s="13"/>
      <c r="B27" s="14"/>
      <c r="C27" s="14"/>
      <c r="D27" s="14"/>
      <c r="E27" s="14"/>
      <c r="F27" s="14"/>
      <c r="G27" s="14"/>
      <c r="H27" s="14"/>
      <c r="I27" s="14"/>
      <c r="J27" s="14"/>
      <c r="K27" s="14"/>
      <c r="L27" s="14"/>
      <c r="M27" s="14"/>
      <c r="N27" s="14"/>
      <c r="O27" s="14"/>
      <c r="P27" s="14"/>
      <c r="Q27" s="14"/>
      <c r="R27" s="14"/>
      <c r="S27" s="14"/>
      <c r="T27" s="14"/>
      <c r="U27" s="14"/>
      <c r="V27" s="14"/>
      <c r="W27" s="14"/>
      <c r="X27" s="14"/>
      <c r="Y27" s="14"/>
      <c r="Z27" s="14"/>
    </row>
    <row r="28" spans="1:26" ht="16.5" customHeight="1">
      <c r="A28" s="10"/>
      <c r="B28" s="14"/>
      <c r="C28" s="14"/>
      <c r="D28" s="14"/>
      <c r="E28" s="14"/>
      <c r="F28" s="14"/>
      <c r="G28" s="14"/>
      <c r="H28" s="14"/>
      <c r="I28" s="14"/>
      <c r="J28" s="14"/>
      <c r="K28" s="14"/>
      <c r="L28" s="14"/>
      <c r="M28" s="14"/>
      <c r="N28" s="14"/>
      <c r="O28" s="14"/>
      <c r="P28" s="14"/>
      <c r="Q28" s="14"/>
      <c r="R28" s="14"/>
      <c r="S28" s="14"/>
      <c r="T28" s="14"/>
      <c r="U28" s="14"/>
      <c r="V28" s="14"/>
      <c r="W28" s="14"/>
      <c r="X28" s="14"/>
      <c r="Y28" s="14"/>
      <c r="Z28" s="14"/>
    </row>
    <row r="29" spans="1:26" ht="14.25" customHeight="1">
      <c r="A29" s="10"/>
      <c r="B29" s="14"/>
      <c r="C29" s="14"/>
      <c r="D29" s="14"/>
      <c r="E29" s="14"/>
      <c r="F29" s="14"/>
      <c r="G29" s="14"/>
      <c r="H29" s="14"/>
      <c r="I29" s="14"/>
      <c r="J29" s="14"/>
      <c r="K29" s="14"/>
      <c r="L29" s="14"/>
      <c r="M29" s="14"/>
      <c r="N29" s="14"/>
      <c r="O29" s="14"/>
      <c r="P29" s="14"/>
      <c r="Q29" s="14"/>
      <c r="R29" s="14"/>
      <c r="S29" s="14"/>
      <c r="T29" s="14"/>
      <c r="U29" s="14"/>
      <c r="V29" s="14"/>
      <c r="W29" s="14"/>
      <c r="X29" s="14"/>
      <c r="Y29" s="14"/>
      <c r="Z29" s="14"/>
    </row>
    <row r="30" spans="1:26" ht="14.25" customHeight="1">
      <c r="B30" s="14"/>
      <c r="C30" s="14"/>
      <c r="D30" s="14"/>
      <c r="E30" s="14"/>
      <c r="F30" s="14"/>
      <c r="G30" s="14"/>
      <c r="H30" s="14"/>
      <c r="I30" s="14"/>
      <c r="J30" s="14"/>
      <c r="K30" s="14"/>
      <c r="L30" s="14"/>
      <c r="M30" s="14"/>
      <c r="N30" s="14"/>
      <c r="O30" s="14"/>
      <c r="P30" s="14"/>
      <c r="Q30" s="14"/>
      <c r="R30" s="14"/>
      <c r="S30" s="14"/>
      <c r="T30" s="14"/>
      <c r="U30" s="14"/>
      <c r="V30" s="14"/>
      <c r="W30" s="14"/>
      <c r="X30" s="14"/>
      <c r="Y30" s="14"/>
      <c r="Z30" s="14"/>
    </row>
    <row r="31" spans="1:26" ht="5.25" customHeight="1">
      <c r="A31" s="10"/>
      <c r="B31" s="14"/>
      <c r="C31" s="14"/>
      <c r="D31" s="14"/>
      <c r="E31" s="14"/>
      <c r="F31" s="14"/>
      <c r="G31" s="14"/>
      <c r="H31" s="14"/>
      <c r="I31" s="14"/>
      <c r="J31" s="14"/>
      <c r="K31" s="14"/>
      <c r="L31" s="14"/>
      <c r="M31" s="14"/>
      <c r="N31" s="14"/>
      <c r="O31" s="14"/>
      <c r="P31" s="14"/>
      <c r="Q31" s="14"/>
      <c r="R31" s="14"/>
      <c r="S31" s="14"/>
      <c r="T31" s="14"/>
      <c r="U31" s="14"/>
      <c r="V31" s="14"/>
      <c r="W31" s="14"/>
      <c r="X31" s="14"/>
      <c r="Y31" s="14"/>
      <c r="Z31" s="14"/>
    </row>
    <row r="32" spans="1:26" ht="14.25" customHeight="1">
      <c r="A32" s="10"/>
      <c r="B32" s="14"/>
      <c r="C32" s="14"/>
      <c r="D32" s="14"/>
      <c r="E32" s="14"/>
      <c r="F32" s="14"/>
      <c r="G32" s="14"/>
      <c r="H32" s="14"/>
      <c r="I32" s="14"/>
      <c r="J32" s="14"/>
      <c r="K32" s="14"/>
      <c r="L32" s="14"/>
      <c r="M32" s="14"/>
      <c r="N32" s="14"/>
      <c r="O32" s="14"/>
      <c r="P32" s="14"/>
      <c r="Q32" s="14"/>
      <c r="R32" s="14"/>
      <c r="S32" s="14"/>
      <c r="T32" s="14"/>
      <c r="U32" s="14"/>
      <c r="V32" s="14"/>
      <c r="W32" s="14"/>
      <c r="X32" s="14"/>
      <c r="Y32" s="14"/>
      <c r="Z32" s="14"/>
    </row>
    <row r="33" spans="1:26" ht="14.25" customHeight="1">
      <c r="A33" s="10"/>
      <c r="B33" s="14"/>
      <c r="C33" s="14"/>
      <c r="D33" s="14"/>
      <c r="E33" s="14"/>
      <c r="F33" s="14"/>
      <c r="G33" s="14"/>
      <c r="H33" s="14"/>
      <c r="I33" s="14"/>
      <c r="J33" s="14"/>
      <c r="K33" s="14"/>
      <c r="L33" s="14"/>
      <c r="M33" s="14"/>
      <c r="N33" s="14"/>
      <c r="O33" s="14"/>
      <c r="P33" s="14"/>
      <c r="Q33" s="14"/>
      <c r="R33" s="14"/>
      <c r="S33" s="14"/>
      <c r="T33" s="14"/>
      <c r="U33" s="14"/>
      <c r="V33" s="14"/>
      <c r="W33" s="14"/>
      <c r="X33" s="14"/>
      <c r="Y33" s="14"/>
      <c r="Z33" s="14"/>
    </row>
    <row r="34" spans="1:26" ht="14.25" customHeight="1">
      <c r="B34" s="14"/>
      <c r="C34" s="14"/>
      <c r="D34" s="14"/>
      <c r="E34" s="14"/>
      <c r="F34" s="14"/>
      <c r="G34" s="14"/>
      <c r="H34" s="14"/>
      <c r="I34" s="14"/>
      <c r="J34" s="14"/>
      <c r="K34" s="14"/>
      <c r="L34" s="14"/>
      <c r="M34" s="14"/>
      <c r="N34" s="14"/>
      <c r="O34" s="14"/>
      <c r="P34" s="14"/>
      <c r="Q34" s="14"/>
      <c r="R34" s="14"/>
      <c r="S34" s="14"/>
      <c r="T34" s="14"/>
      <c r="U34" s="14"/>
      <c r="V34" s="14"/>
      <c r="W34" s="14"/>
      <c r="X34" s="14"/>
      <c r="Y34" s="14"/>
      <c r="Z34" s="14"/>
    </row>
    <row r="35" spans="1:26" ht="14.25" customHeight="1">
      <c r="A35" s="10"/>
      <c r="B35" s="14"/>
      <c r="C35" s="14"/>
      <c r="D35" s="14"/>
      <c r="E35" s="14"/>
      <c r="F35" s="14"/>
      <c r="G35" s="14"/>
      <c r="H35" s="14"/>
      <c r="I35" s="14"/>
      <c r="J35" s="14"/>
      <c r="K35" s="14"/>
      <c r="L35" s="14"/>
      <c r="M35" s="14"/>
      <c r="N35" s="14"/>
      <c r="O35" s="14"/>
      <c r="P35" s="14"/>
      <c r="Q35" s="14"/>
      <c r="R35" s="14"/>
      <c r="S35" s="14"/>
      <c r="T35" s="14"/>
      <c r="U35" s="14"/>
      <c r="V35" s="14"/>
      <c r="W35" s="14"/>
      <c r="X35" s="14"/>
      <c r="Y35" s="14"/>
      <c r="Z35" s="14"/>
    </row>
    <row r="36" spans="1:26" ht="60.75" customHeight="1">
      <c r="A36" s="13"/>
      <c r="B36" s="14"/>
      <c r="C36" s="14"/>
      <c r="D36" s="14"/>
      <c r="E36" s="14"/>
      <c r="F36" s="14"/>
      <c r="G36" s="14"/>
      <c r="H36" s="14"/>
      <c r="I36" s="14"/>
      <c r="J36" s="14"/>
      <c r="K36" s="14"/>
      <c r="L36" s="14"/>
      <c r="M36" s="14"/>
      <c r="N36" s="14"/>
      <c r="O36" s="14"/>
      <c r="P36" s="14"/>
      <c r="Q36" s="14"/>
      <c r="R36" s="14"/>
      <c r="S36" s="14"/>
      <c r="T36" s="14"/>
      <c r="U36" s="14"/>
      <c r="V36" s="14"/>
      <c r="W36" s="14"/>
      <c r="X36" s="14"/>
      <c r="Y36" s="14"/>
      <c r="Z36" s="14"/>
    </row>
    <row r="37" spans="1:26" ht="7.5" customHeight="1">
      <c r="A37" s="13"/>
      <c r="B37" s="14"/>
      <c r="C37" s="14"/>
      <c r="D37" s="14"/>
      <c r="E37" s="14"/>
      <c r="F37" s="14"/>
      <c r="G37" s="14"/>
      <c r="H37" s="14"/>
      <c r="I37" s="14"/>
      <c r="J37" s="14"/>
      <c r="K37" s="14"/>
      <c r="L37" s="14"/>
      <c r="M37" s="14"/>
      <c r="N37" s="14"/>
      <c r="O37" s="14"/>
      <c r="P37" s="14"/>
      <c r="Q37" s="14"/>
      <c r="R37" s="14"/>
      <c r="S37" s="14"/>
      <c r="T37" s="14"/>
      <c r="U37" s="14"/>
      <c r="V37" s="14"/>
      <c r="W37" s="14"/>
      <c r="X37" s="14"/>
      <c r="Y37" s="14"/>
      <c r="Z37" s="14"/>
    </row>
    <row r="38" spans="1:26" ht="7.5" customHeight="1">
      <c r="A38" s="13"/>
      <c r="B38" s="14"/>
      <c r="C38" s="14"/>
      <c r="D38" s="14"/>
      <c r="E38" s="14"/>
      <c r="F38" s="14"/>
      <c r="G38" s="14"/>
      <c r="H38" s="14"/>
      <c r="I38" s="14"/>
      <c r="J38" s="14"/>
      <c r="K38" s="14"/>
      <c r="L38" s="14"/>
      <c r="M38" s="14"/>
      <c r="N38" s="14"/>
      <c r="O38" s="14"/>
      <c r="P38" s="14"/>
      <c r="Q38" s="14"/>
      <c r="R38" s="14"/>
      <c r="S38" s="14"/>
      <c r="T38" s="14"/>
      <c r="U38" s="14"/>
      <c r="V38" s="14"/>
      <c r="W38" s="14"/>
      <c r="X38" s="14"/>
      <c r="Y38" s="14"/>
      <c r="Z38" s="14"/>
    </row>
    <row r="39" spans="1:26" ht="37.5" customHeight="1">
      <c r="A39" s="13"/>
      <c r="B39" s="14"/>
      <c r="C39" s="14"/>
      <c r="D39" s="14"/>
      <c r="E39" s="14"/>
      <c r="F39" s="14"/>
      <c r="G39" s="14"/>
      <c r="H39" s="14"/>
      <c r="I39" s="14"/>
      <c r="J39" s="14"/>
      <c r="K39" s="14"/>
      <c r="L39" s="14"/>
      <c r="M39" s="14"/>
      <c r="N39" s="14"/>
      <c r="O39" s="14"/>
      <c r="P39" s="14"/>
      <c r="Q39" s="14"/>
      <c r="R39" s="14"/>
      <c r="S39" s="14"/>
      <c r="T39" s="14"/>
      <c r="U39" s="14"/>
      <c r="V39" s="14"/>
      <c r="W39" s="14"/>
      <c r="X39" s="14"/>
      <c r="Y39" s="14"/>
      <c r="Z39" s="14"/>
    </row>
    <row r="40" spans="1:26" ht="7.5" customHeight="1">
      <c r="A40" s="13"/>
      <c r="B40" s="14"/>
      <c r="C40" s="14"/>
      <c r="D40" s="14"/>
      <c r="E40" s="14"/>
      <c r="F40" s="14"/>
      <c r="G40" s="14"/>
      <c r="H40" s="14"/>
      <c r="I40" s="14"/>
      <c r="J40" s="14"/>
      <c r="K40" s="14"/>
      <c r="L40" s="14"/>
      <c r="M40" s="14"/>
      <c r="N40" s="14"/>
      <c r="O40" s="14"/>
      <c r="P40" s="14"/>
      <c r="Q40" s="14"/>
      <c r="R40" s="14"/>
      <c r="S40" s="14"/>
      <c r="T40" s="14"/>
      <c r="U40" s="14"/>
      <c r="V40" s="14"/>
      <c r="W40" s="14"/>
      <c r="X40" s="14"/>
      <c r="Y40" s="14"/>
      <c r="Z40" s="14"/>
    </row>
    <row r="41" spans="1:26" ht="7.5" customHeight="1">
      <c r="A41" s="13"/>
      <c r="B41" s="14"/>
      <c r="C41" s="14"/>
      <c r="D41" s="14"/>
      <c r="E41" s="14"/>
      <c r="F41" s="14"/>
      <c r="G41" s="14"/>
      <c r="H41" s="14"/>
      <c r="I41" s="14"/>
      <c r="J41" s="14"/>
      <c r="K41" s="14"/>
      <c r="L41" s="14"/>
      <c r="M41" s="14"/>
      <c r="N41" s="14"/>
      <c r="O41" s="14"/>
      <c r="P41" s="14"/>
      <c r="Q41" s="14"/>
      <c r="R41" s="14"/>
      <c r="S41" s="14"/>
      <c r="T41" s="14"/>
      <c r="U41" s="14"/>
      <c r="V41" s="14"/>
      <c r="W41" s="14"/>
      <c r="X41" s="14"/>
      <c r="Y41" s="14"/>
      <c r="Z41" s="14"/>
    </row>
    <row r="42" spans="1:26" ht="7.5" customHeight="1">
      <c r="A42" s="13"/>
      <c r="B42" s="14"/>
      <c r="C42" s="14"/>
      <c r="D42" s="14"/>
      <c r="E42" s="14"/>
      <c r="F42" s="14"/>
      <c r="G42" s="14"/>
      <c r="H42" s="14"/>
      <c r="I42" s="14"/>
      <c r="J42" s="14"/>
      <c r="K42" s="14"/>
      <c r="L42" s="14"/>
      <c r="M42" s="14"/>
      <c r="N42" s="14"/>
      <c r="O42" s="14"/>
      <c r="P42" s="14"/>
      <c r="Q42" s="14"/>
      <c r="R42" s="14"/>
      <c r="S42" s="14"/>
      <c r="T42" s="14"/>
      <c r="U42" s="14"/>
      <c r="V42" s="14"/>
      <c r="W42" s="14"/>
      <c r="X42" s="14"/>
      <c r="Y42" s="14"/>
      <c r="Z42" s="14"/>
    </row>
    <row r="43" spans="1:26" ht="7.5" customHeight="1">
      <c r="A43" s="13"/>
      <c r="B43" s="14"/>
      <c r="C43" s="14"/>
      <c r="D43" s="14"/>
      <c r="E43" s="14"/>
      <c r="F43" s="14"/>
      <c r="G43" s="14"/>
      <c r="H43" s="14"/>
      <c r="I43" s="14"/>
      <c r="J43" s="14"/>
      <c r="K43" s="14"/>
      <c r="L43" s="14"/>
      <c r="M43" s="14"/>
      <c r="N43" s="14"/>
      <c r="O43" s="14"/>
      <c r="P43" s="14"/>
      <c r="Q43" s="14"/>
      <c r="R43" s="14"/>
      <c r="S43" s="14"/>
      <c r="T43" s="14"/>
      <c r="U43" s="14"/>
      <c r="V43" s="14"/>
      <c r="W43" s="14"/>
      <c r="X43" s="14"/>
      <c r="Y43" s="14"/>
      <c r="Z43" s="14"/>
    </row>
    <row r="44" spans="1:26" ht="7.5" customHeight="1">
      <c r="A44" s="13"/>
      <c r="B44" s="14"/>
      <c r="C44" s="14"/>
      <c r="D44" s="14"/>
      <c r="E44" s="14"/>
      <c r="F44" s="14"/>
      <c r="G44" s="14"/>
      <c r="H44" s="14"/>
      <c r="I44" s="14"/>
      <c r="J44" s="14"/>
      <c r="K44" s="14"/>
      <c r="L44" s="14"/>
      <c r="M44" s="14"/>
      <c r="N44" s="14"/>
      <c r="O44" s="14"/>
      <c r="P44" s="14"/>
      <c r="Q44" s="14"/>
      <c r="R44" s="14"/>
      <c r="S44" s="14"/>
      <c r="T44" s="14"/>
      <c r="U44" s="14"/>
      <c r="V44" s="14"/>
      <c r="W44" s="14"/>
      <c r="X44" s="14"/>
      <c r="Y44" s="14"/>
      <c r="Z44" s="14"/>
    </row>
    <row r="45" spans="1:26" ht="15" customHeight="1">
      <c r="A45" s="16"/>
      <c r="B45" s="4"/>
      <c r="C45" s="4"/>
      <c r="D45" s="4"/>
      <c r="E45" s="4"/>
      <c r="F45" s="4"/>
      <c r="G45" s="4"/>
      <c r="H45" s="4"/>
      <c r="I45" s="4"/>
      <c r="J45" s="4"/>
      <c r="K45" s="4"/>
      <c r="L45" s="4"/>
      <c r="M45" s="4"/>
      <c r="N45" s="4"/>
      <c r="O45" s="4"/>
      <c r="P45" s="4"/>
      <c r="Q45" s="4"/>
      <c r="R45" s="4"/>
      <c r="S45" s="4"/>
      <c r="T45" s="4"/>
      <c r="U45" s="4"/>
      <c r="V45" s="4"/>
      <c r="W45" s="4"/>
      <c r="X45" s="4"/>
      <c r="Y45" s="4"/>
      <c r="Z45" s="4"/>
    </row>
    <row r="46" spans="1:26" ht="15" customHeight="1">
      <c r="A46" s="16"/>
      <c r="B46" s="4"/>
      <c r="C46" s="4"/>
      <c r="D46" s="4"/>
      <c r="E46" s="4"/>
      <c r="F46" s="4"/>
      <c r="G46" s="4"/>
      <c r="H46" s="4"/>
      <c r="I46" s="4"/>
      <c r="J46" s="4"/>
      <c r="K46" s="4"/>
      <c r="L46" s="4"/>
      <c r="M46" s="4"/>
      <c r="N46" s="4"/>
      <c r="O46" s="4"/>
      <c r="P46" s="4"/>
      <c r="Q46" s="4"/>
      <c r="R46" s="4"/>
      <c r="S46" s="4"/>
      <c r="T46" s="4"/>
      <c r="U46" s="4"/>
      <c r="V46" s="4"/>
      <c r="W46" s="4"/>
      <c r="X46" s="4"/>
      <c r="Y46" s="4"/>
      <c r="Z46" s="4"/>
    </row>
    <row r="47" spans="1:26" ht="15" customHeight="1">
      <c r="A47" s="16"/>
      <c r="B47" s="4"/>
      <c r="C47" s="4"/>
      <c r="D47" s="4"/>
      <c r="E47" s="4"/>
      <c r="F47" s="4"/>
      <c r="G47" s="4"/>
      <c r="H47" s="4"/>
      <c r="I47" s="4"/>
      <c r="J47" s="4"/>
      <c r="K47" s="4"/>
      <c r="L47" s="4"/>
      <c r="M47" s="4"/>
      <c r="N47" s="4"/>
      <c r="O47" s="4"/>
      <c r="P47" s="4"/>
      <c r="Q47" s="4"/>
      <c r="R47" s="4"/>
      <c r="S47" s="4"/>
      <c r="T47" s="4"/>
      <c r="U47" s="4"/>
      <c r="V47" s="4"/>
      <c r="W47" s="4"/>
      <c r="X47" s="4"/>
      <c r="Y47" s="4"/>
      <c r="Z47" s="4"/>
    </row>
    <row r="48" spans="1:26" ht="15" customHeight="1">
      <c r="A48" s="16"/>
      <c r="B48" s="4"/>
      <c r="C48" s="4"/>
      <c r="D48" s="4"/>
      <c r="E48" s="4"/>
      <c r="F48" s="4"/>
      <c r="G48" s="4"/>
      <c r="H48" s="4"/>
      <c r="I48" s="4"/>
      <c r="J48" s="4"/>
      <c r="K48" s="4"/>
      <c r="L48" s="4"/>
      <c r="M48" s="4"/>
      <c r="N48" s="4"/>
      <c r="O48" s="4"/>
      <c r="P48" s="4"/>
      <c r="Q48" s="4"/>
      <c r="R48" s="4"/>
      <c r="S48" s="4"/>
      <c r="T48" s="4"/>
      <c r="U48" s="4"/>
      <c r="V48" s="4"/>
      <c r="W48" s="4"/>
      <c r="X48" s="4"/>
      <c r="Y48" s="4"/>
      <c r="Z48" s="4"/>
    </row>
    <row r="49" spans="1:26" ht="15" customHeight="1">
      <c r="A49" s="16"/>
      <c r="B49" s="4"/>
      <c r="C49" s="4"/>
      <c r="D49" s="4"/>
      <c r="E49" s="4"/>
      <c r="F49" s="4"/>
      <c r="G49" s="4"/>
      <c r="H49" s="4"/>
      <c r="I49" s="4"/>
      <c r="J49" s="4"/>
      <c r="K49" s="4"/>
      <c r="L49" s="4"/>
      <c r="M49" s="4"/>
      <c r="N49" s="4"/>
      <c r="O49" s="4"/>
      <c r="P49" s="4"/>
      <c r="Q49" s="4"/>
      <c r="R49" s="4"/>
      <c r="S49" s="4"/>
      <c r="T49" s="4"/>
      <c r="U49" s="4"/>
      <c r="V49" s="4"/>
      <c r="W49" s="4"/>
      <c r="X49" s="4"/>
      <c r="Y49" s="4"/>
      <c r="Z49" s="4"/>
    </row>
    <row r="50" spans="1:26" ht="15" customHeight="1">
      <c r="A50" s="16"/>
      <c r="B50" s="4"/>
      <c r="C50" s="4"/>
      <c r="D50" s="4"/>
      <c r="E50" s="4"/>
      <c r="F50" s="4"/>
      <c r="G50" s="4"/>
      <c r="H50" s="4"/>
      <c r="I50" s="4"/>
      <c r="J50" s="4"/>
      <c r="K50" s="4"/>
      <c r="L50" s="4"/>
      <c r="M50" s="4"/>
      <c r="N50" s="4"/>
      <c r="O50" s="4"/>
      <c r="P50" s="4"/>
      <c r="Q50" s="4"/>
      <c r="R50" s="4"/>
      <c r="S50" s="4"/>
      <c r="T50" s="4"/>
      <c r="U50" s="4"/>
      <c r="V50" s="4"/>
      <c r="W50" s="4"/>
      <c r="X50" s="4"/>
      <c r="Y50" s="4"/>
      <c r="Z50" s="4"/>
    </row>
    <row r="51" spans="1:26" ht="15" customHeight="1">
      <c r="A51" s="16"/>
      <c r="B51" s="4"/>
      <c r="C51" s="4"/>
      <c r="D51" s="4"/>
      <c r="E51" s="4"/>
      <c r="F51" s="4"/>
      <c r="G51" s="4"/>
      <c r="H51" s="4"/>
      <c r="I51" s="4"/>
      <c r="J51" s="4"/>
      <c r="K51" s="4"/>
      <c r="L51" s="4"/>
      <c r="M51" s="4"/>
      <c r="N51" s="4"/>
      <c r="O51" s="4"/>
      <c r="P51" s="4"/>
      <c r="Q51" s="4"/>
      <c r="R51" s="4"/>
      <c r="S51" s="4"/>
      <c r="T51" s="4"/>
      <c r="U51" s="4"/>
      <c r="V51" s="4"/>
      <c r="W51" s="4"/>
      <c r="X51" s="4"/>
      <c r="Y51" s="4"/>
      <c r="Z51" s="4"/>
    </row>
    <row r="52" spans="1:26" ht="15" customHeight="1">
      <c r="A52" s="16"/>
      <c r="B52" s="4"/>
      <c r="C52" s="4"/>
      <c r="D52" s="4"/>
      <c r="E52" s="4"/>
      <c r="F52" s="4"/>
      <c r="G52" s="4"/>
      <c r="H52" s="4"/>
      <c r="I52" s="4"/>
      <c r="J52" s="4"/>
      <c r="K52" s="4"/>
      <c r="L52" s="4"/>
      <c r="M52" s="4"/>
      <c r="N52" s="4"/>
      <c r="O52" s="4"/>
      <c r="P52" s="4"/>
      <c r="Q52" s="4"/>
      <c r="R52" s="4"/>
      <c r="S52" s="4"/>
      <c r="T52" s="4"/>
      <c r="U52" s="4"/>
      <c r="V52" s="4"/>
      <c r="W52" s="4"/>
      <c r="X52" s="4"/>
      <c r="Y52" s="4"/>
      <c r="Z52" s="4"/>
    </row>
    <row r="53" spans="1:26" ht="15" customHeight="1">
      <c r="A53" s="16"/>
      <c r="B53" s="4"/>
      <c r="C53" s="4"/>
      <c r="D53" s="4"/>
      <c r="E53" s="4"/>
      <c r="F53" s="4"/>
      <c r="G53" s="4"/>
      <c r="H53" s="4"/>
      <c r="I53" s="4"/>
      <c r="J53" s="4"/>
      <c r="K53" s="4"/>
      <c r="L53" s="4"/>
      <c r="M53" s="4"/>
      <c r="N53" s="4"/>
      <c r="O53" s="4"/>
      <c r="P53" s="4"/>
      <c r="Q53" s="4"/>
      <c r="R53" s="4"/>
      <c r="S53" s="4"/>
      <c r="T53" s="4"/>
      <c r="U53" s="4"/>
      <c r="V53" s="4"/>
      <c r="W53" s="4"/>
      <c r="X53" s="4"/>
      <c r="Y53" s="4"/>
      <c r="Z53" s="4"/>
    </row>
    <row r="54" spans="1:26" ht="15" customHeight="1">
      <c r="A54" s="16"/>
      <c r="B54" s="4"/>
      <c r="C54" s="4"/>
      <c r="D54" s="4"/>
      <c r="E54" s="4"/>
      <c r="F54" s="4"/>
      <c r="G54" s="4"/>
      <c r="H54" s="4"/>
      <c r="I54" s="4"/>
      <c r="J54" s="4"/>
      <c r="K54" s="4"/>
      <c r="L54" s="4"/>
      <c r="M54" s="4"/>
      <c r="N54" s="4"/>
      <c r="O54" s="4"/>
      <c r="P54" s="4"/>
      <c r="Q54" s="4"/>
      <c r="R54" s="4"/>
      <c r="S54" s="4"/>
      <c r="T54" s="4"/>
      <c r="U54" s="4"/>
      <c r="V54" s="4"/>
      <c r="W54" s="4"/>
      <c r="X54" s="4"/>
      <c r="Y54" s="4"/>
      <c r="Z54" s="4"/>
    </row>
    <row r="55" spans="1:26" ht="15" customHeight="1">
      <c r="A55" s="16"/>
      <c r="B55" s="4"/>
      <c r="C55" s="4"/>
      <c r="D55" s="4"/>
      <c r="E55" s="4"/>
      <c r="F55" s="4"/>
      <c r="G55" s="4"/>
      <c r="H55" s="4"/>
      <c r="I55" s="4"/>
      <c r="J55" s="4"/>
      <c r="K55" s="4"/>
      <c r="L55" s="4"/>
      <c r="M55" s="4"/>
      <c r="N55" s="4"/>
      <c r="O55" s="4"/>
      <c r="P55" s="4"/>
      <c r="Q55" s="4"/>
      <c r="R55" s="4"/>
      <c r="S55" s="4"/>
      <c r="T55" s="4"/>
      <c r="U55" s="4"/>
      <c r="V55" s="4"/>
      <c r="W55" s="4"/>
      <c r="X55" s="4"/>
      <c r="Y55" s="4"/>
      <c r="Z55" s="4"/>
    </row>
    <row r="56" spans="1:26" ht="15" customHeight="1">
      <c r="A56" s="16"/>
      <c r="B56" s="4"/>
      <c r="C56" s="4"/>
      <c r="D56" s="4"/>
      <c r="E56" s="4"/>
      <c r="F56" s="4"/>
      <c r="G56" s="4"/>
      <c r="H56" s="4"/>
      <c r="I56" s="4"/>
      <c r="J56" s="4"/>
      <c r="K56" s="4"/>
      <c r="L56" s="4"/>
      <c r="M56" s="4"/>
      <c r="N56" s="4"/>
      <c r="O56" s="4"/>
      <c r="P56" s="4"/>
      <c r="Q56" s="4"/>
      <c r="R56" s="4"/>
      <c r="S56" s="4"/>
      <c r="T56" s="4"/>
      <c r="U56" s="4"/>
      <c r="V56" s="4"/>
      <c r="W56" s="4"/>
      <c r="X56" s="4"/>
      <c r="Y56" s="4"/>
      <c r="Z56" s="4"/>
    </row>
    <row r="57" spans="1:26" ht="15" customHeight="1">
      <c r="A57" s="16"/>
      <c r="B57" s="4"/>
      <c r="C57" s="4"/>
      <c r="D57" s="4"/>
      <c r="E57" s="4"/>
      <c r="F57" s="4"/>
      <c r="G57" s="4"/>
      <c r="H57" s="4"/>
      <c r="I57" s="4"/>
      <c r="J57" s="4"/>
      <c r="K57" s="4"/>
      <c r="L57" s="4"/>
      <c r="M57" s="4"/>
      <c r="N57" s="4"/>
      <c r="O57" s="4"/>
      <c r="P57" s="4"/>
      <c r="Q57" s="4"/>
      <c r="R57" s="4"/>
      <c r="S57" s="4"/>
      <c r="T57" s="4"/>
      <c r="U57" s="4"/>
      <c r="V57" s="4"/>
      <c r="W57" s="4"/>
      <c r="X57" s="4"/>
      <c r="Y57" s="4"/>
      <c r="Z57" s="4"/>
    </row>
    <row r="58" spans="1:26" ht="15" customHeight="1">
      <c r="A58" s="16"/>
      <c r="B58" s="4"/>
      <c r="C58" s="4"/>
      <c r="D58" s="4"/>
      <c r="E58" s="4"/>
      <c r="F58" s="4"/>
      <c r="G58" s="4"/>
      <c r="H58" s="4"/>
      <c r="I58" s="4"/>
      <c r="J58" s="4"/>
      <c r="K58" s="4"/>
      <c r="L58" s="4"/>
      <c r="M58" s="4"/>
      <c r="N58" s="4"/>
      <c r="O58" s="4"/>
      <c r="P58" s="4"/>
      <c r="Q58" s="4"/>
      <c r="R58" s="4"/>
      <c r="S58" s="4"/>
      <c r="T58" s="4"/>
      <c r="U58" s="4"/>
      <c r="V58" s="4"/>
      <c r="W58" s="4"/>
      <c r="X58" s="4"/>
      <c r="Y58" s="4"/>
      <c r="Z58" s="4"/>
    </row>
    <row r="59" spans="1:26" ht="15" customHeight="1">
      <c r="A59" s="16"/>
      <c r="B59" s="4"/>
      <c r="C59" s="4"/>
      <c r="D59" s="4"/>
      <c r="E59" s="4"/>
      <c r="F59" s="4"/>
      <c r="G59" s="4"/>
      <c r="H59" s="4"/>
      <c r="I59" s="4"/>
      <c r="J59" s="4"/>
      <c r="K59" s="4"/>
      <c r="L59" s="4"/>
      <c r="M59" s="4"/>
      <c r="N59" s="4"/>
      <c r="O59" s="4"/>
      <c r="P59" s="4"/>
      <c r="Q59" s="4"/>
      <c r="R59" s="4"/>
      <c r="S59" s="4"/>
      <c r="T59" s="4"/>
      <c r="U59" s="4"/>
      <c r="V59" s="4"/>
      <c r="W59" s="4"/>
      <c r="X59" s="4"/>
      <c r="Y59" s="4"/>
      <c r="Z59" s="4"/>
    </row>
    <row r="60" spans="1:26" ht="15" customHeight="1">
      <c r="A60" s="16"/>
      <c r="B60" s="4"/>
      <c r="C60" s="4"/>
      <c r="D60" s="4"/>
      <c r="E60" s="4"/>
      <c r="F60" s="4"/>
      <c r="G60" s="4"/>
      <c r="H60" s="4"/>
      <c r="I60" s="4"/>
      <c r="J60" s="4"/>
      <c r="K60" s="4"/>
      <c r="L60" s="4"/>
      <c r="M60" s="4"/>
      <c r="N60" s="4"/>
      <c r="O60" s="4"/>
      <c r="P60" s="4"/>
      <c r="Q60" s="4"/>
      <c r="R60" s="4"/>
      <c r="S60" s="4"/>
      <c r="T60" s="4"/>
      <c r="U60" s="4"/>
      <c r="V60" s="4"/>
      <c r="W60" s="4"/>
      <c r="X60" s="4"/>
      <c r="Y60" s="4"/>
      <c r="Z60" s="4"/>
    </row>
    <row r="61" spans="1:26" ht="15" customHeight="1">
      <c r="A61" s="16"/>
      <c r="B61" s="4"/>
      <c r="C61" s="4"/>
      <c r="D61" s="4"/>
      <c r="E61" s="4"/>
      <c r="F61" s="4"/>
      <c r="G61" s="4"/>
      <c r="H61" s="4"/>
      <c r="I61" s="4"/>
      <c r="J61" s="4"/>
      <c r="K61" s="4"/>
      <c r="L61" s="4"/>
      <c r="M61" s="4"/>
      <c r="N61" s="4"/>
      <c r="O61" s="4"/>
      <c r="P61" s="4"/>
      <c r="Q61" s="4"/>
      <c r="R61" s="4"/>
      <c r="S61" s="4"/>
      <c r="T61" s="4"/>
      <c r="U61" s="4"/>
      <c r="V61" s="4"/>
      <c r="W61" s="4"/>
      <c r="X61" s="4"/>
      <c r="Y61" s="4"/>
      <c r="Z61" s="4"/>
    </row>
    <row r="62" spans="1:26" ht="15" customHeight="1">
      <c r="A62" s="16"/>
      <c r="B62" s="4"/>
      <c r="C62" s="4"/>
      <c r="D62" s="4"/>
      <c r="E62" s="4"/>
      <c r="F62" s="4"/>
      <c r="G62" s="4"/>
      <c r="H62" s="4"/>
      <c r="I62" s="4"/>
      <c r="J62" s="4"/>
      <c r="K62" s="4"/>
      <c r="L62" s="4"/>
      <c r="M62" s="4"/>
      <c r="N62" s="4"/>
      <c r="O62" s="4"/>
      <c r="P62" s="4"/>
      <c r="Q62" s="4"/>
      <c r="R62" s="4"/>
      <c r="S62" s="4"/>
      <c r="T62" s="4"/>
      <c r="U62" s="4"/>
      <c r="V62" s="4"/>
      <c r="W62" s="4"/>
      <c r="X62" s="4"/>
      <c r="Y62" s="4"/>
      <c r="Z62" s="4"/>
    </row>
    <row r="63" spans="1:26" ht="15" customHeight="1">
      <c r="A63" s="16"/>
      <c r="B63" s="4"/>
      <c r="C63" s="4"/>
      <c r="D63" s="4"/>
      <c r="E63" s="4"/>
      <c r="F63" s="4"/>
      <c r="G63" s="4"/>
      <c r="H63" s="4"/>
      <c r="I63" s="4"/>
      <c r="J63" s="4"/>
      <c r="K63" s="4"/>
      <c r="L63" s="4"/>
      <c r="M63" s="4"/>
      <c r="N63" s="4"/>
      <c r="O63" s="4"/>
      <c r="P63" s="4"/>
      <c r="Q63" s="4"/>
      <c r="R63" s="4"/>
      <c r="S63" s="4"/>
      <c r="T63" s="4"/>
      <c r="U63" s="4"/>
      <c r="V63" s="4"/>
      <c r="W63" s="4"/>
      <c r="X63" s="4"/>
      <c r="Y63" s="4"/>
      <c r="Z63" s="4"/>
    </row>
    <row r="64" spans="1:26" ht="15" customHeight="1">
      <c r="A64" s="16"/>
      <c r="B64" s="4"/>
      <c r="C64" s="4"/>
      <c r="D64" s="4"/>
      <c r="E64" s="4"/>
      <c r="F64" s="4"/>
      <c r="G64" s="4"/>
      <c r="H64" s="4"/>
      <c r="I64" s="4"/>
      <c r="J64" s="4"/>
      <c r="K64" s="4"/>
      <c r="L64" s="4"/>
      <c r="M64" s="4"/>
      <c r="N64" s="4"/>
      <c r="O64" s="4"/>
      <c r="P64" s="4"/>
      <c r="Q64" s="4"/>
      <c r="R64" s="4"/>
      <c r="S64" s="4"/>
      <c r="T64" s="4"/>
      <c r="U64" s="4"/>
      <c r="V64" s="4"/>
      <c r="W64" s="4"/>
      <c r="X64" s="4"/>
      <c r="Y64" s="4"/>
      <c r="Z64" s="4"/>
    </row>
    <row r="65" spans="1:26" ht="15" customHeight="1">
      <c r="A65" s="16"/>
      <c r="B65" s="4"/>
      <c r="C65" s="4"/>
      <c r="D65" s="4"/>
      <c r="E65" s="4"/>
      <c r="F65" s="4"/>
      <c r="G65" s="4"/>
      <c r="H65" s="4"/>
      <c r="I65" s="4"/>
      <c r="J65" s="4"/>
      <c r="K65" s="4"/>
      <c r="L65" s="4"/>
      <c r="M65" s="4"/>
      <c r="N65" s="4"/>
      <c r="O65" s="4"/>
      <c r="P65" s="4"/>
      <c r="Q65" s="4"/>
      <c r="R65" s="4"/>
      <c r="S65" s="4"/>
      <c r="T65" s="4"/>
      <c r="U65" s="4"/>
      <c r="V65" s="4"/>
      <c r="W65" s="4"/>
      <c r="X65" s="4"/>
      <c r="Y65" s="4"/>
      <c r="Z65" s="4"/>
    </row>
    <row r="66" spans="1:26" ht="15" customHeight="1">
      <c r="A66" s="16"/>
      <c r="B66" s="4"/>
      <c r="C66" s="4"/>
      <c r="D66" s="4"/>
      <c r="E66" s="4"/>
      <c r="F66" s="4"/>
      <c r="G66" s="4"/>
      <c r="H66" s="4"/>
      <c r="I66" s="4"/>
      <c r="J66" s="4"/>
      <c r="K66" s="4"/>
      <c r="L66" s="4"/>
      <c r="M66" s="4"/>
      <c r="N66" s="4"/>
      <c r="O66" s="4"/>
      <c r="P66" s="4"/>
      <c r="Q66" s="4"/>
      <c r="R66" s="4"/>
      <c r="S66" s="4"/>
      <c r="T66" s="4"/>
      <c r="U66" s="4"/>
      <c r="V66" s="4"/>
      <c r="W66" s="4"/>
      <c r="X66" s="4"/>
      <c r="Y66" s="4"/>
      <c r="Z66" s="4"/>
    </row>
    <row r="67" spans="1:26" ht="15" customHeight="1">
      <c r="A67" s="16"/>
      <c r="B67" s="4"/>
      <c r="C67" s="4"/>
      <c r="D67" s="4"/>
      <c r="E67" s="4"/>
      <c r="F67" s="4"/>
      <c r="G67" s="4"/>
      <c r="H67" s="4"/>
      <c r="I67" s="4"/>
      <c r="J67" s="4"/>
      <c r="K67" s="4"/>
      <c r="L67" s="4"/>
      <c r="M67" s="4"/>
      <c r="N67" s="4"/>
      <c r="O67" s="4"/>
      <c r="P67" s="4"/>
      <c r="Q67" s="4"/>
      <c r="R67" s="4"/>
      <c r="S67" s="4"/>
      <c r="T67" s="4"/>
      <c r="U67" s="4"/>
      <c r="V67" s="4"/>
      <c r="W67" s="4"/>
      <c r="X67" s="4"/>
      <c r="Y67" s="4"/>
      <c r="Z67" s="4"/>
    </row>
    <row r="68" spans="1:26" ht="15" customHeight="1">
      <c r="A68" s="16"/>
      <c r="B68" s="4"/>
      <c r="C68" s="4"/>
      <c r="D68" s="4"/>
      <c r="E68" s="4"/>
      <c r="F68" s="4"/>
      <c r="G68" s="4"/>
      <c r="H68" s="4"/>
      <c r="I68" s="4"/>
      <c r="J68" s="4"/>
      <c r="K68" s="4"/>
      <c r="L68" s="4"/>
      <c r="M68" s="4"/>
      <c r="N68" s="4"/>
      <c r="O68" s="4"/>
      <c r="P68" s="4"/>
      <c r="Q68" s="4"/>
      <c r="R68" s="4"/>
      <c r="S68" s="4"/>
      <c r="T68" s="4"/>
      <c r="U68" s="4"/>
      <c r="V68" s="4"/>
      <c r="W68" s="4"/>
      <c r="X68" s="4"/>
      <c r="Y68" s="4"/>
      <c r="Z68" s="4"/>
    </row>
    <row r="69" spans="1:26" ht="15" customHeight="1">
      <c r="A69" s="16"/>
      <c r="B69" s="4"/>
      <c r="C69" s="4"/>
      <c r="D69" s="4"/>
      <c r="E69" s="4"/>
      <c r="F69" s="4"/>
      <c r="G69" s="4"/>
      <c r="H69" s="4"/>
      <c r="I69" s="4"/>
      <c r="J69" s="4"/>
      <c r="K69" s="4"/>
      <c r="L69" s="4"/>
      <c r="M69" s="4"/>
      <c r="N69" s="4"/>
      <c r="O69" s="4"/>
      <c r="P69" s="4"/>
      <c r="Q69" s="4"/>
      <c r="R69" s="4"/>
      <c r="S69" s="4"/>
      <c r="T69" s="4"/>
      <c r="U69" s="4"/>
      <c r="V69" s="4"/>
      <c r="W69" s="4"/>
      <c r="X69" s="4"/>
      <c r="Y69" s="4"/>
      <c r="Z69" s="4"/>
    </row>
    <row r="70" spans="1:26" ht="15" customHeight="1">
      <c r="A70" s="16"/>
      <c r="B70" s="4"/>
      <c r="C70" s="4"/>
      <c r="D70" s="4"/>
      <c r="E70" s="4"/>
      <c r="F70" s="4"/>
      <c r="G70" s="4"/>
      <c r="H70" s="4"/>
      <c r="I70" s="4"/>
      <c r="J70" s="4"/>
      <c r="K70" s="4"/>
      <c r="L70" s="4"/>
      <c r="M70" s="4"/>
      <c r="N70" s="4"/>
      <c r="O70" s="4"/>
      <c r="P70" s="4"/>
      <c r="Q70" s="4"/>
      <c r="R70" s="4"/>
      <c r="S70" s="4"/>
      <c r="T70" s="4"/>
      <c r="U70" s="4"/>
      <c r="V70" s="4"/>
      <c r="W70" s="4"/>
      <c r="X70" s="4"/>
      <c r="Y70" s="4"/>
      <c r="Z70" s="4"/>
    </row>
    <row r="71" spans="1:26" ht="15" customHeight="1">
      <c r="A71" s="16"/>
      <c r="B71" s="4"/>
      <c r="C71" s="4"/>
      <c r="D71" s="4"/>
      <c r="E71" s="4"/>
      <c r="F71" s="4"/>
      <c r="G71" s="4"/>
      <c r="H71" s="4"/>
      <c r="I71" s="4"/>
      <c r="J71" s="4"/>
      <c r="K71" s="4"/>
      <c r="L71" s="4"/>
      <c r="M71" s="4"/>
      <c r="N71" s="4"/>
      <c r="O71" s="4"/>
      <c r="P71" s="4"/>
      <c r="Q71" s="4"/>
      <c r="R71" s="4"/>
      <c r="S71" s="4"/>
      <c r="T71" s="4"/>
      <c r="U71" s="4"/>
      <c r="V71" s="4"/>
      <c r="W71" s="4"/>
      <c r="X71" s="4"/>
      <c r="Y71" s="4"/>
      <c r="Z71" s="4"/>
    </row>
    <row r="72" spans="1:26" ht="15" customHeight="1">
      <c r="A72" s="16"/>
      <c r="B72" s="4"/>
      <c r="C72" s="4"/>
      <c r="D72" s="4"/>
      <c r="E72" s="4"/>
      <c r="F72" s="4"/>
      <c r="G72" s="4"/>
      <c r="H72" s="4"/>
      <c r="I72" s="4"/>
      <c r="J72" s="4"/>
      <c r="K72" s="4"/>
      <c r="L72" s="4"/>
      <c r="M72" s="4"/>
      <c r="N72" s="4"/>
      <c r="O72" s="4"/>
      <c r="P72" s="4"/>
      <c r="Q72" s="4"/>
      <c r="R72" s="4"/>
      <c r="S72" s="4"/>
      <c r="T72" s="4"/>
      <c r="U72" s="4"/>
      <c r="V72" s="4"/>
      <c r="W72" s="4"/>
      <c r="X72" s="4"/>
      <c r="Y72" s="4"/>
      <c r="Z72" s="4"/>
    </row>
    <row r="73" spans="1:26" ht="15" customHeight="1">
      <c r="A73" s="16"/>
      <c r="B73" s="4"/>
      <c r="C73" s="4"/>
      <c r="D73" s="4"/>
      <c r="E73" s="4"/>
      <c r="F73" s="4"/>
      <c r="G73" s="4"/>
      <c r="H73" s="4"/>
      <c r="I73" s="4"/>
      <c r="J73" s="4"/>
      <c r="K73" s="4"/>
      <c r="L73" s="4"/>
      <c r="M73" s="4"/>
      <c r="N73" s="4"/>
      <c r="O73" s="4"/>
      <c r="P73" s="4"/>
      <c r="Q73" s="4"/>
      <c r="R73" s="4"/>
      <c r="S73" s="4"/>
      <c r="T73" s="4"/>
      <c r="U73" s="4"/>
      <c r="V73" s="4"/>
      <c r="W73" s="4"/>
      <c r="X73" s="4"/>
      <c r="Y73" s="4"/>
      <c r="Z73" s="4"/>
    </row>
    <row r="74" spans="1:26" ht="12.75" customHeight="1">
      <c r="A74" s="11"/>
      <c r="B74" s="4"/>
      <c r="C74" s="4"/>
      <c r="D74" s="4"/>
      <c r="E74" s="4"/>
      <c r="F74" s="4"/>
      <c r="G74" s="4"/>
      <c r="H74" s="4"/>
      <c r="I74" s="4"/>
      <c r="J74" s="4"/>
      <c r="K74" s="4"/>
      <c r="L74" s="4"/>
      <c r="M74" s="4"/>
      <c r="N74" s="4"/>
      <c r="O74" s="4"/>
      <c r="P74" s="4"/>
      <c r="Q74" s="4"/>
      <c r="R74" s="4"/>
      <c r="S74" s="4"/>
      <c r="T74" s="4"/>
      <c r="U74" s="4"/>
      <c r="V74" s="4"/>
      <c r="W74" s="4"/>
      <c r="X74" s="4"/>
      <c r="Y74" s="4"/>
      <c r="Z74" s="4"/>
    </row>
    <row r="75" spans="1:26" ht="12.75" customHeight="1">
      <c r="A75" s="11"/>
      <c r="B75" s="4"/>
      <c r="C75" s="4"/>
      <c r="D75" s="4"/>
      <c r="E75" s="4"/>
      <c r="F75" s="4"/>
      <c r="G75" s="4"/>
      <c r="H75" s="4"/>
      <c r="I75" s="4"/>
      <c r="J75" s="4"/>
      <c r="K75" s="4"/>
      <c r="L75" s="4"/>
      <c r="M75" s="4"/>
      <c r="N75" s="4"/>
      <c r="O75" s="4"/>
      <c r="P75" s="4"/>
      <c r="Q75" s="4"/>
      <c r="R75" s="4"/>
      <c r="S75" s="4"/>
      <c r="T75" s="4"/>
      <c r="U75" s="4"/>
      <c r="V75" s="4"/>
      <c r="W75" s="4"/>
      <c r="X75" s="4"/>
      <c r="Y75" s="4"/>
      <c r="Z75" s="4"/>
    </row>
    <row r="76" spans="1:26" ht="12.75" customHeight="1">
      <c r="A76" s="11"/>
      <c r="B76" s="4"/>
      <c r="C76" s="4"/>
      <c r="D76" s="4"/>
      <c r="E76" s="4"/>
      <c r="F76" s="4"/>
      <c r="G76" s="4"/>
      <c r="H76" s="4"/>
      <c r="I76" s="4"/>
      <c r="J76" s="4"/>
      <c r="K76" s="4"/>
      <c r="L76" s="4"/>
      <c r="M76" s="4"/>
      <c r="N76" s="4"/>
      <c r="O76" s="4"/>
      <c r="P76" s="4"/>
      <c r="Q76" s="4"/>
      <c r="R76" s="4"/>
      <c r="S76" s="4"/>
      <c r="T76" s="4"/>
      <c r="U76" s="4"/>
      <c r="V76" s="4"/>
      <c r="W76" s="4"/>
      <c r="X76" s="4"/>
      <c r="Y76" s="4"/>
      <c r="Z76" s="4"/>
    </row>
    <row r="77" spans="1:26" ht="12.75" customHeight="1">
      <c r="A77" s="11"/>
      <c r="B77" s="4"/>
      <c r="C77" s="4"/>
      <c r="D77" s="4"/>
      <c r="E77" s="4"/>
      <c r="F77" s="4"/>
      <c r="G77" s="4"/>
      <c r="H77" s="4"/>
      <c r="I77" s="4"/>
      <c r="J77" s="4"/>
      <c r="K77" s="4"/>
      <c r="L77" s="4"/>
      <c r="M77" s="4"/>
      <c r="N77" s="4"/>
      <c r="O77" s="4"/>
      <c r="P77" s="4"/>
      <c r="Q77" s="4"/>
      <c r="R77" s="4"/>
      <c r="S77" s="4"/>
      <c r="T77" s="4"/>
      <c r="U77" s="4"/>
      <c r="V77" s="4"/>
      <c r="W77" s="4"/>
      <c r="X77" s="4"/>
      <c r="Y77" s="4"/>
      <c r="Z77" s="4"/>
    </row>
    <row r="78" spans="1:26" ht="12.75" customHeight="1">
      <c r="A78" s="11"/>
      <c r="B78" s="4"/>
      <c r="C78" s="4"/>
      <c r="D78" s="4"/>
      <c r="E78" s="4"/>
      <c r="F78" s="4"/>
      <c r="G78" s="4"/>
      <c r="H78" s="4"/>
      <c r="I78" s="4"/>
      <c r="J78" s="4"/>
      <c r="K78" s="4"/>
      <c r="L78" s="4"/>
      <c r="M78" s="4"/>
      <c r="N78" s="4"/>
      <c r="O78" s="4"/>
      <c r="P78" s="4"/>
      <c r="Q78" s="4"/>
      <c r="R78" s="4"/>
      <c r="S78" s="4"/>
      <c r="T78" s="4"/>
      <c r="U78" s="4"/>
      <c r="V78" s="4"/>
      <c r="W78" s="4"/>
      <c r="X78" s="4"/>
      <c r="Y78" s="4"/>
      <c r="Z78" s="4"/>
    </row>
    <row r="79" spans="1:26" ht="12.75" customHeight="1">
      <c r="A79" s="11"/>
      <c r="B79" s="4"/>
      <c r="C79" s="4"/>
      <c r="D79" s="4"/>
      <c r="E79" s="4"/>
      <c r="F79" s="4"/>
      <c r="G79" s="4"/>
      <c r="H79" s="4"/>
      <c r="I79" s="4"/>
      <c r="J79" s="4"/>
      <c r="K79" s="4"/>
      <c r="L79" s="4"/>
      <c r="M79" s="4"/>
      <c r="N79" s="4"/>
      <c r="O79" s="4"/>
      <c r="P79" s="4"/>
      <c r="Q79" s="4"/>
      <c r="R79" s="4"/>
      <c r="S79" s="4"/>
      <c r="T79" s="4"/>
      <c r="U79" s="4"/>
      <c r="V79" s="4"/>
      <c r="W79" s="4"/>
      <c r="X79" s="4"/>
      <c r="Y79" s="4"/>
      <c r="Z79" s="4"/>
    </row>
    <row r="80" spans="1:26" ht="12.75" customHeight="1">
      <c r="A80" s="11"/>
      <c r="B80" s="4"/>
      <c r="C80" s="4"/>
      <c r="D80" s="4"/>
      <c r="E80" s="4"/>
      <c r="F80" s="4"/>
      <c r="G80" s="4"/>
      <c r="H80" s="4"/>
      <c r="I80" s="4"/>
      <c r="J80" s="4"/>
      <c r="K80" s="4"/>
      <c r="L80" s="4"/>
      <c r="M80" s="4"/>
      <c r="N80" s="4"/>
      <c r="O80" s="4"/>
      <c r="P80" s="4"/>
      <c r="Q80" s="4"/>
      <c r="R80" s="4"/>
      <c r="S80" s="4"/>
      <c r="T80" s="4"/>
      <c r="U80" s="4"/>
      <c r="V80" s="4"/>
      <c r="W80" s="4"/>
      <c r="X80" s="4"/>
      <c r="Y80" s="4"/>
      <c r="Z80" s="4"/>
    </row>
    <row r="81" spans="1:26" ht="12.75" customHeight="1">
      <c r="A81" s="11"/>
      <c r="B81" s="4"/>
      <c r="C81" s="4"/>
      <c r="D81" s="4"/>
      <c r="E81" s="4"/>
      <c r="F81" s="4"/>
      <c r="G81" s="4"/>
      <c r="H81" s="4"/>
      <c r="I81" s="4"/>
      <c r="J81" s="4"/>
      <c r="K81" s="4"/>
      <c r="L81" s="4"/>
      <c r="M81" s="4"/>
      <c r="N81" s="4"/>
      <c r="O81" s="4"/>
      <c r="P81" s="4"/>
      <c r="Q81" s="4"/>
      <c r="R81" s="4"/>
      <c r="S81" s="4"/>
      <c r="T81" s="4"/>
      <c r="U81" s="4"/>
      <c r="V81" s="4"/>
      <c r="W81" s="4"/>
      <c r="X81" s="4"/>
      <c r="Y81" s="4"/>
      <c r="Z81" s="4"/>
    </row>
    <row r="82" spans="1:26" ht="12.75" customHeight="1">
      <c r="A82" s="11"/>
      <c r="B82" s="4"/>
      <c r="C82" s="4"/>
      <c r="D82" s="4"/>
      <c r="E82" s="4"/>
      <c r="F82" s="4"/>
      <c r="G82" s="4"/>
      <c r="H82" s="4"/>
      <c r="I82" s="4"/>
      <c r="J82" s="4"/>
      <c r="K82" s="4"/>
      <c r="L82" s="4"/>
      <c r="M82" s="4"/>
      <c r="N82" s="4"/>
      <c r="O82" s="4"/>
      <c r="P82" s="4"/>
      <c r="Q82" s="4"/>
      <c r="R82" s="4"/>
      <c r="S82" s="4"/>
      <c r="T82" s="4"/>
      <c r="U82" s="4"/>
      <c r="V82" s="4"/>
      <c r="W82" s="4"/>
      <c r="X82" s="4"/>
      <c r="Y82" s="4"/>
      <c r="Z82" s="4"/>
    </row>
    <row r="83" spans="1:26" ht="12.75" customHeight="1">
      <c r="A83" s="11"/>
      <c r="B83" s="4"/>
      <c r="C83" s="4"/>
      <c r="D83" s="4"/>
      <c r="E83" s="4"/>
      <c r="F83" s="4"/>
      <c r="G83" s="4"/>
      <c r="H83" s="4"/>
      <c r="I83" s="4"/>
      <c r="J83" s="4"/>
      <c r="K83" s="4"/>
      <c r="L83" s="4"/>
      <c r="M83" s="4"/>
      <c r="N83" s="4"/>
      <c r="O83" s="4"/>
      <c r="P83" s="4"/>
      <c r="Q83" s="4"/>
      <c r="R83" s="4"/>
      <c r="S83" s="4"/>
      <c r="T83" s="4"/>
      <c r="U83" s="4"/>
      <c r="V83" s="4"/>
      <c r="W83" s="4"/>
      <c r="X83" s="4"/>
      <c r="Y83" s="4"/>
      <c r="Z83" s="4"/>
    </row>
    <row r="84" spans="1:26" ht="12.75" customHeight="1">
      <c r="A84" s="11"/>
      <c r="B84" s="4"/>
      <c r="C84" s="4"/>
      <c r="D84" s="4"/>
      <c r="E84" s="4"/>
      <c r="F84" s="4"/>
      <c r="G84" s="4"/>
      <c r="H84" s="4"/>
      <c r="I84" s="4"/>
      <c r="J84" s="4"/>
      <c r="K84" s="4"/>
      <c r="L84" s="4"/>
      <c r="M84" s="4"/>
      <c r="N84" s="4"/>
      <c r="O84" s="4"/>
      <c r="P84" s="4"/>
      <c r="Q84" s="4"/>
      <c r="R84" s="4"/>
      <c r="S84" s="4"/>
      <c r="T84" s="4"/>
      <c r="U84" s="4"/>
      <c r="V84" s="4"/>
      <c r="W84" s="4"/>
      <c r="X84" s="4"/>
      <c r="Y84" s="4"/>
      <c r="Z84" s="4"/>
    </row>
    <row r="85" spans="1:26" ht="12.75" customHeight="1">
      <c r="A85" s="11"/>
      <c r="B85" s="4"/>
      <c r="C85" s="4"/>
      <c r="D85" s="4"/>
      <c r="E85" s="4"/>
      <c r="F85" s="4"/>
      <c r="G85" s="4"/>
      <c r="H85" s="4"/>
      <c r="I85" s="4"/>
      <c r="J85" s="4"/>
      <c r="K85" s="4"/>
      <c r="L85" s="4"/>
      <c r="M85" s="4"/>
      <c r="N85" s="4"/>
      <c r="O85" s="4"/>
      <c r="P85" s="4"/>
      <c r="Q85" s="4"/>
      <c r="R85" s="4"/>
      <c r="S85" s="4"/>
      <c r="T85" s="4"/>
      <c r="U85" s="4"/>
      <c r="V85" s="4"/>
      <c r="W85" s="4"/>
      <c r="X85" s="4"/>
      <c r="Y85" s="4"/>
      <c r="Z85" s="4"/>
    </row>
    <row r="86" spans="1:26" ht="12.75" customHeight="1">
      <c r="A86" s="11"/>
      <c r="B86" s="4"/>
      <c r="C86" s="4"/>
      <c r="D86" s="4"/>
      <c r="E86" s="4"/>
      <c r="F86" s="4"/>
      <c r="G86" s="4"/>
      <c r="H86" s="4"/>
      <c r="I86" s="4"/>
      <c r="J86" s="4"/>
      <c r="K86" s="4"/>
      <c r="L86" s="4"/>
      <c r="M86" s="4"/>
      <c r="N86" s="4"/>
      <c r="O86" s="4"/>
      <c r="P86" s="4"/>
      <c r="Q86" s="4"/>
      <c r="R86" s="4"/>
      <c r="S86" s="4"/>
      <c r="T86" s="4"/>
      <c r="U86" s="4"/>
      <c r="V86" s="4"/>
      <c r="W86" s="4"/>
      <c r="X86" s="4"/>
      <c r="Y86" s="4"/>
      <c r="Z86" s="4"/>
    </row>
    <row r="87" spans="1:26" ht="12.75" customHeight="1">
      <c r="A87" s="11"/>
      <c r="B87" s="4"/>
      <c r="C87" s="4"/>
      <c r="D87" s="4"/>
      <c r="E87" s="4"/>
      <c r="F87" s="4"/>
      <c r="G87" s="4"/>
      <c r="H87" s="4"/>
      <c r="I87" s="4"/>
      <c r="J87" s="4"/>
      <c r="K87" s="4"/>
      <c r="L87" s="4"/>
      <c r="M87" s="4"/>
      <c r="N87" s="4"/>
      <c r="O87" s="4"/>
      <c r="P87" s="4"/>
      <c r="Q87" s="4"/>
      <c r="R87" s="4"/>
      <c r="S87" s="4"/>
      <c r="T87" s="4"/>
      <c r="U87" s="4"/>
      <c r="V87" s="4"/>
      <c r="W87" s="4"/>
      <c r="X87" s="4"/>
      <c r="Y87" s="4"/>
      <c r="Z87" s="4"/>
    </row>
    <row r="88" spans="1:26" ht="12.75" customHeight="1">
      <c r="A88" s="11"/>
      <c r="B88" s="4"/>
      <c r="C88" s="4"/>
      <c r="D88" s="4"/>
      <c r="E88" s="4"/>
      <c r="F88" s="4"/>
      <c r="G88" s="4"/>
      <c r="H88" s="4"/>
      <c r="I88" s="4"/>
      <c r="J88" s="4"/>
      <c r="K88" s="4"/>
      <c r="L88" s="4"/>
      <c r="M88" s="4"/>
      <c r="N88" s="4"/>
      <c r="O88" s="4"/>
      <c r="P88" s="4"/>
      <c r="Q88" s="4"/>
      <c r="R88" s="4"/>
      <c r="S88" s="4"/>
      <c r="T88" s="4"/>
      <c r="U88" s="4"/>
      <c r="V88" s="4"/>
      <c r="W88" s="4"/>
      <c r="X88" s="4"/>
      <c r="Y88" s="4"/>
      <c r="Z88" s="4"/>
    </row>
    <row r="89" spans="1:26" ht="12.75" customHeight="1">
      <c r="A89" s="11"/>
      <c r="B89" s="4"/>
      <c r="C89" s="4"/>
      <c r="D89" s="4"/>
      <c r="E89" s="4"/>
      <c r="F89" s="4"/>
      <c r="G89" s="4"/>
      <c r="H89" s="4"/>
      <c r="I89" s="4"/>
      <c r="J89" s="4"/>
      <c r="K89" s="4"/>
      <c r="L89" s="4"/>
      <c r="M89" s="4"/>
      <c r="N89" s="4"/>
      <c r="O89" s="4"/>
      <c r="P89" s="4"/>
      <c r="Q89" s="4"/>
      <c r="R89" s="4"/>
      <c r="S89" s="4"/>
      <c r="T89" s="4"/>
      <c r="U89" s="4"/>
      <c r="V89" s="4"/>
      <c r="W89" s="4"/>
      <c r="X89" s="4"/>
      <c r="Y89" s="4"/>
      <c r="Z89" s="4"/>
    </row>
    <row r="90" spans="1:26" ht="12.75" customHeight="1">
      <c r="A90" s="11"/>
      <c r="B90" s="4"/>
      <c r="C90" s="4"/>
      <c r="D90" s="4"/>
      <c r="E90" s="4"/>
      <c r="F90" s="4"/>
      <c r="G90" s="4"/>
      <c r="H90" s="4"/>
      <c r="I90" s="4"/>
      <c r="J90" s="4"/>
      <c r="K90" s="4"/>
      <c r="L90" s="4"/>
      <c r="M90" s="4"/>
      <c r="N90" s="4"/>
      <c r="O90" s="4"/>
      <c r="P90" s="4"/>
      <c r="Q90" s="4"/>
      <c r="R90" s="4"/>
      <c r="S90" s="4"/>
      <c r="T90" s="4"/>
      <c r="U90" s="4"/>
      <c r="V90" s="4"/>
      <c r="W90" s="4"/>
      <c r="X90" s="4"/>
      <c r="Y90" s="4"/>
      <c r="Z90" s="4"/>
    </row>
    <row r="91" spans="1:26" ht="12.75" customHeight="1">
      <c r="A91" s="11"/>
      <c r="B91" s="4"/>
      <c r="C91" s="4"/>
      <c r="D91" s="4"/>
      <c r="E91" s="4"/>
      <c r="F91" s="4"/>
      <c r="G91" s="4"/>
      <c r="H91" s="4"/>
      <c r="I91" s="4"/>
      <c r="J91" s="4"/>
      <c r="K91" s="4"/>
      <c r="L91" s="4"/>
      <c r="M91" s="4"/>
      <c r="N91" s="4"/>
      <c r="O91" s="4"/>
      <c r="P91" s="4"/>
      <c r="Q91" s="4"/>
      <c r="R91" s="4"/>
      <c r="S91" s="4"/>
      <c r="T91" s="4"/>
      <c r="U91" s="4"/>
      <c r="V91" s="4"/>
      <c r="W91" s="4"/>
      <c r="X91" s="4"/>
      <c r="Y91" s="4"/>
      <c r="Z91" s="4"/>
    </row>
    <row r="92" spans="1:26" ht="12.75" customHeight="1">
      <c r="A92" s="11"/>
      <c r="B92" s="4"/>
      <c r="C92" s="4"/>
      <c r="D92" s="4"/>
      <c r="E92" s="4"/>
      <c r="F92" s="4"/>
      <c r="G92" s="4"/>
      <c r="H92" s="4"/>
      <c r="I92" s="4"/>
      <c r="J92" s="4"/>
      <c r="K92" s="4"/>
      <c r="L92" s="4"/>
      <c r="M92" s="4"/>
      <c r="N92" s="4"/>
      <c r="O92" s="4"/>
      <c r="P92" s="4"/>
      <c r="Q92" s="4"/>
      <c r="R92" s="4"/>
      <c r="S92" s="4"/>
      <c r="T92" s="4"/>
      <c r="U92" s="4"/>
      <c r="V92" s="4"/>
      <c r="W92" s="4"/>
      <c r="X92" s="4"/>
      <c r="Y92" s="4"/>
      <c r="Z92" s="4"/>
    </row>
    <row r="93" spans="1:26" ht="12.75" customHeight="1">
      <c r="A93" s="11"/>
      <c r="B93" s="4"/>
      <c r="C93" s="4"/>
      <c r="D93" s="4"/>
      <c r="E93" s="4"/>
      <c r="F93" s="4"/>
      <c r="G93" s="4"/>
      <c r="H93" s="4"/>
      <c r="I93" s="4"/>
      <c r="J93" s="4"/>
      <c r="K93" s="4"/>
      <c r="L93" s="4"/>
      <c r="M93" s="4"/>
      <c r="N93" s="4"/>
      <c r="O93" s="4"/>
      <c r="P93" s="4"/>
      <c r="Q93" s="4"/>
      <c r="R93" s="4"/>
      <c r="S93" s="4"/>
      <c r="T93" s="4"/>
      <c r="U93" s="4"/>
      <c r="V93" s="4"/>
      <c r="W93" s="4"/>
      <c r="X93" s="4"/>
      <c r="Y93" s="4"/>
      <c r="Z93" s="4"/>
    </row>
    <row r="94" spans="1:26" ht="12.75" customHeight="1">
      <c r="A94" s="11"/>
      <c r="B94" s="4"/>
      <c r="C94" s="4"/>
      <c r="D94" s="4"/>
      <c r="E94" s="4"/>
      <c r="F94" s="4"/>
      <c r="G94" s="4"/>
      <c r="H94" s="4"/>
      <c r="I94" s="4"/>
      <c r="J94" s="4"/>
      <c r="K94" s="4"/>
      <c r="L94" s="4"/>
      <c r="M94" s="4"/>
      <c r="N94" s="4"/>
      <c r="O94" s="4"/>
      <c r="P94" s="4"/>
      <c r="Q94" s="4"/>
      <c r="R94" s="4"/>
      <c r="S94" s="4"/>
      <c r="T94" s="4"/>
      <c r="U94" s="4"/>
      <c r="V94" s="4"/>
      <c r="W94" s="4"/>
      <c r="X94" s="4"/>
      <c r="Y94" s="4"/>
      <c r="Z94" s="4"/>
    </row>
    <row r="95" spans="1:26" ht="12.75" customHeight="1">
      <c r="A95" s="11"/>
      <c r="B95" s="4"/>
      <c r="C95" s="4"/>
      <c r="D95" s="4"/>
      <c r="E95" s="4"/>
      <c r="F95" s="4"/>
      <c r="G95" s="4"/>
      <c r="H95" s="4"/>
      <c r="I95" s="4"/>
      <c r="J95" s="4"/>
      <c r="K95" s="4"/>
      <c r="L95" s="4"/>
      <c r="M95" s="4"/>
      <c r="N95" s="4"/>
      <c r="O95" s="4"/>
      <c r="P95" s="4"/>
      <c r="Q95" s="4"/>
      <c r="R95" s="4"/>
      <c r="S95" s="4"/>
      <c r="T95" s="4"/>
      <c r="U95" s="4"/>
      <c r="V95" s="4"/>
      <c r="W95" s="4"/>
      <c r="X95" s="4"/>
      <c r="Y95" s="4"/>
      <c r="Z95" s="4"/>
    </row>
    <row r="96" spans="1:26" ht="12.75" customHeight="1">
      <c r="A96" s="11"/>
      <c r="B96" s="4"/>
      <c r="C96" s="4"/>
      <c r="D96" s="4"/>
      <c r="E96" s="4"/>
      <c r="F96" s="4"/>
      <c r="G96" s="4"/>
      <c r="H96" s="4"/>
      <c r="I96" s="4"/>
      <c r="J96" s="4"/>
      <c r="K96" s="4"/>
      <c r="L96" s="4"/>
      <c r="M96" s="4"/>
      <c r="N96" s="4"/>
      <c r="O96" s="4"/>
      <c r="P96" s="4"/>
      <c r="Q96" s="4"/>
      <c r="R96" s="4"/>
      <c r="S96" s="4"/>
      <c r="T96" s="4"/>
      <c r="U96" s="4"/>
      <c r="V96" s="4"/>
      <c r="W96" s="4"/>
      <c r="X96" s="4"/>
      <c r="Y96" s="4"/>
      <c r="Z96" s="4"/>
    </row>
    <row r="97" spans="1:26" ht="12.75" customHeight="1">
      <c r="A97" s="11"/>
      <c r="B97" s="4"/>
      <c r="C97" s="4"/>
      <c r="D97" s="4"/>
      <c r="E97" s="4"/>
      <c r="F97" s="4"/>
      <c r="G97" s="4"/>
      <c r="H97" s="4"/>
      <c r="I97" s="4"/>
      <c r="J97" s="4"/>
      <c r="K97" s="4"/>
      <c r="L97" s="4"/>
      <c r="M97" s="4"/>
      <c r="N97" s="4"/>
      <c r="O97" s="4"/>
      <c r="P97" s="4"/>
      <c r="Q97" s="4"/>
      <c r="R97" s="4"/>
      <c r="S97" s="4"/>
      <c r="T97" s="4"/>
      <c r="U97" s="4"/>
      <c r="V97" s="4"/>
      <c r="W97" s="4"/>
      <c r="X97" s="4"/>
      <c r="Y97" s="4"/>
      <c r="Z97" s="4"/>
    </row>
    <row r="98" spans="1:26" ht="12.75" customHeight="1">
      <c r="A98" s="11"/>
      <c r="B98" s="4"/>
      <c r="C98" s="4"/>
      <c r="D98" s="4"/>
      <c r="E98" s="4"/>
      <c r="F98" s="4"/>
      <c r="G98" s="4"/>
      <c r="H98" s="4"/>
      <c r="I98" s="4"/>
      <c r="J98" s="4"/>
      <c r="K98" s="4"/>
      <c r="L98" s="4"/>
      <c r="M98" s="4"/>
      <c r="N98" s="4"/>
      <c r="O98" s="4"/>
      <c r="P98" s="4"/>
      <c r="Q98" s="4"/>
      <c r="R98" s="4"/>
      <c r="S98" s="4"/>
      <c r="T98" s="4"/>
      <c r="U98" s="4"/>
      <c r="V98" s="4"/>
      <c r="W98" s="4"/>
      <c r="X98" s="4"/>
      <c r="Y98" s="4"/>
      <c r="Z98" s="4"/>
    </row>
    <row r="99" spans="1:26" ht="12.75" customHeight="1">
      <c r="A99" s="11"/>
      <c r="B99" s="4"/>
      <c r="C99" s="4"/>
      <c r="D99" s="4"/>
      <c r="E99" s="4"/>
      <c r="F99" s="4"/>
      <c r="G99" s="4"/>
      <c r="H99" s="4"/>
      <c r="I99" s="4"/>
      <c r="J99" s="4"/>
      <c r="K99" s="4"/>
      <c r="L99" s="4"/>
      <c r="M99" s="4"/>
      <c r="N99" s="4"/>
      <c r="O99" s="4"/>
      <c r="P99" s="4"/>
      <c r="Q99" s="4"/>
      <c r="R99" s="4"/>
      <c r="S99" s="4"/>
      <c r="T99" s="4"/>
      <c r="U99" s="4"/>
      <c r="V99" s="4"/>
      <c r="W99" s="4"/>
      <c r="X99" s="4"/>
      <c r="Y99" s="4"/>
      <c r="Z99" s="4"/>
    </row>
    <row r="100" spans="1:26" ht="12.75" customHeight="1">
      <c r="A100" s="11"/>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2.75" customHeight="1">
      <c r="A101" s="11"/>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2.75" customHeight="1">
      <c r="A102" s="11"/>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2.75" customHeight="1">
      <c r="A103" s="11"/>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2.75" customHeight="1">
      <c r="A104" s="11"/>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2.75" customHeight="1">
      <c r="A105" s="11"/>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2.75" customHeight="1">
      <c r="A106" s="11"/>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2.75" customHeight="1">
      <c r="A107" s="11"/>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2.75" customHeight="1">
      <c r="A108" s="11"/>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2.75" customHeight="1">
      <c r="A109" s="11"/>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2.75" customHeight="1">
      <c r="A110" s="11"/>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2.75" customHeight="1">
      <c r="A111" s="11"/>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2.75" customHeight="1">
      <c r="A112" s="11"/>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2.75" customHeight="1">
      <c r="A113" s="11"/>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2.75" customHeight="1">
      <c r="A114" s="11"/>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2.75" customHeight="1">
      <c r="A115" s="11"/>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2.75" customHeight="1">
      <c r="A116" s="11"/>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2.75" customHeight="1">
      <c r="A117" s="11"/>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2.75" customHeight="1">
      <c r="A118" s="11"/>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2.75" customHeight="1">
      <c r="A119" s="11"/>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2.75" customHeight="1">
      <c r="A120" s="11"/>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2.75" customHeight="1">
      <c r="A121" s="11"/>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2.75" customHeight="1">
      <c r="A122" s="11"/>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2.75" customHeight="1">
      <c r="A123" s="11"/>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2.75" customHeight="1">
      <c r="A124" s="11"/>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2.75" customHeight="1">
      <c r="A125" s="11"/>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2.75" customHeight="1">
      <c r="A126" s="11"/>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2.75" customHeight="1">
      <c r="A127" s="11"/>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2.75" customHeight="1">
      <c r="A128" s="11"/>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2.75" customHeight="1">
      <c r="A129" s="11"/>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2.75" customHeight="1">
      <c r="A130" s="11"/>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2.75" customHeight="1">
      <c r="A131" s="11"/>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2.75" customHeight="1">
      <c r="A132" s="11"/>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2.75" customHeight="1">
      <c r="A133" s="11"/>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2.75" customHeight="1">
      <c r="A134" s="11"/>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2.75" customHeight="1">
      <c r="A135" s="11"/>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2.75" customHeight="1">
      <c r="A136" s="11"/>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2.75" customHeight="1">
      <c r="A137" s="11"/>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2.75" customHeight="1">
      <c r="A138" s="11"/>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2.75" customHeight="1">
      <c r="A139" s="11"/>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2.75" customHeight="1">
      <c r="A140" s="11"/>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2.75" customHeight="1">
      <c r="A141" s="11"/>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2.75" customHeight="1">
      <c r="A142" s="11"/>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2.75" customHeight="1">
      <c r="A143" s="11"/>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2.75" customHeight="1">
      <c r="A144" s="11"/>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2.75" customHeight="1">
      <c r="A145" s="11"/>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2.75" customHeight="1">
      <c r="A146" s="11"/>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2.75" customHeight="1">
      <c r="A147" s="11"/>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2.75" customHeight="1">
      <c r="A148" s="11"/>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2.75" customHeight="1">
      <c r="A149" s="11"/>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2.75" customHeight="1">
      <c r="A150" s="11"/>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2.75" customHeight="1">
      <c r="A151" s="11"/>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2.75" customHeight="1">
      <c r="A152" s="11"/>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2.75" customHeight="1">
      <c r="A153" s="11"/>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2.75" customHeight="1">
      <c r="A154" s="11"/>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2.75" customHeight="1">
      <c r="A155" s="11"/>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2.75" customHeight="1">
      <c r="A156" s="11"/>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2.75" customHeight="1">
      <c r="A157" s="11"/>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2.75" customHeight="1">
      <c r="A158" s="11"/>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2.75" customHeight="1">
      <c r="A159" s="11"/>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2.75" customHeight="1">
      <c r="A160" s="11"/>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2.75" customHeight="1">
      <c r="A161" s="11"/>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2.75" customHeight="1">
      <c r="A162" s="11"/>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2.75" customHeight="1">
      <c r="A163" s="11"/>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2.75" customHeight="1">
      <c r="A164" s="11"/>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2.75" customHeight="1">
      <c r="A165" s="11"/>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2.75" customHeight="1">
      <c r="A166" s="11"/>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2.75" customHeight="1">
      <c r="A167" s="11"/>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2.75" customHeight="1">
      <c r="A168" s="11"/>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2.75" customHeight="1">
      <c r="A169" s="11"/>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2.75" customHeight="1">
      <c r="A170" s="11"/>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2.75" customHeight="1">
      <c r="A171" s="11"/>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2.75" customHeight="1">
      <c r="A172" s="11"/>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2.75" customHeight="1">
      <c r="A173" s="11"/>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2.75" customHeight="1">
      <c r="A174" s="11"/>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2.75" customHeight="1">
      <c r="A175" s="11"/>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2.75" customHeight="1">
      <c r="A176" s="11"/>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2.75" customHeight="1">
      <c r="A177" s="11"/>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2.75" customHeight="1">
      <c r="A178" s="11"/>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2.75" customHeight="1">
      <c r="A179" s="11"/>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2.75" customHeight="1">
      <c r="A180" s="11"/>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2.75" customHeight="1">
      <c r="A181" s="11"/>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2.75" customHeight="1">
      <c r="A182" s="11"/>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2.75" customHeight="1">
      <c r="A183" s="11"/>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2.75" customHeight="1">
      <c r="A184" s="11"/>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2.75" customHeight="1">
      <c r="A185" s="11"/>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2.75" customHeight="1">
      <c r="A186" s="11"/>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2.75" customHeight="1">
      <c r="A187" s="11"/>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2.75" customHeight="1">
      <c r="A188" s="11"/>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2.75" customHeight="1">
      <c r="A189" s="11"/>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2.75" customHeight="1">
      <c r="A190" s="11"/>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2.75" customHeight="1">
      <c r="A191" s="11"/>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2.75" customHeight="1">
      <c r="A192" s="11"/>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2.75" customHeight="1">
      <c r="A193" s="11"/>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2.75" customHeight="1">
      <c r="A194" s="11"/>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2.75" customHeight="1">
      <c r="A195" s="11"/>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2.75" customHeight="1">
      <c r="A196" s="11"/>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2.75" customHeight="1">
      <c r="A197" s="11"/>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2.75" customHeight="1">
      <c r="A198" s="11"/>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2.75" customHeight="1">
      <c r="A199" s="11"/>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2.75" customHeight="1">
      <c r="A200" s="11"/>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2.75" customHeight="1">
      <c r="A201" s="11"/>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2.75" customHeight="1">
      <c r="A202" s="11"/>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2.75" customHeight="1">
      <c r="A203" s="11"/>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2.75" customHeight="1">
      <c r="A204" s="11"/>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2.75" customHeight="1">
      <c r="A205" s="11"/>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2.75" customHeight="1">
      <c r="A206" s="11"/>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2.75" customHeight="1">
      <c r="A207" s="11"/>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2.75" customHeight="1">
      <c r="A208" s="11"/>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2.75" customHeight="1">
      <c r="A209" s="11"/>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2.75" customHeight="1">
      <c r="A210" s="11"/>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2.75" customHeight="1">
      <c r="A211" s="11"/>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2.75" customHeight="1">
      <c r="A212" s="11"/>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2.75" customHeight="1">
      <c r="A213" s="11"/>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2.75" customHeight="1">
      <c r="A214" s="11"/>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2.75" customHeight="1">
      <c r="A215" s="11"/>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2.75" customHeight="1">
      <c r="A216" s="11"/>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2.75" customHeight="1">
      <c r="A217" s="11"/>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2.75" customHeight="1">
      <c r="A218" s="11"/>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2.75" customHeight="1">
      <c r="A219" s="11"/>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2.75" customHeight="1">
      <c r="A220" s="11"/>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2.75" customHeight="1">
      <c r="A221" s="11"/>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2.75" customHeight="1">
      <c r="A222" s="11"/>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2.75" customHeight="1">
      <c r="A223" s="11"/>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2.75" customHeight="1">
      <c r="A224" s="11"/>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2.75" customHeight="1">
      <c r="A225" s="11"/>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2.75" customHeight="1">
      <c r="A226" s="11"/>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2.75" customHeight="1">
      <c r="A227" s="11"/>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2.75" customHeight="1">
      <c r="A228" s="11"/>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2.75" customHeight="1">
      <c r="A229" s="11"/>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2.75" customHeight="1">
      <c r="A230" s="11"/>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2.75" customHeight="1">
      <c r="A231" s="11"/>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2.75" customHeight="1">
      <c r="A232" s="11"/>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2.75" customHeight="1">
      <c r="A233" s="11"/>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2.75" customHeight="1">
      <c r="A234" s="11"/>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2.75" customHeight="1">
      <c r="A235" s="11"/>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2.75" customHeight="1">
      <c r="A236" s="11"/>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2.75" customHeight="1">
      <c r="A237" s="11"/>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2.75" customHeight="1">
      <c r="A238" s="11"/>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2.75" customHeight="1">
      <c r="A239" s="11"/>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2.75" customHeight="1">
      <c r="A240" s="11"/>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2.75" customHeight="1">
      <c r="A241" s="11"/>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2.75" customHeight="1">
      <c r="A242" s="11"/>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2.75" customHeight="1">
      <c r="A243" s="11"/>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2.75" customHeight="1">
      <c r="A244" s="11"/>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2.75" customHeight="1">
      <c r="A245" s="11"/>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2.75" customHeight="1">
      <c r="A246" s="11"/>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2.75" customHeight="1">
      <c r="A247" s="11"/>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2.75" customHeight="1">
      <c r="A248" s="11"/>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2.75" customHeight="1">
      <c r="A249" s="11"/>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2.75" customHeight="1">
      <c r="A250" s="11"/>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2.75" customHeight="1">
      <c r="A251" s="11"/>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2.75" customHeight="1">
      <c r="A252" s="11"/>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2.75" customHeight="1">
      <c r="A253" s="11"/>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2.75" customHeight="1">
      <c r="A254" s="11"/>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2.75" customHeight="1">
      <c r="A255" s="11"/>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2.75" customHeight="1">
      <c r="A256" s="11"/>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2.75" customHeight="1">
      <c r="A257" s="11"/>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2.75" customHeight="1">
      <c r="A258" s="11"/>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2.75" customHeight="1">
      <c r="A259" s="11"/>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2.75" customHeight="1">
      <c r="A260" s="11"/>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2.75" customHeight="1">
      <c r="A261" s="11"/>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2.75" customHeight="1">
      <c r="A262" s="11"/>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2.75" customHeight="1">
      <c r="A263" s="11"/>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2.75" customHeight="1">
      <c r="A264" s="11"/>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2.75" customHeight="1">
      <c r="A265" s="11"/>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2.75" customHeight="1">
      <c r="A266" s="11"/>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2.75" customHeight="1">
      <c r="A267" s="11"/>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2.75" customHeight="1">
      <c r="A268" s="11"/>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2.75" customHeight="1">
      <c r="A269" s="11"/>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2.75" customHeight="1">
      <c r="A270" s="11"/>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2.75" customHeight="1">
      <c r="A271" s="11"/>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2.75" customHeight="1">
      <c r="A272" s="11"/>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2.75" customHeight="1">
      <c r="A273" s="11"/>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2.75" customHeight="1">
      <c r="A274" s="11"/>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2.75" customHeight="1">
      <c r="A275" s="11"/>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2.75" customHeight="1">
      <c r="A276" s="11"/>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2.75" customHeight="1">
      <c r="A277" s="11"/>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2.75" customHeight="1">
      <c r="A278" s="11"/>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2.75" customHeight="1">
      <c r="A279" s="11"/>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2.75" customHeight="1">
      <c r="A280" s="11"/>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2.75" customHeight="1">
      <c r="A281" s="11"/>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2.75" customHeight="1">
      <c r="A282" s="11"/>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2.75" customHeight="1">
      <c r="A283" s="11"/>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2.75" customHeight="1">
      <c r="A284" s="11"/>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2.75" customHeight="1">
      <c r="A285" s="11"/>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2.75" customHeight="1">
      <c r="A286" s="11"/>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2.75" customHeight="1">
      <c r="A287" s="11"/>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2.75" customHeight="1">
      <c r="A288" s="11"/>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2.75" customHeight="1">
      <c r="A289" s="11"/>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2.75" customHeight="1">
      <c r="A290" s="11"/>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2.75" customHeight="1">
      <c r="A291" s="11"/>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2.75" customHeight="1">
      <c r="A292" s="11"/>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2.75" customHeight="1">
      <c r="A293" s="11"/>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2.75" customHeight="1">
      <c r="A294" s="11"/>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2.75" customHeight="1">
      <c r="A295" s="11"/>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2.75" customHeight="1">
      <c r="A296" s="11"/>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2.75" customHeight="1">
      <c r="A297" s="11"/>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2.75" customHeight="1">
      <c r="A298" s="11"/>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2.75" customHeight="1">
      <c r="A299" s="11"/>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2.75" customHeight="1">
      <c r="A300" s="11"/>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2.75" customHeight="1">
      <c r="A301" s="11"/>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2.75" customHeight="1">
      <c r="A302" s="11"/>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2.75" customHeight="1">
      <c r="A303" s="11"/>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2.75" customHeight="1">
      <c r="A304" s="11"/>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2.75" customHeight="1">
      <c r="A305" s="11"/>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2.75" customHeight="1">
      <c r="A306" s="11"/>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2.75" customHeight="1">
      <c r="A307" s="11"/>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2.75" customHeight="1">
      <c r="A308" s="11"/>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2.75" customHeight="1">
      <c r="A309" s="11"/>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2.75" customHeight="1">
      <c r="A310" s="11"/>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2.75" customHeight="1">
      <c r="A311" s="11"/>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2.75" customHeight="1">
      <c r="A312" s="11"/>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2.75" customHeight="1">
      <c r="A313" s="11"/>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2.75" customHeight="1">
      <c r="A314" s="11"/>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2.75" customHeight="1">
      <c r="A315" s="11"/>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2.75" customHeight="1">
      <c r="A316" s="11"/>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2.75" customHeight="1">
      <c r="A317" s="11"/>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2.75" customHeight="1">
      <c r="A318" s="11"/>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2.75" customHeight="1">
      <c r="A319" s="11"/>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2.75" customHeight="1">
      <c r="A320" s="11"/>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2.75" customHeight="1">
      <c r="A321" s="11"/>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2.75" customHeight="1">
      <c r="A322" s="11"/>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2.75" customHeight="1">
      <c r="A323" s="11"/>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2.75" customHeight="1">
      <c r="A324" s="11"/>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2.75" customHeight="1">
      <c r="A325" s="11"/>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2.75" customHeight="1">
      <c r="A326" s="11"/>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2.75" customHeight="1">
      <c r="A327" s="11"/>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2.75" customHeight="1">
      <c r="A328" s="11"/>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2.75" customHeight="1">
      <c r="A329" s="11"/>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2.75" customHeight="1">
      <c r="A330" s="11"/>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2.75" customHeight="1">
      <c r="A331" s="11"/>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2.75" customHeight="1">
      <c r="A332" s="11"/>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2.75" customHeight="1">
      <c r="A333" s="11"/>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2.75" customHeight="1">
      <c r="A334" s="11"/>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2.75" customHeight="1">
      <c r="A335" s="11"/>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2.75" customHeight="1">
      <c r="A336" s="11"/>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2.75" customHeight="1">
      <c r="A337" s="11"/>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2.75" customHeight="1">
      <c r="A338" s="11"/>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2.75" customHeight="1">
      <c r="A339" s="11"/>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2.75" customHeight="1">
      <c r="A340" s="11"/>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2.75" customHeight="1">
      <c r="A341" s="11"/>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2.75" customHeight="1">
      <c r="A342" s="11"/>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2.75" customHeight="1">
      <c r="A343" s="11"/>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2.75" customHeight="1">
      <c r="A344" s="11"/>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2.75" customHeight="1">
      <c r="A345" s="11"/>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2.75" customHeight="1">
      <c r="A346" s="11"/>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2.75" customHeight="1">
      <c r="A347" s="11"/>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2.75" customHeight="1">
      <c r="A348" s="11"/>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2.75" customHeight="1">
      <c r="A349" s="11"/>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2.75" customHeight="1">
      <c r="A350" s="11"/>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2.75" customHeight="1">
      <c r="A351" s="11"/>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2.75" customHeight="1">
      <c r="A352" s="11"/>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2.75" customHeight="1">
      <c r="A353" s="11"/>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2.75" customHeight="1">
      <c r="A354" s="11"/>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2.75" customHeight="1">
      <c r="A355" s="11"/>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2.75" customHeight="1">
      <c r="A356" s="11"/>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2.75" customHeight="1">
      <c r="A357" s="11"/>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2.75" customHeight="1">
      <c r="A358" s="11"/>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2.75" customHeight="1">
      <c r="A359" s="11"/>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2.75" customHeight="1">
      <c r="A360" s="11"/>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2.75" customHeight="1">
      <c r="A361" s="11"/>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2.75" customHeight="1">
      <c r="A362" s="11"/>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2.75" customHeight="1">
      <c r="A363" s="11"/>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2.75" customHeight="1">
      <c r="A364" s="11"/>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2.75" customHeight="1">
      <c r="A365" s="11"/>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2.75" customHeight="1">
      <c r="A366" s="11"/>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2.75" customHeight="1">
      <c r="A367" s="11"/>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2.75" customHeight="1">
      <c r="A368" s="11"/>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2.75" customHeight="1">
      <c r="A369" s="11"/>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2.75" customHeight="1">
      <c r="A370" s="11"/>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2.75" customHeight="1">
      <c r="A371" s="11"/>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2.75" customHeight="1">
      <c r="A372" s="11"/>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2.75" customHeight="1">
      <c r="A373" s="11"/>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2.75" customHeight="1">
      <c r="A374" s="11"/>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2.75" customHeight="1">
      <c r="A375" s="11"/>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2.75" customHeight="1">
      <c r="A376" s="11"/>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2.75" customHeight="1">
      <c r="A377" s="11"/>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2.75" customHeight="1">
      <c r="A378" s="11"/>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2.75" customHeight="1">
      <c r="A379" s="11"/>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2.75" customHeight="1">
      <c r="A380" s="11"/>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2.75" customHeight="1">
      <c r="A381" s="11"/>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2.75" customHeight="1">
      <c r="A382" s="11"/>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2.75" customHeight="1">
      <c r="A383" s="11"/>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2.75" customHeight="1">
      <c r="A384" s="11"/>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2.75" customHeight="1">
      <c r="A385" s="11"/>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2.75" customHeight="1">
      <c r="A386" s="11"/>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2.75" customHeight="1">
      <c r="A387" s="11"/>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2.75" customHeight="1">
      <c r="A388" s="11"/>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2.75" customHeight="1">
      <c r="A389" s="11"/>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2.75" customHeight="1">
      <c r="A390" s="11"/>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2.75" customHeight="1">
      <c r="A391" s="11"/>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2.75" customHeight="1">
      <c r="A392" s="11"/>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2.75" customHeight="1">
      <c r="A393" s="11"/>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2.75" customHeight="1">
      <c r="A394" s="11"/>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2.75" customHeight="1">
      <c r="A395" s="11"/>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2.75" customHeight="1">
      <c r="A396" s="11"/>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2.75" customHeight="1">
      <c r="A397" s="11"/>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2.75" customHeight="1">
      <c r="A398" s="11"/>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2.75" customHeight="1">
      <c r="A399" s="11"/>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2.75" customHeight="1">
      <c r="A400" s="11"/>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2.75" customHeight="1">
      <c r="A401" s="11"/>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2.75" customHeight="1">
      <c r="A402" s="11"/>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2.75" customHeight="1">
      <c r="A403" s="11"/>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2.75" customHeight="1">
      <c r="A404" s="11"/>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2.75" customHeight="1">
      <c r="A405" s="11"/>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2.75" customHeight="1">
      <c r="A406" s="11"/>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2.75" customHeight="1">
      <c r="A407" s="11"/>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2.75" customHeight="1">
      <c r="A408" s="11"/>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2.75" customHeight="1">
      <c r="A409" s="11"/>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2.75" customHeight="1">
      <c r="A410" s="11"/>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2.75" customHeight="1">
      <c r="A411" s="11"/>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2.75" customHeight="1">
      <c r="A412" s="11"/>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2.75" customHeight="1">
      <c r="A413" s="11"/>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2.75" customHeight="1">
      <c r="A414" s="11"/>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2.75" customHeight="1">
      <c r="A415" s="11"/>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2.75" customHeight="1">
      <c r="A416" s="11"/>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2.75" customHeight="1">
      <c r="A417" s="11"/>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2.75" customHeight="1">
      <c r="A418" s="11"/>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2.75" customHeight="1">
      <c r="A419" s="11"/>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2.75" customHeight="1">
      <c r="A420" s="11"/>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2.75" customHeight="1">
      <c r="A421" s="11"/>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2.75" customHeight="1">
      <c r="A422" s="11"/>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2.75" customHeight="1">
      <c r="A423" s="11"/>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2.75" customHeight="1">
      <c r="A424" s="11"/>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2.75" customHeight="1">
      <c r="A425" s="11"/>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2.75" customHeight="1">
      <c r="A426" s="11"/>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2.75" customHeight="1">
      <c r="A427" s="11"/>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2.75" customHeight="1">
      <c r="A428" s="11"/>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2.75" customHeight="1">
      <c r="A429" s="11"/>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2.75" customHeight="1">
      <c r="A430" s="11"/>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2.75" customHeight="1">
      <c r="A431" s="11"/>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2.75" customHeight="1">
      <c r="A432" s="11"/>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2.75" customHeight="1">
      <c r="A433" s="11"/>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2.75" customHeight="1">
      <c r="A434" s="11"/>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2.75" customHeight="1">
      <c r="A435" s="11"/>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2.75" customHeight="1">
      <c r="A436" s="11"/>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2.75" customHeight="1">
      <c r="A437" s="11"/>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2.75" customHeight="1">
      <c r="A438" s="11"/>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2.75" customHeight="1">
      <c r="A439" s="11"/>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2.75" customHeight="1">
      <c r="A440" s="11"/>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2.75" customHeight="1">
      <c r="A441" s="11"/>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2.75" customHeight="1">
      <c r="A442" s="11"/>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2.75" customHeight="1">
      <c r="A443" s="11"/>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2.75" customHeight="1">
      <c r="A444" s="11"/>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2.75" customHeight="1">
      <c r="A445" s="11"/>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2.75" customHeight="1">
      <c r="A446" s="11"/>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2.75" customHeight="1">
      <c r="A447" s="11"/>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2.75" customHeight="1">
      <c r="A448" s="11"/>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2.75" customHeight="1">
      <c r="A449" s="11"/>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2.75" customHeight="1">
      <c r="A450" s="11"/>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2.75" customHeight="1">
      <c r="A451" s="11"/>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2.75" customHeight="1">
      <c r="A452" s="11"/>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2.75" customHeight="1">
      <c r="A453" s="11"/>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2.75" customHeight="1">
      <c r="A454" s="11"/>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2.75" customHeight="1">
      <c r="A455" s="11"/>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2.75" customHeight="1">
      <c r="A456" s="11"/>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2.75" customHeight="1">
      <c r="A457" s="11"/>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2.75" customHeight="1">
      <c r="A458" s="11"/>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2.75" customHeight="1">
      <c r="A459" s="11"/>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2.75" customHeight="1">
      <c r="A460" s="11"/>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2.75" customHeight="1">
      <c r="A461" s="11"/>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2.75" customHeight="1">
      <c r="A462" s="11"/>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2.75" customHeight="1">
      <c r="A463" s="11"/>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2.75" customHeight="1">
      <c r="A464" s="11"/>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2.75" customHeight="1">
      <c r="A465" s="11"/>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2.75" customHeight="1">
      <c r="A466" s="11"/>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2.75" customHeight="1">
      <c r="A467" s="11"/>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2.75" customHeight="1">
      <c r="A468" s="11"/>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2.75" customHeight="1">
      <c r="A469" s="11"/>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2.75" customHeight="1">
      <c r="A470" s="11"/>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2.75" customHeight="1">
      <c r="A471" s="11"/>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2.75" customHeight="1">
      <c r="A472" s="11"/>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2.75" customHeight="1">
      <c r="A473" s="11"/>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2.75" customHeight="1">
      <c r="A474" s="11"/>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2.75" customHeight="1">
      <c r="A475" s="11"/>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2.75" customHeight="1">
      <c r="A476" s="11"/>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2.75" customHeight="1">
      <c r="A477" s="11"/>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2.75" customHeight="1">
      <c r="A478" s="11"/>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2.75" customHeight="1">
      <c r="A479" s="11"/>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2.75" customHeight="1">
      <c r="A480" s="11"/>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2.75" customHeight="1">
      <c r="A481" s="11"/>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2.75" customHeight="1">
      <c r="A482" s="11"/>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2.75" customHeight="1">
      <c r="A483" s="11"/>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2.75" customHeight="1">
      <c r="A484" s="11"/>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2.75" customHeight="1">
      <c r="A485" s="11"/>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2.75" customHeight="1">
      <c r="A486" s="11"/>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2.75" customHeight="1">
      <c r="A487" s="11"/>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2.75" customHeight="1">
      <c r="A488" s="11"/>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2.75" customHeight="1">
      <c r="A489" s="11"/>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2.75" customHeight="1">
      <c r="A490" s="11"/>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2.75" customHeight="1">
      <c r="A491" s="11"/>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2.75" customHeight="1">
      <c r="A492" s="11"/>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2.75" customHeight="1">
      <c r="A493" s="11"/>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2.75" customHeight="1">
      <c r="A494" s="11"/>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2.75" customHeight="1">
      <c r="A495" s="11"/>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2.75" customHeight="1">
      <c r="A496" s="11"/>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2.75" customHeight="1">
      <c r="A497" s="11"/>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2.75" customHeight="1">
      <c r="A498" s="11"/>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2.75" customHeight="1">
      <c r="A499" s="11"/>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2.75" customHeight="1">
      <c r="A500" s="11"/>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2.75" customHeight="1">
      <c r="A501" s="11"/>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2.75" customHeight="1">
      <c r="A502" s="11"/>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2.75" customHeight="1">
      <c r="A503" s="11"/>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2.75" customHeight="1">
      <c r="A504" s="11"/>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2.75" customHeight="1">
      <c r="A505" s="11"/>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2.75" customHeight="1">
      <c r="A506" s="11"/>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2.75" customHeight="1">
      <c r="A507" s="11"/>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2.75" customHeight="1">
      <c r="A508" s="11"/>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2.75" customHeight="1">
      <c r="A509" s="11"/>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2.75" customHeight="1">
      <c r="A510" s="11"/>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2.75" customHeight="1">
      <c r="A511" s="11"/>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2.75" customHeight="1">
      <c r="A512" s="11"/>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2.75" customHeight="1">
      <c r="A513" s="11"/>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2.75" customHeight="1">
      <c r="A514" s="11"/>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2.75" customHeight="1">
      <c r="A515" s="11"/>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2.75" customHeight="1">
      <c r="A516" s="11"/>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2.75" customHeight="1">
      <c r="A517" s="11"/>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2.75" customHeight="1">
      <c r="A518" s="11"/>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2.75" customHeight="1">
      <c r="A519" s="11"/>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2.75" customHeight="1">
      <c r="A520" s="11"/>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2.75" customHeight="1">
      <c r="A521" s="11"/>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2.75" customHeight="1">
      <c r="A522" s="11"/>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2.75" customHeight="1">
      <c r="A523" s="11"/>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2.75" customHeight="1">
      <c r="A524" s="11"/>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2.75" customHeight="1">
      <c r="A525" s="11"/>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2.75" customHeight="1">
      <c r="A526" s="11"/>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2.75" customHeight="1">
      <c r="A527" s="11"/>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2.75" customHeight="1">
      <c r="A528" s="11"/>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2.75" customHeight="1">
      <c r="A529" s="11"/>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2.75" customHeight="1">
      <c r="A530" s="11"/>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2.75" customHeight="1">
      <c r="A531" s="11"/>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2.75" customHeight="1">
      <c r="A532" s="11"/>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2.75" customHeight="1">
      <c r="A533" s="11"/>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2.75" customHeight="1">
      <c r="A534" s="11"/>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2.75" customHeight="1">
      <c r="A535" s="11"/>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2.75" customHeight="1">
      <c r="A536" s="11"/>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2.75" customHeight="1">
      <c r="A537" s="11"/>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2.75" customHeight="1">
      <c r="A538" s="11"/>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2.75" customHeight="1">
      <c r="A539" s="11"/>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2.75" customHeight="1">
      <c r="A540" s="11"/>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2.75" customHeight="1">
      <c r="A541" s="11"/>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2.75" customHeight="1">
      <c r="A542" s="11"/>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2.75" customHeight="1">
      <c r="A543" s="11"/>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2.75" customHeight="1">
      <c r="A544" s="11"/>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2.75" customHeight="1">
      <c r="A545" s="11"/>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2.75" customHeight="1">
      <c r="A546" s="11"/>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2.75" customHeight="1">
      <c r="A547" s="11"/>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2.75" customHeight="1">
      <c r="A548" s="11"/>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2.75" customHeight="1">
      <c r="A549" s="11"/>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2.75" customHeight="1">
      <c r="A550" s="11"/>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2.75" customHeight="1">
      <c r="A551" s="11"/>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2.75" customHeight="1">
      <c r="A552" s="11"/>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2.75" customHeight="1">
      <c r="A553" s="11"/>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2.75" customHeight="1">
      <c r="A554" s="11"/>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2.75" customHeight="1">
      <c r="A555" s="11"/>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2.75" customHeight="1">
      <c r="A556" s="11"/>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2.75" customHeight="1">
      <c r="A557" s="11"/>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2.75" customHeight="1">
      <c r="A558" s="11"/>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2.75" customHeight="1">
      <c r="A559" s="11"/>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2.75" customHeight="1">
      <c r="A560" s="11"/>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2.75" customHeight="1">
      <c r="A561" s="11"/>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2.75" customHeight="1">
      <c r="A562" s="11"/>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2.75" customHeight="1">
      <c r="A563" s="11"/>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2.75" customHeight="1">
      <c r="A564" s="11"/>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2.75" customHeight="1">
      <c r="A565" s="11"/>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2.75" customHeight="1">
      <c r="A566" s="11"/>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2.75" customHeight="1">
      <c r="A567" s="11"/>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2.75" customHeight="1">
      <c r="A568" s="11"/>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2.75" customHeight="1">
      <c r="A569" s="11"/>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2.75" customHeight="1">
      <c r="A570" s="11"/>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2.75" customHeight="1">
      <c r="A571" s="11"/>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2.75" customHeight="1">
      <c r="A572" s="11"/>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2.75" customHeight="1">
      <c r="A573" s="11"/>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2.75" customHeight="1">
      <c r="A574" s="11"/>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2.75" customHeight="1">
      <c r="A575" s="11"/>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2.75" customHeight="1">
      <c r="A576" s="11"/>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2.75" customHeight="1">
      <c r="A577" s="11"/>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2.75" customHeight="1">
      <c r="A578" s="11"/>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2.75" customHeight="1">
      <c r="A579" s="11"/>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2.75" customHeight="1">
      <c r="A580" s="11"/>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2.75" customHeight="1">
      <c r="A581" s="11"/>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2.75" customHeight="1">
      <c r="A582" s="11"/>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2.75" customHeight="1">
      <c r="A583" s="11"/>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2.75" customHeight="1">
      <c r="A584" s="11"/>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2.75" customHeight="1">
      <c r="A585" s="11"/>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2.75" customHeight="1">
      <c r="A586" s="11"/>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2.75" customHeight="1">
      <c r="A587" s="11"/>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2.75" customHeight="1">
      <c r="A588" s="11"/>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2.75" customHeight="1">
      <c r="A589" s="11"/>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2.75" customHeight="1">
      <c r="A590" s="11"/>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2.75" customHeight="1">
      <c r="A591" s="11"/>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2.75" customHeight="1">
      <c r="A592" s="11"/>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2.75" customHeight="1">
      <c r="A593" s="11"/>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2.75" customHeight="1">
      <c r="A594" s="11"/>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2.75" customHeight="1">
      <c r="A595" s="11"/>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2.75" customHeight="1">
      <c r="A596" s="11"/>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2.75" customHeight="1">
      <c r="A597" s="11"/>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2.75" customHeight="1">
      <c r="A598" s="11"/>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2.75" customHeight="1">
      <c r="A599" s="11"/>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2.75" customHeight="1">
      <c r="A600" s="11"/>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2.75" customHeight="1">
      <c r="A601" s="11"/>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2.75" customHeight="1">
      <c r="A602" s="11"/>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2.75" customHeight="1">
      <c r="A603" s="11"/>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2.75" customHeight="1">
      <c r="A604" s="11"/>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2.75" customHeight="1">
      <c r="A605" s="11"/>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2.75" customHeight="1">
      <c r="A606" s="11"/>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2.75" customHeight="1">
      <c r="A607" s="11"/>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2.75" customHeight="1">
      <c r="A608" s="11"/>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2.75" customHeight="1">
      <c r="A609" s="11"/>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2.75" customHeight="1">
      <c r="A610" s="11"/>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2.75" customHeight="1">
      <c r="A611" s="11"/>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2.75" customHeight="1">
      <c r="A612" s="11"/>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2.75" customHeight="1">
      <c r="A613" s="11"/>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2.75" customHeight="1">
      <c r="A614" s="11"/>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2.75" customHeight="1">
      <c r="A615" s="11"/>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2.75" customHeight="1">
      <c r="A616" s="11"/>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2.75" customHeight="1">
      <c r="A617" s="11"/>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2.75" customHeight="1">
      <c r="A618" s="11"/>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2.75" customHeight="1">
      <c r="A619" s="11"/>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2.75" customHeight="1">
      <c r="A620" s="11"/>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2.75" customHeight="1">
      <c r="A621" s="11"/>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2.75" customHeight="1">
      <c r="A622" s="11"/>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2.75" customHeight="1">
      <c r="A623" s="11"/>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2.75" customHeight="1">
      <c r="A624" s="11"/>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2.75" customHeight="1">
      <c r="A625" s="11"/>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2.75" customHeight="1">
      <c r="A626" s="11"/>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2.75" customHeight="1">
      <c r="A627" s="11"/>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2.75" customHeight="1">
      <c r="A628" s="11"/>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2.75" customHeight="1">
      <c r="A629" s="11"/>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2.75" customHeight="1">
      <c r="A630" s="11"/>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2.75" customHeight="1">
      <c r="A631" s="11"/>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2.75" customHeight="1">
      <c r="A632" s="11"/>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2.75" customHeight="1">
      <c r="A633" s="11"/>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2.75" customHeight="1">
      <c r="A634" s="11"/>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2.75" customHeight="1">
      <c r="A635" s="11"/>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2.75" customHeight="1">
      <c r="A636" s="11"/>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2.75" customHeight="1">
      <c r="A637" s="11"/>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2.75" customHeight="1">
      <c r="A638" s="11"/>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2.75" customHeight="1">
      <c r="A639" s="11"/>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2.75" customHeight="1">
      <c r="A640" s="11"/>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2.75" customHeight="1">
      <c r="A641" s="11"/>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2.75" customHeight="1">
      <c r="A642" s="11"/>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2.75" customHeight="1">
      <c r="A643" s="11"/>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2.75" customHeight="1">
      <c r="A644" s="11"/>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2.75" customHeight="1">
      <c r="A645" s="11"/>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2.75" customHeight="1">
      <c r="A646" s="11"/>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2.75" customHeight="1">
      <c r="A647" s="11"/>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2.75" customHeight="1">
      <c r="A648" s="11"/>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2.75" customHeight="1">
      <c r="A649" s="11"/>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2.75" customHeight="1">
      <c r="A650" s="11"/>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2.75" customHeight="1">
      <c r="A651" s="11"/>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2.75" customHeight="1">
      <c r="A652" s="11"/>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2.75" customHeight="1">
      <c r="A653" s="11"/>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2.75" customHeight="1">
      <c r="A654" s="11"/>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2.75" customHeight="1">
      <c r="A655" s="11"/>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2.75" customHeight="1">
      <c r="A656" s="11"/>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2.75" customHeight="1">
      <c r="A657" s="11"/>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2.75" customHeight="1">
      <c r="A658" s="11"/>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2.75" customHeight="1">
      <c r="A659" s="11"/>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2.75" customHeight="1">
      <c r="A660" s="11"/>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2.75" customHeight="1">
      <c r="A661" s="11"/>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2.75" customHeight="1">
      <c r="A662" s="11"/>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2.75" customHeight="1">
      <c r="A663" s="11"/>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2.75" customHeight="1">
      <c r="A664" s="11"/>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2.75" customHeight="1">
      <c r="A665" s="11"/>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2.75" customHeight="1">
      <c r="A666" s="11"/>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2.75" customHeight="1">
      <c r="A667" s="11"/>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2.75" customHeight="1">
      <c r="A668" s="11"/>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2.75" customHeight="1">
      <c r="A669" s="11"/>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2.75" customHeight="1">
      <c r="A670" s="11"/>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2.75" customHeight="1">
      <c r="A671" s="11"/>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2.75" customHeight="1">
      <c r="A672" s="11"/>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2.75" customHeight="1">
      <c r="A673" s="11"/>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2.75" customHeight="1">
      <c r="A674" s="11"/>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2.75" customHeight="1">
      <c r="A675" s="11"/>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2.75" customHeight="1">
      <c r="A676" s="11"/>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2.75" customHeight="1">
      <c r="A677" s="11"/>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2.75" customHeight="1">
      <c r="A678" s="11"/>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2.75" customHeight="1">
      <c r="A679" s="11"/>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2.75" customHeight="1">
      <c r="A680" s="11"/>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2.75" customHeight="1">
      <c r="A681" s="11"/>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2.75" customHeight="1">
      <c r="A682" s="11"/>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2.75" customHeight="1">
      <c r="A683" s="11"/>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2.75" customHeight="1">
      <c r="A684" s="11"/>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2.75" customHeight="1">
      <c r="A685" s="11"/>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2.75" customHeight="1">
      <c r="A686" s="11"/>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2.75" customHeight="1">
      <c r="A687" s="11"/>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2.75" customHeight="1">
      <c r="A688" s="11"/>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2.75" customHeight="1">
      <c r="A689" s="11"/>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2.75" customHeight="1">
      <c r="A690" s="11"/>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2.75" customHeight="1">
      <c r="A691" s="11"/>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2.75" customHeight="1">
      <c r="A692" s="11"/>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2.75" customHeight="1">
      <c r="A693" s="11"/>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2.75" customHeight="1">
      <c r="A694" s="11"/>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2.75" customHeight="1">
      <c r="A695" s="11"/>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2.75" customHeight="1">
      <c r="A696" s="11"/>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2.75" customHeight="1">
      <c r="A697" s="11"/>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2.75" customHeight="1">
      <c r="A698" s="11"/>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2.75" customHeight="1">
      <c r="A699" s="11"/>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2.75" customHeight="1">
      <c r="A700" s="11"/>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2.75" customHeight="1">
      <c r="A701" s="11"/>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2.75" customHeight="1">
      <c r="A702" s="11"/>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2.75" customHeight="1">
      <c r="A703" s="11"/>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2.75" customHeight="1">
      <c r="A704" s="11"/>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2.75" customHeight="1">
      <c r="A705" s="11"/>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2.75" customHeight="1">
      <c r="A706" s="11"/>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2.75" customHeight="1">
      <c r="A707" s="11"/>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2.75" customHeight="1">
      <c r="A708" s="11"/>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2.75" customHeight="1">
      <c r="A709" s="11"/>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2.75" customHeight="1">
      <c r="A710" s="11"/>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2.75" customHeight="1">
      <c r="A711" s="11"/>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2.75" customHeight="1">
      <c r="A712" s="11"/>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2.75" customHeight="1">
      <c r="A713" s="11"/>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2.75" customHeight="1">
      <c r="A714" s="11"/>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2.75" customHeight="1">
      <c r="A715" s="11"/>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2.75" customHeight="1">
      <c r="A716" s="11"/>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2.75" customHeight="1">
      <c r="A717" s="11"/>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2.75" customHeight="1">
      <c r="A718" s="11"/>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2.75" customHeight="1">
      <c r="A719" s="11"/>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2.75" customHeight="1">
      <c r="A720" s="11"/>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2.75" customHeight="1">
      <c r="A721" s="11"/>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2.75" customHeight="1">
      <c r="A722" s="11"/>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2.75" customHeight="1">
      <c r="A723" s="11"/>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2.75" customHeight="1">
      <c r="A724" s="11"/>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2.75" customHeight="1">
      <c r="A725" s="11"/>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2.75" customHeight="1">
      <c r="A726" s="11"/>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2.75" customHeight="1">
      <c r="A727" s="11"/>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2.75" customHeight="1">
      <c r="A728" s="11"/>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2.75" customHeight="1">
      <c r="A729" s="11"/>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2.75" customHeight="1">
      <c r="A730" s="11"/>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2.75" customHeight="1">
      <c r="A731" s="11"/>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2.75" customHeight="1">
      <c r="A732" s="11"/>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2.75" customHeight="1">
      <c r="A733" s="11"/>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2.75" customHeight="1">
      <c r="A734" s="11"/>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2.75" customHeight="1">
      <c r="A735" s="11"/>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2.75" customHeight="1">
      <c r="A736" s="11"/>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2.75" customHeight="1">
      <c r="A737" s="11"/>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2.75" customHeight="1">
      <c r="A738" s="11"/>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2.75" customHeight="1">
      <c r="A739" s="11"/>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2.75" customHeight="1">
      <c r="A740" s="11"/>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2.75" customHeight="1">
      <c r="A741" s="11"/>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2.75" customHeight="1">
      <c r="A742" s="11"/>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2.75" customHeight="1">
      <c r="A743" s="11"/>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2.75" customHeight="1">
      <c r="A744" s="11"/>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2.75" customHeight="1">
      <c r="A745" s="11"/>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2.75" customHeight="1">
      <c r="A746" s="11"/>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2.75" customHeight="1">
      <c r="A747" s="11"/>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2.75" customHeight="1">
      <c r="A748" s="11"/>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2.75" customHeight="1">
      <c r="A749" s="11"/>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2.75" customHeight="1">
      <c r="A750" s="11"/>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2.75" customHeight="1">
      <c r="A751" s="11"/>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2.75" customHeight="1">
      <c r="A752" s="11"/>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2.75" customHeight="1">
      <c r="A753" s="11"/>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2.75" customHeight="1">
      <c r="A754" s="11"/>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2.75" customHeight="1">
      <c r="A755" s="11"/>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2.75" customHeight="1">
      <c r="A756" s="11"/>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2.75" customHeight="1">
      <c r="A757" s="11"/>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2.75" customHeight="1">
      <c r="A758" s="11"/>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2.75" customHeight="1">
      <c r="A759" s="11"/>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2.75" customHeight="1">
      <c r="A760" s="11"/>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2.75" customHeight="1">
      <c r="A761" s="11"/>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2.75" customHeight="1">
      <c r="A762" s="11"/>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2.75" customHeight="1">
      <c r="A763" s="11"/>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2.75" customHeight="1">
      <c r="A764" s="11"/>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2.75" customHeight="1">
      <c r="A765" s="11"/>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2.75" customHeight="1">
      <c r="A766" s="11"/>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2.75" customHeight="1">
      <c r="A767" s="11"/>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2.75" customHeight="1">
      <c r="A768" s="11"/>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2.75" customHeight="1">
      <c r="A769" s="11"/>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2.75" customHeight="1">
      <c r="A770" s="11"/>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2.75" customHeight="1">
      <c r="A771" s="11"/>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2.75" customHeight="1">
      <c r="A772" s="11"/>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2.75" customHeight="1">
      <c r="A773" s="11"/>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2.75" customHeight="1">
      <c r="A774" s="11"/>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2.75" customHeight="1">
      <c r="A775" s="11"/>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2.75" customHeight="1">
      <c r="A776" s="11"/>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2.75" customHeight="1">
      <c r="A777" s="11"/>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2.75" customHeight="1">
      <c r="A778" s="11"/>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2.75" customHeight="1">
      <c r="A779" s="11"/>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2.75" customHeight="1">
      <c r="A780" s="11"/>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2.75" customHeight="1">
      <c r="A781" s="11"/>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2.75" customHeight="1">
      <c r="A782" s="11"/>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2.75" customHeight="1">
      <c r="A783" s="11"/>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2.75" customHeight="1">
      <c r="A784" s="11"/>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2.75" customHeight="1">
      <c r="A785" s="11"/>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2.75" customHeight="1">
      <c r="A786" s="11"/>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2.75" customHeight="1">
      <c r="A787" s="11"/>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2.75" customHeight="1">
      <c r="A788" s="11"/>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2.75" customHeight="1">
      <c r="A789" s="11"/>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2.75" customHeight="1">
      <c r="A790" s="11"/>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2.75" customHeight="1">
      <c r="A791" s="11"/>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2.75" customHeight="1">
      <c r="A792" s="11"/>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2.75" customHeight="1">
      <c r="A793" s="11"/>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2.75" customHeight="1">
      <c r="A794" s="11"/>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2.75" customHeight="1">
      <c r="A795" s="11"/>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2.75" customHeight="1">
      <c r="A796" s="11"/>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2.75" customHeight="1">
      <c r="A797" s="11"/>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2.75" customHeight="1">
      <c r="A798" s="11"/>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2.75" customHeight="1">
      <c r="A799" s="11"/>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2.75" customHeight="1">
      <c r="A800" s="11"/>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2.75" customHeight="1">
      <c r="A801" s="11"/>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2.75" customHeight="1">
      <c r="A802" s="11"/>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2.75" customHeight="1">
      <c r="A803" s="11"/>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2.75" customHeight="1">
      <c r="A804" s="11"/>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2.75" customHeight="1">
      <c r="A805" s="11"/>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2.75" customHeight="1">
      <c r="A806" s="11"/>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2.75" customHeight="1">
      <c r="A807" s="11"/>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2.75" customHeight="1">
      <c r="A808" s="11"/>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2.75" customHeight="1">
      <c r="A809" s="11"/>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2.75" customHeight="1">
      <c r="A810" s="11"/>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2.75" customHeight="1">
      <c r="A811" s="11"/>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2.75" customHeight="1">
      <c r="A812" s="11"/>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2.75" customHeight="1">
      <c r="A813" s="11"/>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2.75" customHeight="1">
      <c r="A814" s="11"/>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2.75" customHeight="1">
      <c r="A815" s="11"/>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2.75" customHeight="1">
      <c r="A816" s="11"/>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2.75" customHeight="1">
      <c r="A817" s="11"/>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2.75" customHeight="1">
      <c r="A818" s="11"/>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2.75" customHeight="1">
      <c r="A819" s="11"/>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2.75" customHeight="1">
      <c r="A820" s="11"/>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2.75" customHeight="1">
      <c r="A821" s="11"/>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2.75" customHeight="1">
      <c r="A822" s="11"/>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2.75" customHeight="1">
      <c r="A823" s="11"/>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2.75" customHeight="1">
      <c r="A824" s="11"/>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2.75" customHeight="1">
      <c r="A825" s="11"/>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2.75" customHeight="1">
      <c r="A826" s="11"/>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2.75" customHeight="1">
      <c r="A827" s="11"/>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2.75" customHeight="1">
      <c r="A828" s="11"/>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2.75" customHeight="1">
      <c r="A829" s="11"/>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2.75" customHeight="1">
      <c r="A830" s="11"/>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2.75" customHeight="1">
      <c r="A831" s="11"/>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2.75" customHeight="1">
      <c r="A832" s="11"/>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2.75" customHeight="1">
      <c r="A833" s="11"/>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2.75" customHeight="1">
      <c r="A834" s="11"/>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2.75" customHeight="1">
      <c r="A835" s="11"/>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2.75" customHeight="1">
      <c r="A836" s="11"/>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2.75" customHeight="1">
      <c r="A837" s="11"/>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2.75" customHeight="1">
      <c r="A838" s="11"/>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2.75" customHeight="1">
      <c r="A839" s="11"/>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2.75" customHeight="1">
      <c r="A840" s="11"/>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2.75" customHeight="1">
      <c r="A841" s="11"/>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2.75" customHeight="1">
      <c r="A842" s="11"/>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2.75" customHeight="1">
      <c r="A843" s="11"/>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2.75" customHeight="1">
      <c r="A844" s="11"/>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2.75" customHeight="1">
      <c r="A845" s="11"/>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2.75" customHeight="1">
      <c r="A846" s="11"/>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2.75" customHeight="1">
      <c r="A847" s="11"/>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2.75" customHeight="1">
      <c r="A848" s="11"/>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2.75" customHeight="1">
      <c r="A849" s="11"/>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2.75" customHeight="1">
      <c r="A850" s="11"/>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2.75" customHeight="1">
      <c r="A851" s="11"/>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2.75" customHeight="1">
      <c r="A852" s="11"/>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2.75" customHeight="1">
      <c r="A853" s="11"/>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2.75" customHeight="1">
      <c r="A854" s="11"/>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2.75" customHeight="1">
      <c r="A855" s="11"/>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2.75" customHeight="1">
      <c r="A856" s="11"/>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2.75" customHeight="1">
      <c r="A857" s="11"/>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2.75" customHeight="1">
      <c r="A858" s="11"/>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2.75" customHeight="1">
      <c r="A859" s="11"/>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2.75" customHeight="1">
      <c r="A860" s="11"/>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2.75" customHeight="1">
      <c r="A861" s="11"/>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2.75" customHeight="1">
      <c r="A862" s="11"/>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2.75" customHeight="1">
      <c r="A863" s="11"/>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2.75" customHeight="1">
      <c r="A864" s="11"/>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2.75" customHeight="1">
      <c r="A865" s="11"/>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2.75" customHeight="1">
      <c r="A866" s="11"/>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2.75" customHeight="1">
      <c r="A867" s="11"/>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2.75" customHeight="1">
      <c r="A868" s="11"/>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2.75" customHeight="1">
      <c r="A869" s="11"/>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2.75" customHeight="1">
      <c r="A870" s="11"/>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2.75" customHeight="1">
      <c r="A871" s="11"/>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2.75" customHeight="1">
      <c r="A872" s="11"/>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2.75" customHeight="1">
      <c r="A873" s="11"/>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2.75" customHeight="1">
      <c r="A874" s="11"/>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2.75" customHeight="1">
      <c r="A875" s="11"/>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2.75" customHeight="1">
      <c r="A876" s="11"/>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2.75" customHeight="1">
      <c r="A877" s="11"/>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2.75" customHeight="1">
      <c r="A878" s="11"/>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2.75" customHeight="1">
      <c r="A879" s="11"/>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2.75" customHeight="1">
      <c r="A880" s="11"/>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2.75" customHeight="1">
      <c r="A881" s="11"/>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2.75" customHeight="1">
      <c r="A882" s="11"/>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2.75" customHeight="1">
      <c r="A883" s="11"/>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2.75" customHeight="1">
      <c r="A884" s="11"/>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2.75" customHeight="1">
      <c r="A885" s="11"/>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2.75" customHeight="1">
      <c r="A886" s="11"/>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2.75" customHeight="1">
      <c r="A887" s="11"/>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2.75" customHeight="1">
      <c r="A888" s="11"/>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2.75" customHeight="1">
      <c r="A889" s="11"/>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2.75" customHeight="1">
      <c r="A890" s="11"/>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2.75" customHeight="1">
      <c r="A891" s="11"/>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2.75" customHeight="1">
      <c r="A892" s="11"/>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2.75" customHeight="1">
      <c r="A893" s="11"/>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2.75" customHeight="1">
      <c r="A894" s="11"/>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2.75" customHeight="1">
      <c r="A895" s="11"/>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2.75" customHeight="1">
      <c r="A896" s="11"/>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2.75" customHeight="1">
      <c r="A897" s="11"/>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2.75" customHeight="1">
      <c r="A898" s="11"/>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2.75" customHeight="1">
      <c r="A899" s="11"/>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2.75" customHeight="1">
      <c r="A900" s="11"/>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2.75" customHeight="1">
      <c r="A901" s="11"/>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2.75" customHeight="1">
      <c r="A902" s="11"/>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2.75" customHeight="1">
      <c r="A903" s="11"/>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2.75" customHeight="1">
      <c r="A904" s="11"/>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2.75" customHeight="1">
      <c r="A905" s="11"/>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2.75" customHeight="1">
      <c r="A906" s="11"/>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2.75" customHeight="1">
      <c r="A907" s="11"/>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2.75" customHeight="1">
      <c r="A908" s="11"/>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2.75" customHeight="1">
      <c r="A909" s="11"/>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2.75" customHeight="1">
      <c r="A910" s="11"/>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2.75" customHeight="1">
      <c r="A911" s="11"/>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2.75" customHeight="1">
      <c r="A912" s="11"/>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2.75" customHeight="1">
      <c r="A913" s="11"/>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2.75" customHeight="1">
      <c r="A914" s="11"/>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2.75" customHeight="1">
      <c r="A915" s="11"/>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2.75" customHeight="1">
      <c r="A916" s="11"/>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2.75" customHeight="1">
      <c r="A917" s="11"/>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2.75" customHeight="1">
      <c r="A918" s="11"/>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2.75" customHeight="1">
      <c r="A919" s="11"/>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2.75" customHeight="1">
      <c r="A920" s="11"/>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2.75" customHeight="1">
      <c r="A921" s="11"/>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2.75" customHeight="1">
      <c r="A922" s="11"/>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2.75" customHeight="1">
      <c r="A923" s="11"/>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2.75" customHeight="1">
      <c r="A924" s="11"/>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2.75" customHeight="1">
      <c r="A925" s="11"/>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2.75" customHeight="1">
      <c r="A926" s="11"/>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2.75" customHeight="1">
      <c r="A927" s="11"/>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2.75" customHeight="1">
      <c r="A928" s="11"/>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2.75" customHeight="1">
      <c r="A929" s="11"/>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2.75" customHeight="1">
      <c r="A930" s="11"/>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2.75" customHeight="1">
      <c r="A931" s="11"/>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2.75" customHeight="1">
      <c r="A932" s="11"/>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2.75" customHeight="1">
      <c r="A933" s="11"/>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2.75" customHeight="1">
      <c r="A934" s="11"/>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2.75" customHeight="1">
      <c r="A935" s="11"/>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2.75" customHeight="1">
      <c r="A936" s="11"/>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2.75" customHeight="1">
      <c r="A937" s="11"/>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2.75" customHeight="1">
      <c r="A938" s="11"/>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2.75" customHeight="1">
      <c r="A939" s="11"/>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2.75" customHeight="1">
      <c r="A940" s="11"/>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2.75" customHeight="1">
      <c r="A941" s="11"/>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2.75" customHeight="1">
      <c r="A942" s="11"/>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2.75" customHeight="1">
      <c r="A943" s="11"/>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2.75" customHeight="1">
      <c r="A944" s="11"/>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2.75" customHeight="1">
      <c r="A945" s="11"/>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2.75" customHeight="1">
      <c r="A946" s="11"/>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2.75" customHeight="1">
      <c r="A947" s="11"/>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2.75" customHeight="1">
      <c r="A948" s="11"/>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2.75" customHeight="1">
      <c r="A949" s="11"/>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2.75" customHeight="1">
      <c r="A950" s="11"/>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2.75" customHeight="1">
      <c r="A951" s="11"/>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2.75" customHeight="1">
      <c r="A952" s="11"/>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2.75" customHeight="1">
      <c r="A953" s="11"/>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2.75" customHeight="1">
      <c r="A954" s="11"/>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2.75" customHeight="1">
      <c r="A955" s="11"/>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2.75" customHeight="1">
      <c r="A956" s="11"/>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2.75" customHeight="1">
      <c r="A957" s="11"/>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2.75" customHeight="1">
      <c r="A958" s="11"/>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2.75" customHeight="1">
      <c r="A959" s="11"/>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2.75" customHeight="1">
      <c r="A960" s="11"/>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2.75" customHeight="1">
      <c r="A961" s="11"/>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2.75" customHeight="1">
      <c r="A962" s="11"/>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2.75" customHeight="1">
      <c r="A963" s="11"/>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2.75" customHeight="1">
      <c r="A964" s="11"/>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2.75" customHeight="1">
      <c r="A965" s="11"/>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2.75" customHeight="1">
      <c r="A966" s="11"/>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2.75" customHeight="1">
      <c r="A967" s="11"/>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2.75" customHeight="1">
      <c r="A968" s="11"/>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2.75" customHeight="1">
      <c r="A969" s="11"/>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2.75" customHeight="1">
      <c r="A970" s="11"/>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sheetData>
  <hyperlinks>
    <hyperlink ref="A10" r:id="rId1" display="This document and translations of it may be copied and furnished to others, and derivative works that comment on or otherwise explain it or assist in its implementation may be prepared, copied, published, and distributed, in whole or in part, without restriction of any kind, provided that the above copyright notice and this section are included on all such copies and derivative works. However, this document itself may not be modified in any way, including by removing the copyright notice or references to TM FORUM, except as needed for the purpose of developing any document or deliverable produced by a TM FORUM Collaboration Project Team (in which case the rules applicable to copyrights, as set forth in the TM FORUM IPR Policy, must be followed) or as required to translate it into languages other than English." xr:uid="{FBDDD2D8-EA24-46CE-818B-4E2C2AD6CCE3}"/>
    <hyperlink ref="A22" r:id="rId2" xr:uid="{22A6E015-88D2-464D-A75A-AD490108C248}"/>
  </hyperlinks>
  <pageMargins left="0.7" right="0.45" top="0.75" bottom="0.5" header="0" footer="0"/>
  <pageSetup orientation="landscape" r:id="rId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E2856-13BB-4ECB-BB27-0370C91AFC6F}">
  <dimension ref="B1:E24"/>
  <sheetViews>
    <sheetView topLeftCell="A3" zoomScaleNormal="100" workbookViewId="0">
      <selection activeCell="E16" sqref="E16"/>
    </sheetView>
  </sheetViews>
  <sheetFormatPr defaultColWidth="7" defaultRowHeight="12"/>
  <cols>
    <col min="1" max="1" width="1.08984375" style="45" customWidth="1"/>
    <col min="2" max="2" width="7.81640625" style="45" customWidth="1"/>
    <col min="3" max="3" width="11.7265625" style="45" customWidth="1"/>
    <col min="4" max="4" width="28.453125" style="45" customWidth="1"/>
    <col min="5" max="5" width="68.6328125" style="45" customWidth="1"/>
    <col min="6" max="6" width="3" style="45" customWidth="1"/>
    <col min="7" max="16384" width="7" style="45"/>
  </cols>
  <sheetData>
    <row r="1" spans="2:5" ht="12.6" thickBot="1"/>
    <row r="2" spans="2:5" s="46" customFormat="1" ht="16.2" customHeight="1" thickBot="1">
      <c r="B2" s="62" t="s">
        <v>36</v>
      </c>
      <c r="C2" s="63"/>
      <c r="D2" s="63"/>
      <c r="E2" s="64"/>
    </row>
    <row r="3" spans="2:5" s="46" customFormat="1">
      <c r="B3" s="65" t="s">
        <v>37</v>
      </c>
      <c r="C3" s="66"/>
      <c r="D3" s="66"/>
      <c r="E3" s="67"/>
    </row>
    <row r="4" spans="2:5" s="46" customFormat="1" ht="12" customHeight="1">
      <c r="B4" s="68" t="s">
        <v>38</v>
      </c>
      <c r="C4" s="69"/>
      <c r="D4" s="69"/>
      <c r="E4" s="70"/>
    </row>
    <row r="5" spans="2:5" s="46" customFormat="1">
      <c r="B5" s="68" t="s">
        <v>39</v>
      </c>
      <c r="C5" s="69"/>
      <c r="D5" s="69"/>
      <c r="E5" s="70"/>
    </row>
    <row r="6" spans="2:5" s="46" customFormat="1">
      <c r="B6" s="68" t="s">
        <v>40</v>
      </c>
      <c r="C6" s="69"/>
      <c r="D6" s="69"/>
      <c r="E6" s="70"/>
    </row>
    <row r="7" spans="2:5" s="46" customFormat="1" ht="25.2" customHeight="1">
      <c r="B7" s="65" t="s">
        <v>41</v>
      </c>
      <c r="C7" s="66"/>
      <c r="D7" s="66"/>
      <c r="E7" s="67"/>
    </row>
    <row r="8" spans="2:5" s="46" customFormat="1" ht="13.2" customHeight="1">
      <c r="B8" s="65" t="s">
        <v>42</v>
      </c>
      <c r="C8" s="66"/>
      <c r="D8" s="66"/>
      <c r="E8" s="67"/>
    </row>
    <row r="9" spans="2:5" s="46" customFormat="1" ht="49.8" customHeight="1">
      <c r="B9" s="71" t="s">
        <v>43</v>
      </c>
      <c r="C9" s="72"/>
      <c r="D9" s="72"/>
      <c r="E9" s="73"/>
    </row>
    <row r="10" spans="2:5" s="46" customFormat="1" ht="12" customHeight="1">
      <c r="B10" s="74" t="s">
        <v>44</v>
      </c>
      <c r="C10" s="75"/>
      <c r="D10" s="75"/>
      <c r="E10" s="76"/>
    </row>
    <row r="11" spans="2:5" s="46" customFormat="1" ht="13.2" customHeight="1">
      <c r="B11" s="71" t="s">
        <v>45</v>
      </c>
      <c r="C11" s="72"/>
      <c r="D11" s="72"/>
      <c r="E11" s="73"/>
    </row>
    <row r="12" spans="2:5" s="46" customFormat="1" ht="13.95" customHeight="1" thickBot="1">
      <c r="B12" s="77" t="s">
        <v>46</v>
      </c>
      <c r="C12" s="78"/>
      <c r="D12" s="78"/>
      <c r="E12" s="79"/>
    </row>
    <row r="13" spans="2:5" ht="6.6" customHeight="1" thickBot="1"/>
    <row r="14" spans="2:5" ht="12.6" thickBot="1">
      <c r="B14" s="58"/>
      <c r="C14" s="80" t="s">
        <v>47</v>
      </c>
      <c r="D14" s="81"/>
      <c r="E14" s="82"/>
    </row>
    <row r="15" spans="2:5" ht="36">
      <c r="B15" s="50" t="s">
        <v>48</v>
      </c>
      <c r="C15" s="51" t="s">
        <v>49</v>
      </c>
      <c r="D15" s="51" t="s">
        <v>50</v>
      </c>
      <c r="E15" s="52" t="s">
        <v>51</v>
      </c>
    </row>
    <row r="16" spans="2:5" ht="99.6" customHeight="1">
      <c r="B16" s="49" t="s">
        <v>52</v>
      </c>
      <c r="C16" s="83" t="str">
        <f>[1]Questionnaire!C4</f>
        <v>Intent Translation, &amp; Intent Fulfilment</v>
      </c>
      <c r="D16" s="84" t="str">
        <f>[1]Questionnaire!E4</f>
        <v xml:space="preserve">How does the system handle intent translation and ensure successful intent fulfillment?
</v>
      </c>
      <c r="E16" s="47" t="s">
        <v>53</v>
      </c>
    </row>
    <row r="17" spans="2:5" ht="82.8" customHeight="1">
      <c r="B17" s="85" t="s">
        <v>54</v>
      </c>
      <c r="C17" s="86" t="str">
        <f>[1]Questionnaire!C5</f>
        <v xml:space="preserve">Change Request Validation &amp; Acceptance </v>
      </c>
      <c r="D17" s="84" t="str">
        <f>[1]Questionnaire!E5</f>
        <v xml:space="preserve">How does the System validate and accept the change request? 
</v>
      </c>
      <c r="E17" s="47" t="s">
        <v>55</v>
      </c>
    </row>
    <row r="18" spans="2:5" ht="58.95" customHeight="1">
      <c r="B18" s="85"/>
      <c r="C18" s="86" t="str">
        <f>[1]Questionnaire!C6</f>
        <v xml:space="preserve">Change Request Information Collection </v>
      </c>
      <c r="D18" s="84" t="str">
        <f>[1]Questionnaire!E6</f>
        <v xml:space="preserve">How does the System collect necessary information for change request?
</v>
      </c>
      <c r="E18" s="47" t="s">
        <v>56</v>
      </c>
    </row>
    <row r="19" spans="2:5" ht="86.7" customHeight="1">
      <c r="B19" s="85" t="s">
        <v>57</v>
      </c>
      <c r="C19" s="86" t="str">
        <f>[1]Questionnaire!C7</f>
        <v>Requirements Impact &amp; Risk Analysis</v>
      </c>
      <c r="D19" s="84" t="str">
        <f>[1]Questionnaire!E7</f>
        <v>How does the System support network change requirements impact and risk analysis?</v>
      </c>
      <c r="E19" s="47" t="s">
        <v>58</v>
      </c>
    </row>
    <row r="20" spans="2:5" ht="55.95" customHeight="1">
      <c r="B20" s="85"/>
      <c r="C20" s="86" t="str">
        <f>[1]Questionnaire!C8</f>
        <v>Network change Solution Generation</v>
      </c>
      <c r="D20" s="84" t="str">
        <f>[1]Questionnaire!E8</f>
        <v>How does the System generate the solution that supports the Change Request?</v>
      </c>
      <c r="E20" s="47" t="s">
        <v>59</v>
      </c>
    </row>
    <row r="21" spans="2:5" ht="60">
      <c r="B21" s="49" t="s">
        <v>60</v>
      </c>
      <c r="C21" s="86" t="str">
        <f>[1]Questionnaire!C9</f>
        <v>Network Change solution Evaluation &amp; Decision</v>
      </c>
      <c r="D21" s="84" t="str">
        <f>[1]Questionnaire!E9</f>
        <v>How does the System support solution evaluation and decision to implement requested change?</v>
      </c>
      <c r="E21" s="48" t="s">
        <v>61</v>
      </c>
    </row>
    <row r="22" spans="2:5" ht="90.6" customHeight="1">
      <c r="B22" s="85" t="s">
        <v>62</v>
      </c>
      <c r="C22" s="86" t="str">
        <f>[1]Questionnaire!C10</f>
        <v>Network Normality Verification</v>
      </c>
      <c r="D22" s="84" t="str">
        <f>[1]Questionnaire!E10</f>
        <v>How does the System verify the normality of the network before the change? 
E.g.: automatic health check</v>
      </c>
      <c r="E22" s="47" t="s">
        <v>63</v>
      </c>
    </row>
    <row r="23" spans="2:5" ht="89.4" customHeight="1">
      <c r="B23" s="85"/>
      <c r="C23" s="86" t="str">
        <f>[1]Questionnaire!C11</f>
        <v>Network Change Implementation</v>
      </c>
      <c r="D23" s="84" t="str">
        <f>[1]Questionnaire!E11</f>
        <v xml:space="preserve">How does the System implement the change in the network and roll-back in case of failure?
</v>
      </c>
      <c r="E23" s="47" t="s">
        <v>64</v>
      </c>
    </row>
    <row r="24" spans="2:5" ht="142.19999999999999" customHeight="1" thickBot="1">
      <c r="B24" s="87"/>
      <c r="C24" s="88" t="str">
        <f>[1]Questionnaire!C12</f>
        <v>Service Verification</v>
      </c>
      <c r="D24" s="84" t="str">
        <f>[1]Questionnaire!E12</f>
        <v xml:space="preserve">How does the System verify and confirm the change implementation results?
Note: Implementation results include network element alarms, performance indicators, inspection logs &amp; expected results of network changes. </v>
      </c>
      <c r="E24" s="47" t="s">
        <v>65</v>
      </c>
    </row>
  </sheetData>
  <mergeCells count="15">
    <mergeCell ref="B17:B18"/>
    <mergeCell ref="B19:B20"/>
    <mergeCell ref="B22:B24"/>
    <mergeCell ref="B8:E8"/>
    <mergeCell ref="B9:E9"/>
    <mergeCell ref="B10:E10"/>
    <mergeCell ref="B11:E11"/>
    <mergeCell ref="B12:E12"/>
    <mergeCell ref="C14:E14"/>
    <mergeCell ref="B2:E2"/>
    <mergeCell ref="B3:E3"/>
    <mergeCell ref="B4:E4"/>
    <mergeCell ref="B5:E5"/>
    <mergeCell ref="B6:E6"/>
    <mergeCell ref="B7:E7"/>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4DCD2-BB78-4C0B-8FA1-55F4E8FF1643}">
  <dimension ref="A1:R20"/>
  <sheetViews>
    <sheetView showGridLines="0" zoomScale="90" zoomScaleNormal="90" workbookViewId="0">
      <pane ySplit="1" topLeftCell="A11" activePane="bottomLeft" state="frozen"/>
      <selection activeCell="B1" sqref="B1"/>
      <selection pane="bottomLeft" activeCell="C19" sqref="C19"/>
    </sheetView>
  </sheetViews>
  <sheetFormatPr defaultColWidth="7.08984375" defaultRowHeight="12"/>
  <cols>
    <col min="1" max="1" width="9.08984375" style="151" customWidth="1"/>
    <col min="2" max="2" width="9.26953125" style="152" customWidth="1"/>
    <col min="3" max="3" width="16.6328125" style="151" customWidth="1"/>
    <col min="4" max="4" width="5.26953125" style="151" customWidth="1"/>
    <col min="5" max="5" width="27.81640625" style="151" customWidth="1"/>
    <col min="6" max="9" width="24.36328125" style="151" customWidth="1"/>
    <col min="10" max="10" width="8.81640625" style="151" customWidth="1"/>
    <col min="11" max="11" width="14.6328125" style="99" bestFit="1" customWidth="1"/>
    <col min="12" max="13" width="13.453125" style="99" bestFit="1" customWidth="1"/>
    <col min="14" max="14" width="13.36328125" style="99" bestFit="1" customWidth="1"/>
    <col min="15" max="15" width="12.26953125" style="99" bestFit="1" customWidth="1"/>
    <col min="16" max="16" width="13.7265625" style="99" bestFit="1" customWidth="1"/>
    <col min="17" max="17" width="15.90625" style="99" customWidth="1"/>
    <col min="18" max="18" width="12.54296875" style="99" customWidth="1"/>
    <col min="19" max="16384" width="7.08984375" style="99"/>
  </cols>
  <sheetData>
    <row r="1" spans="1:18" ht="17.399999999999999" customHeight="1">
      <c r="A1" s="89" t="s">
        <v>66</v>
      </c>
      <c r="B1" s="90" t="s">
        <v>48</v>
      </c>
      <c r="C1" s="91" t="s">
        <v>49</v>
      </c>
      <c r="D1" s="91" t="s">
        <v>67</v>
      </c>
      <c r="E1" s="91" t="s">
        <v>50</v>
      </c>
      <c r="F1" s="92" t="s">
        <v>68</v>
      </c>
      <c r="G1" s="92" t="s">
        <v>69</v>
      </c>
      <c r="H1" s="92" t="s">
        <v>70</v>
      </c>
      <c r="I1" s="92" t="s">
        <v>71</v>
      </c>
      <c r="J1" s="93"/>
      <c r="K1" s="94" t="s">
        <v>72</v>
      </c>
      <c r="L1" s="95"/>
      <c r="M1" s="95"/>
      <c r="N1" s="95"/>
      <c r="O1" s="95"/>
      <c r="P1" s="96"/>
      <c r="Q1" s="97" t="s">
        <v>73</v>
      </c>
      <c r="R1" s="98" t="s">
        <v>74</v>
      </c>
    </row>
    <row r="2" spans="1:18" ht="27.6" customHeight="1">
      <c r="A2" s="100"/>
      <c r="B2" s="101"/>
      <c r="C2" s="102"/>
      <c r="D2" s="102"/>
      <c r="E2" s="102"/>
      <c r="F2" s="103"/>
      <c r="G2" s="103"/>
      <c r="H2" s="103"/>
      <c r="I2" s="103"/>
      <c r="J2" s="103" t="s">
        <v>75</v>
      </c>
      <c r="K2" s="104" t="s">
        <v>76</v>
      </c>
      <c r="L2" s="105" t="s">
        <v>77</v>
      </c>
      <c r="M2" s="105" t="s">
        <v>78</v>
      </c>
      <c r="N2" s="105" t="s">
        <v>79</v>
      </c>
      <c r="O2" s="104" t="s">
        <v>80</v>
      </c>
      <c r="P2" s="106" t="s">
        <v>81</v>
      </c>
      <c r="Q2" s="107"/>
      <c r="R2" s="108"/>
    </row>
    <row r="3" spans="1:18" ht="15" customHeight="1" thickBot="1">
      <c r="A3" s="100"/>
      <c r="B3" s="101"/>
      <c r="C3" s="102"/>
      <c r="D3" s="102"/>
      <c r="E3" s="102"/>
      <c r="F3" s="103"/>
      <c r="G3" s="103"/>
      <c r="H3" s="103"/>
      <c r="I3" s="103"/>
      <c r="J3" s="109"/>
      <c r="K3" s="110">
        <v>0.4</v>
      </c>
      <c r="L3" s="110">
        <v>0.2</v>
      </c>
      <c r="M3" s="110">
        <v>0.2</v>
      </c>
      <c r="N3" s="110">
        <v>0.15</v>
      </c>
      <c r="O3" s="110">
        <v>0.05</v>
      </c>
      <c r="P3" s="110" t="s">
        <v>82</v>
      </c>
      <c r="Q3" s="107"/>
      <c r="R3" s="108"/>
    </row>
    <row r="4" spans="1:18" ht="48" customHeight="1">
      <c r="A4" s="111" t="s">
        <v>83</v>
      </c>
      <c r="B4" s="112" t="s">
        <v>52</v>
      </c>
      <c r="C4" s="113" t="s">
        <v>84</v>
      </c>
      <c r="D4" s="44">
        <v>0.1</v>
      </c>
      <c r="E4" s="114" t="s">
        <v>85</v>
      </c>
      <c r="F4" s="115" t="s">
        <v>86</v>
      </c>
      <c r="G4" s="115" t="s">
        <v>87</v>
      </c>
      <c r="H4" s="116" t="s">
        <v>88</v>
      </c>
      <c r="I4" s="116" t="s">
        <v>89</v>
      </c>
      <c r="J4" s="117" t="s">
        <v>90</v>
      </c>
      <c r="K4" s="118" t="s">
        <v>91</v>
      </c>
      <c r="L4" s="118" t="s">
        <v>91</v>
      </c>
      <c r="M4" s="118" t="s">
        <v>91</v>
      </c>
      <c r="N4" s="118" t="s">
        <v>91</v>
      </c>
      <c r="O4" s="118" t="s">
        <v>91</v>
      </c>
      <c r="P4" s="118" t="s">
        <v>91</v>
      </c>
      <c r="Q4" s="119"/>
      <c r="R4" s="120"/>
    </row>
    <row r="5" spans="1:18" ht="45" customHeight="1">
      <c r="A5" s="121"/>
      <c r="B5" s="122" t="s">
        <v>54</v>
      </c>
      <c r="C5" s="86" t="s">
        <v>92</v>
      </c>
      <c r="D5" s="123">
        <v>0.1</v>
      </c>
      <c r="E5" s="84" t="s">
        <v>93</v>
      </c>
      <c r="F5" s="124" t="s">
        <v>94</v>
      </c>
      <c r="G5" s="124" t="s">
        <v>95</v>
      </c>
      <c r="H5" s="124" t="s">
        <v>96</v>
      </c>
      <c r="I5" s="124" t="s">
        <v>97</v>
      </c>
      <c r="J5" s="125"/>
      <c r="K5" s="126" t="s">
        <v>91</v>
      </c>
      <c r="L5" s="126" t="s">
        <v>91</v>
      </c>
      <c r="M5" s="126" t="s">
        <v>91</v>
      </c>
      <c r="N5" s="126" t="s">
        <v>91</v>
      </c>
      <c r="O5" s="126" t="s">
        <v>91</v>
      </c>
      <c r="P5" s="126" t="s">
        <v>91</v>
      </c>
      <c r="Q5" s="127"/>
      <c r="R5" s="128"/>
    </row>
    <row r="6" spans="1:18" ht="42" customHeight="1">
      <c r="A6" s="121"/>
      <c r="B6" s="129"/>
      <c r="C6" s="86" t="s">
        <v>98</v>
      </c>
      <c r="D6" s="123">
        <v>0.1</v>
      </c>
      <c r="E6" s="84" t="s">
        <v>99</v>
      </c>
      <c r="F6" s="124" t="s">
        <v>100</v>
      </c>
      <c r="G6" s="124" t="s">
        <v>101</v>
      </c>
      <c r="H6" s="124" t="s">
        <v>102</v>
      </c>
      <c r="I6" s="124" t="s">
        <v>103</v>
      </c>
      <c r="J6" s="125" t="s">
        <v>104</v>
      </c>
      <c r="K6" s="126" t="s">
        <v>91</v>
      </c>
      <c r="L6" s="126" t="s">
        <v>91</v>
      </c>
      <c r="M6" s="126" t="s">
        <v>91</v>
      </c>
      <c r="N6" s="126" t="s">
        <v>91</v>
      </c>
      <c r="O6" s="126" t="s">
        <v>91</v>
      </c>
      <c r="P6" s="126" t="s">
        <v>91</v>
      </c>
      <c r="Q6" s="127"/>
      <c r="R6" s="128"/>
    </row>
    <row r="7" spans="1:18" ht="47.4" customHeight="1">
      <c r="A7" s="121"/>
      <c r="B7" s="130" t="s">
        <v>105</v>
      </c>
      <c r="C7" s="83" t="s">
        <v>106</v>
      </c>
      <c r="D7" s="123">
        <v>0.15</v>
      </c>
      <c r="E7" s="84" t="s">
        <v>107</v>
      </c>
      <c r="F7" s="124" t="s">
        <v>108</v>
      </c>
      <c r="G7" s="124" t="s">
        <v>109</v>
      </c>
      <c r="H7" s="124" t="s">
        <v>110</v>
      </c>
      <c r="I7" s="124" t="s">
        <v>111</v>
      </c>
      <c r="J7" s="125"/>
      <c r="K7" s="126" t="s">
        <v>91</v>
      </c>
      <c r="L7" s="126" t="s">
        <v>91</v>
      </c>
      <c r="M7" s="126" t="s">
        <v>91</v>
      </c>
      <c r="N7" s="126" t="s">
        <v>91</v>
      </c>
      <c r="O7" s="126" t="s">
        <v>91</v>
      </c>
      <c r="P7" s="126" t="s">
        <v>91</v>
      </c>
      <c r="Q7" s="127"/>
      <c r="R7" s="128"/>
    </row>
    <row r="8" spans="1:18" ht="58.5" customHeight="1">
      <c r="A8" s="121"/>
      <c r="B8" s="130"/>
      <c r="C8" s="83" t="s">
        <v>112</v>
      </c>
      <c r="D8" s="123">
        <v>0.1</v>
      </c>
      <c r="E8" s="84" t="s">
        <v>113</v>
      </c>
      <c r="F8" s="124" t="s">
        <v>114</v>
      </c>
      <c r="G8" s="124" t="s">
        <v>115</v>
      </c>
      <c r="H8" s="124" t="s">
        <v>116</v>
      </c>
      <c r="I8" s="124" t="s">
        <v>117</v>
      </c>
      <c r="J8" s="125" t="s">
        <v>118</v>
      </c>
      <c r="K8" s="126" t="s">
        <v>91</v>
      </c>
      <c r="L8" s="126" t="s">
        <v>91</v>
      </c>
      <c r="M8" s="126" t="s">
        <v>91</v>
      </c>
      <c r="N8" s="126" t="s">
        <v>91</v>
      </c>
      <c r="O8" s="126" t="s">
        <v>91</v>
      </c>
      <c r="P8" s="126" t="s">
        <v>91</v>
      </c>
      <c r="Q8" s="127"/>
      <c r="R8" s="128"/>
    </row>
    <row r="9" spans="1:18" ht="76.05" customHeight="1">
      <c r="A9" s="121"/>
      <c r="B9" s="131" t="s">
        <v>60</v>
      </c>
      <c r="C9" s="83" t="s">
        <v>119</v>
      </c>
      <c r="D9" s="123">
        <v>0.15</v>
      </c>
      <c r="E9" s="132" t="s">
        <v>120</v>
      </c>
      <c r="F9" s="124" t="s">
        <v>121</v>
      </c>
      <c r="G9" s="124" t="s">
        <v>122</v>
      </c>
      <c r="H9" s="124" t="s">
        <v>123</v>
      </c>
      <c r="I9" s="124" t="s">
        <v>124</v>
      </c>
      <c r="J9" s="125" t="s">
        <v>125</v>
      </c>
      <c r="K9" s="126" t="s">
        <v>91</v>
      </c>
      <c r="L9" s="126" t="s">
        <v>91</v>
      </c>
      <c r="M9" s="126" t="s">
        <v>91</v>
      </c>
      <c r="N9" s="126" t="s">
        <v>91</v>
      </c>
      <c r="O9" s="126" t="s">
        <v>91</v>
      </c>
      <c r="P9" s="126" t="s">
        <v>91</v>
      </c>
      <c r="Q9" s="127"/>
      <c r="R9" s="128"/>
    </row>
    <row r="10" spans="1:18" ht="50.4" customHeight="1">
      <c r="A10" s="121"/>
      <c r="B10" s="133" t="s">
        <v>62</v>
      </c>
      <c r="C10" s="134" t="s">
        <v>126</v>
      </c>
      <c r="D10" s="135">
        <v>0.1</v>
      </c>
      <c r="E10" s="136" t="s">
        <v>127</v>
      </c>
      <c r="F10" s="137" t="s">
        <v>128</v>
      </c>
      <c r="G10" s="137" t="s">
        <v>129</v>
      </c>
      <c r="H10" s="137" t="s">
        <v>130</v>
      </c>
      <c r="I10" s="137" t="s">
        <v>131</v>
      </c>
      <c r="J10" s="138"/>
      <c r="K10" s="126" t="s">
        <v>91</v>
      </c>
      <c r="L10" s="126" t="s">
        <v>91</v>
      </c>
      <c r="M10" s="126" t="s">
        <v>91</v>
      </c>
      <c r="N10" s="126" t="s">
        <v>91</v>
      </c>
      <c r="O10" s="126" t="s">
        <v>91</v>
      </c>
      <c r="P10" s="126" t="s">
        <v>91</v>
      </c>
      <c r="Q10" s="127"/>
      <c r="R10" s="128"/>
    </row>
    <row r="11" spans="1:18" ht="101.4" customHeight="1">
      <c r="A11" s="121"/>
      <c r="B11" s="139"/>
      <c r="C11" s="86" t="s">
        <v>132</v>
      </c>
      <c r="D11" s="123">
        <v>0.1</v>
      </c>
      <c r="E11" s="84" t="s">
        <v>133</v>
      </c>
      <c r="F11" s="137" t="s">
        <v>134</v>
      </c>
      <c r="G11" s="137" t="s">
        <v>135</v>
      </c>
      <c r="H11" s="137" t="s">
        <v>136</v>
      </c>
      <c r="I11" s="124"/>
      <c r="J11" s="140" t="s">
        <v>137</v>
      </c>
      <c r="K11" s="126" t="s">
        <v>91</v>
      </c>
      <c r="L11" s="126" t="s">
        <v>91</v>
      </c>
      <c r="M11" s="126" t="s">
        <v>91</v>
      </c>
      <c r="N11" s="126" t="s">
        <v>91</v>
      </c>
      <c r="O11" s="126" t="s">
        <v>91</v>
      </c>
      <c r="P11" s="126" t="s">
        <v>91</v>
      </c>
      <c r="Q11" s="127"/>
      <c r="R11" s="128"/>
    </row>
    <row r="12" spans="1:18" ht="76.2" customHeight="1" thickBot="1">
      <c r="A12" s="141"/>
      <c r="B12" s="142"/>
      <c r="C12" s="143" t="s">
        <v>138</v>
      </c>
      <c r="D12" s="144">
        <v>0.1</v>
      </c>
      <c r="E12" s="145" t="s">
        <v>139</v>
      </c>
      <c r="F12" s="146" t="s">
        <v>140</v>
      </c>
      <c r="G12" s="146" t="s">
        <v>141</v>
      </c>
      <c r="H12" s="146" t="s">
        <v>142</v>
      </c>
      <c r="I12" s="146" t="s">
        <v>143</v>
      </c>
      <c r="J12" s="147" t="s">
        <v>137</v>
      </c>
      <c r="K12" s="148" t="s">
        <v>91</v>
      </c>
      <c r="L12" s="148" t="s">
        <v>91</v>
      </c>
      <c r="M12" s="148" t="s">
        <v>91</v>
      </c>
      <c r="N12" s="148" t="s">
        <v>91</v>
      </c>
      <c r="O12" s="148" t="s">
        <v>91</v>
      </c>
      <c r="P12" s="148" t="s">
        <v>91</v>
      </c>
      <c r="Q12" s="149"/>
      <c r="R12" s="150"/>
    </row>
    <row r="13" spans="1:18">
      <c r="D13" s="153">
        <f>SUM(D4:D12)</f>
        <v>1</v>
      </c>
    </row>
    <row r="14" spans="1:18">
      <c r="D14" s="153"/>
    </row>
    <row r="15" spans="1:18" ht="24.6" customHeight="1">
      <c r="A15" s="154" t="s">
        <v>144</v>
      </c>
      <c r="B15" s="154"/>
      <c r="C15" s="154"/>
      <c r="D15" s="154"/>
      <c r="E15" s="154"/>
      <c r="F15" s="154"/>
      <c r="G15" s="154"/>
      <c r="H15" s="154"/>
      <c r="I15" s="154"/>
      <c r="J15" s="154"/>
      <c r="K15" s="154"/>
      <c r="L15" s="154"/>
    </row>
    <row r="16" spans="1:18" ht="27.6">
      <c r="A16" s="155" t="s">
        <v>145</v>
      </c>
      <c r="B16" s="156"/>
      <c r="C16" s="156"/>
      <c r="D16" s="157" t="s">
        <v>67</v>
      </c>
      <c r="E16" s="158" t="s">
        <v>146</v>
      </c>
      <c r="F16" s="159" t="s">
        <v>68</v>
      </c>
      <c r="G16" s="159" t="s">
        <v>69</v>
      </c>
      <c r="H16" s="160" t="s">
        <v>70</v>
      </c>
      <c r="I16" s="159" t="s">
        <v>147</v>
      </c>
      <c r="J16" s="161" t="s">
        <v>148</v>
      </c>
      <c r="K16" s="161"/>
      <c r="L16" s="159" t="s">
        <v>149</v>
      </c>
    </row>
    <row r="17" spans="1:12" s="172" customFormat="1" ht="108">
      <c r="A17" s="162" t="s">
        <v>150</v>
      </c>
      <c r="B17" s="163"/>
      <c r="C17" s="164"/>
      <c r="D17" s="59">
        <v>0.6</v>
      </c>
      <c r="E17" s="165" t="s">
        <v>151</v>
      </c>
      <c r="F17" s="166" t="s">
        <v>152</v>
      </c>
      <c r="G17" s="167" t="s">
        <v>153</v>
      </c>
      <c r="H17" s="168" t="s">
        <v>154</v>
      </c>
      <c r="I17" s="169" t="s">
        <v>155</v>
      </c>
      <c r="J17" s="170"/>
      <c r="K17" s="170"/>
      <c r="L17" s="171" t="s">
        <v>91</v>
      </c>
    </row>
    <row r="18" spans="1:12" s="172" customFormat="1" ht="96" customHeight="1">
      <c r="A18" s="162" t="s">
        <v>156</v>
      </c>
      <c r="B18" s="163"/>
      <c r="C18" s="164"/>
      <c r="D18" s="59">
        <v>0.4</v>
      </c>
      <c r="E18" s="165" t="s">
        <v>157</v>
      </c>
      <c r="F18" s="166" t="s">
        <v>152</v>
      </c>
      <c r="G18" s="167" t="s">
        <v>153</v>
      </c>
      <c r="H18" s="168" t="s">
        <v>154</v>
      </c>
      <c r="I18" s="169" t="s">
        <v>155</v>
      </c>
      <c r="J18" s="170"/>
      <c r="K18" s="170"/>
      <c r="L18" s="171" t="s">
        <v>91</v>
      </c>
    </row>
    <row r="20" spans="1:12" ht="14.4">
      <c r="E20" s="173"/>
    </row>
  </sheetData>
  <mergeCells count="24">
    <mergeCell ref="A17:C17"/>
    <mergeCell ref="J17:K17"/>
    <mergeCell ref="A18:C18"/>
    <mergeCell ref="J18:K18"/>
    <mergeCell ref="A4:A12"/>
    <mergeCell ref="B5:B6"/>
    <mergeCell ref="B7:B8"/>
    <mergeCell ref="B10:B12"/>
    <mergeCell ref="A15:L15"/>
    <mergeCell ref="A16:C16"/>
    <mergeCell ref="J16:K16"/>
    <mergeCell ref="G1:G3"/>
    <mergeCell ref="H1:H3"/>
    <mergeCell ref="I1:I3"/>
    <mergeCell ref="K1:P1"/>
    <mergeCell ref="Q1:Q3"/>
    <mergeCell ref="R1:R3"/>
    <mergeCell ref="J2:J3"/>
    <mergeCell ref="A1:A3"/>
    <mergeCell ref="B1:B3"/>
    <mergeCell ref="C1:C3"/>
    <mergeCell ref="D1:D3"/>
    <mergeCell ref="E1:E3"/>
    <mergeCell ref="F1:F3"/>
  </mergeCells>
  <dataValidations count="3">
    <dataValidation allowBlank="1" showDropDown="1" showInputMessage="1" showErrorMessage="1" sqref="J17:J18" xr:uid="{C96E65C7-CBAF-4032-A668-B20EA408BDAC}"/>
    <dataValidation type="list" allowBlank="1" showInputMessage="1" showErrorMessage="1" sqref="K5:P12 L17:L18" xr:uid="{B3BAC1E1-B193-40B2-A754-527EB95152CE}">
      <formula1>"A,B,C,D"</formula1>
    </dataValidation>
    <dataValidation type="list" allowBlank="1" showInputMessage="1" showErrorMessage="1" sqref="K4:P4" xr:uid="{794480DF-1BC5-40E9-9FA2-A9C784EC4C4B}">
      <formula1>"A,B,C"</formula1>
    </dataValidation>
  </dataValidations>
  <pageMargins left="0.7" right="0.7" top="0.75" bottom="0.75" header="0.3" footer="0.3"/>
  <pageSetup paperSize="9" orientation="portrait" r:id="rId1"/>
  <headerFooter>
    <oddFooter>&amp;C&amp;1#&amp;"Calibri"&amp;8&amp;KED7D31Orange Restricted</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8DC78-F525-4872-AF75-945F5A337C70}">
  <dimension ref="A1:AH21"/>
  <sheetViews>
    <sheetView showGridLines="0" topLeftCell="A10" zoomScale="110" zoomScaleNormal="110" workbookViewId="0">
      <selection activeCell="F21" sqref="F21"/>
    </sheetView>
  </sheetViews>
  <sheetFormatPr defaultColWidth="7.36328125" defaultRowHeight="12"/>
  <cols>
    <col min="1" max="1" width="8.26953125" style="99" customWidth="1"/>
    <col min="2" max="2" width="8.453125" style="99" customWidth="1"/>
    <col min="3" max="3" width="15.90625" style="99" customWidth="1"/>
    <col min="4" max="4" width="5.6328125" style="99" customWidth="1"/>
    <col min="5" max="5" width="33.26953125" style="99" customWidth="1"/>
    <col min="6" max="9" width="4.7265625" style="99" customWidth="1"/>
    <col min="10" max="10" width="7.1796875" style="99" customWidth="1"/>
    <col min="11" max="11" width="8.6328125" style="99" customWidth="1"/>
    <col min="12" max="12" width="7.1796875" style="99" customWidth="1"/>
    <col min="13" max="13" width="8.54296875" style="99" customWidth="1"/>
    <col min="14" max="15" width="7.1796875" style="99" customWidth="1"/>
    <col min="16" max="16" width="5.54296875" style="99" customWidth="1"/>
    <col min="17" max="17" width="8" style="99" customWidth="1"/>
    <col min="18" max="19" width="5.54296875" style="99" customWidth="1"/>
    <col min="20" max="20" width="8" style="99" customWidth="1"/>
    <col min="21" max="22" width="5.54296875" style="99" customWidth="1"/>
    <col min="23" max="23" width="7.7265625" style="99" customWidth="1"/>
    <col min="24" max="25" width="5.54296875" style="99" customWidth="1"/>
    <col min="26" max="26" width="7.81640625" style="99" customWidth="1"/>
    <col min="27" max="28" width="5.54296875" style="99" customWidth="1"/>
    <col min="29" max="29" width="7.36328125" style="99"/>
    <col min="30" max="31" width="5.54296875" style="99" customWidth="1"/>
    <col min="32" max="32" width="8" style="99" customWidth="1"/>
    <col min="33" max="33" width="5.54296875" style="99" customWidth="1"/>
    <col min="34" max="34" width="8.08984375" style="99" customWidth="1"/>
    <col min="35" max="16384" width="7.36328125" style="99"/>
  </cols>
  <sheetData>
    <row r="1" spans="1:34" ht="14.4" customHeight="1">
      <c r="A1" s="174" t="s">
        <v>66</v>
      </c>
      <c r="B1" s="175" t="s">
        <v>48</v>
      </c>
      <c r="C1" s="176" t="s">
        <v>49</v>
      </c>
      <c r="D1" s="176" t="s">
        <v>67</v>
      </c>
      <c r="E1" s="177" t="s">
        <v>50</v>
      </c>
      <c r="F1" s="178" t="s">
        <v>158</v>
      </c>
      <c r="G1" s="179"/>
      <c r="H1" s="179"/>
      <c r="I1" s="179"/>
      <c r="J1" s="179"/>
      <c r="K1" s="179"/>
      <c r="L1" s="179"/>
      <c r="M1" s="179"/>
      <c r="N1" s="179"/>
      <c r="O1" s="179"/>
      <c r="P1" s="179"/>
      <c r="Q1" s="179"/>
      <c r="R1" s="179"/>
      <c r="S1" s="179"/>
      <c r="T1" s="179"/>
      <c r="U1" s="179"/>
      <c r="V1" s="179"/>
      <c r="W1" s="179"/>
      <c r="X1" s="179"/>
      <c r="Y1" s="179"/>
      <c r="Z1" s="179"/>
      <c r="AA1" s="179"/>
      <c r="AB1" s="179"/>
      <c r="AC1" s="179"/>
      <c r="AD1" s="179"/>
      <c r="AE1" s="179"/>
      <c r="AF1" s="179"/>
      <c r="AG1" s="179"/>
      <c r="AH1" s="180"/>
    </row>
    <row r="2" spans="1:34" ht="27.6" customHeight="1">
      <c r="A2" s="181"/>
      <c r="B2" s="182"/>
      <c r="C2" s="183"/>
      <c r="D2" s="183"/>
      <c r="E2" s="184"/>
      <c r="F2" s="185" t="s">
        <v>159</v>
      </c>
      <c r="G2" s="186"/>
      <c r="H2" s="186"/>
      <c r="I2" s="187"/>
      <c r="J2" s="188" t="s">
        <v>160</v>
      </c>
      <c r="K2" s="189"/>
      <c r="L2" s="189"/>
      <c r="M2" s="189"/>
      <c r="N2" s="189"/>
      <c r="O2" s="190"/>
      <c r="P2" s="191" t="str">
        <f>[1]Questionnaire!K2</f>
        <v>Parameter Optimization &amp; Tuning</v>
      </c>
      <c r="Q2" s="191"/>
      <c r="R2" s="191"/>
      <c r="S2" s="192" t="str">
        <f>[1]Questionnaire!L2</f>
        <v>Feature Activation &amp; Configuration Changes</v>
      </c>
      <c r="T2" s="192"/>
      <c r="U2" s="192"/>
      <c r="V2" s="193" t="str">
        <f>[1]Questionnaire!M2</f>
        <v>Capacity Expansions &amp; Carrier Additions</v>
      </c>
      <c r="W2" s="193"/>
      <c r="X2" s="193"/>
      <c r="Y2" s="194" t="str">
        <f>[1]Questionnaire!N2</f>
        <v>Cell Site Integration &amp; Reconfiguration</v>
      </c>
      <c r="Z2" s="194"/>
      <c r="AA2" s="194"/>
      <c r="AB2" s="195" t="str">
        <f>[1]Questionnaire!O2</f>
        <v>Software Upgrade &amp; Patches</v>
      </c>
      <c r="AC2" s="195"/>
      <c r="AD2" s="195"/>
      <c r="AE2" s="196" t="str">
        <f>[1]Questionnaire!P2</f>
        <v>Other sub-scenarios to be defined by CSP</v>
      </c>
      <c r="AF2" s="196"/>
      <c r="AG2" s="196"/>
      <c r="AH2" s="197" t="s">
        <v>161</v>
      </c>
    </row>
    <row r="3" spans="1:34" ht="17.399999999999999" customHeight="1">
      <c r="A3" s="181"/>
      <c r="B3" s="198"/>
      <c r="C3" s="199"/>
      <c r="D3" s="199"/>
      <c r="E3" s="184"/>
      <c r="F3" s="200"/>
      <c r="G3" s="201"/>
      <c r="H3" s="201"/>
      <c r="I3" s="202"/>
      <c r="J3" s="203"/>
      <c r="K3" s="204"/>
      <c r="L3" s="204"/>
      <c r="M3" s="204"/>
      <c r="N3" s="204"/>
      <c r="O3" s="205"/>
      <c r="P3" s="206">
        <f>[1]Questionnaire!K3</f>
        <v>0.4</v>
      </c>
      <c r="Q3" s="206"/>
      <c r="R3" s="206"/>
      <c r="S3" s="207">
        <f>[1]Questionnaire!L3</f>
        <v>0.2</v>
      </c>
      <c r="T3" s="207"/>
      <c r="U3" s="207"/>
      <c r="V3" s="208">
        <f>[1]Questionnaire!M3</f>
        <v>0.2</v>
      </c>
      <c r="W3" s="208"/>
      <c r="X3" s="208"/>
      <c r="Y3" s="209">
        <f>[1]Questionnaire!N3</f>
        <v>0.15</v>
      </c>
      <c r="Z3" s="209"/>
      <c r="AA3" s="209"/>
      <c r="AB3" s="210">
        <f>[1]Questionnaire!O3</f>
        <v>0.05</v>
      </c>
      <c r="AC3" s="210"/>
      <c r="AD3" s="210"/>
      <c r="AE3" s="211">
        <v>0</v>
      </c>
      <c r="AF3" s="211"/>
      <c r="AG3" s="211"/>
      <c r="AH3" s="197"/>
    </row>
    <row r="4" spans="1:34" ht="41.4" thickBot="1">
      <c r="A4" s="212"/>
      <c r="B4" s="198"/>
      <c r="C4" s="199"/>
      <c r="D4" s="199"/>
      <c r="E4" s="184"/>
      <c r="F4" s="213" t="s">
        <v>68</v>
      </c>
      <c r="G4" s="213" t="s">
        <v>69</v>
      </c>
      <c r="H4" s="213" t="s">
        <v>70</v>
      </c>
      <c r="I4" s="213" t="s">
        <v>71</v>
      </c>
      <c r="J4" s="214" t="str">
        <f>[1]Questionnaire!K2</f>
        <v>Parameter Optimization &amp; Tuning</v>
      </c>
      <c r="K4" s="215" t="str">
        <f>[1]Questionnaire!L2</f>
        <v>Feature Activation &amp; Configuration Changes</v>
      </c>
      <c r="L4" s="216" t="str">
        <f>[1]Questionnaire!M2</f>
        <v>Capacity Expansions &amp; Carrier Additions</v>
      </c>
      <c r="M4" s="217" t="str">
        <f>[1]Questionnaire!N2</f>
        <v>Cell Site Integration &amp; Reconfiguration</v>
      </c>
      <c r="N4" s="218" t="str">
        <f>[1]Questionnaire!O2</f>
        <v>Software Upgrade &amp; Patches</v>
      </c>
      <c r="O4" s="219" t="str">
        <f>[1]Questionnaire!P2</f>
        <v>Other sub-scenarios to be defined by CSP</v>
      </c>
      <c r="P4" s="214" t="s">
        <v>162</v>
      </c>
      <c r="Q4" s="214" t="s">
        <v>163</v>
      </c>
      <c r="R4" s="214" t="s">
        <v>164</v>
      </c>
      <c r="S4" s="215" t="s">
        <v>162</v>
      </c>
      <c r="T4" s="215" t="s">
        <v>163</v>
      </c>
      <c r="U4" s="215" t="s">
        <v>164</v>
      </c>
      <c r="V4" s="216" t="s">
        <v>162</v>
      </c>
      <c r="W4" s="216" t="s">
        <v>163</v>
      </c>
      <c r="X4" s="216" t="s">
        <v>164</v>
      </c>
      <c r="Y4" s="217" t="s">
        <v>162</v>
      </c>
      <c r="Z4" s="217" t="s">
        <v>163</v>
      </c>
      <c r="AA4" s="217" t="s">
        <v>164</v>
      </c>
      <c r="AB4" s="218" t="s">
        <v>162</v>
      </c>
      <c r="AC4" s="218" t="s">
        <v>163</v>
      </c>
      <c r="AD4" s="218" t="s">
        <v>164</v>
      </c>
      <c r="AE4" s="219" t="s">
        <v>162</v>
      </c>
      <c r="AF4" s="219" t="s">
        <v>163</v>
      </c>
      <c r="AG4" s="219" t="s">
        <v>164</v>
      </c>
      <c r="AH4" s="197"/>
    </row>
    <row r="5" spans="1:34" ht="31.95" customHeight="1">
      <c r="A5" s="220" t="s">
        <v>83</v>
      </c>
      <c r="B5" s="221" t="s">
        <v>52</v>
      </c>
      <c r="C5" s="222" t="str">
        <f>[1]Questionnaire!C4</f>
        <v>Intent Translation, &amp; Intent Fulfilment</v>
      </c>
      <c r="D5" s="44">
        <f>[1]Questionnaire!D4</f>
        <v>0.1</v>
      </c>
      <c r="E5" s="223" t="str">
        <f>[1]Questionnaire!E4</f>
        <v xml:space="preserve">How does the system handle intent translation and ensure successful intent fulfillment?
</v>
      </c>
      <c r="F5" s="224">
        <v>4</v>
      </c>
      <c r="G5" s="224">
        <v>3</v>
      </c>
      <c r="H5" s="224">
        <v>2</v>
      </c>
      <c r="I5" s="224">
        <v>1</v>
      </c>
      <c r="J5" s="225" t="str">
        <f>[1]Questionnaire!K4</f>
        <v>A</v>
      </c>
      <c r="K5" s="226" t="str">
        <f>[1]Questionnaire!L4</f>
        <v>A</v>
      </c>
      <c r="L5" s="227" t="str">
        <f>[1]Questionnaire!M4</f>
        <v>A</v>
      </c>
      <c r="M5" s="228" t="str">
        <f>[1]Questionnaire!N4</f>
        <v>A</v>
      </c>
      <c r="N5" s="229" t="str">
        <f>[1]Questionnaire!O4</f>
        <v>A</v>
      </c>
      <c r="O5" s="230" t="str">
        <f>[1]Questionnaire!P4</f>
        <v>A</v>
      </c>
      <c r="P5" s="225">
        <f>IF(J5="A",F5,IF(J5="B",G5, IF(J5="C",H5, IF(J5="D",I5))))</f>
        <v>4</v>
      </c>
      <c r="Q5" s="231">
        <f>P5</f>
        <v>4</v>
      </c>
      <c r="R5" s="232">
        <f>SUMPRODUCT(Q5:Q13,D5:D13)</f>
        <v>4</v>
      </c>
      <c r="S5" s="226">
        <f>IF(K5="A",F5,IF(K5="B",G5, IF(K5="C",H5, IF(K5="D",I5))))</f>
        <v>4</v>
      </c>
      <c r="T5" s="233">
        <f>S5</f>
        <v>4</v>
      </c>
      <c r="U5" s="234">
        <f>SUMPRODUCT(T5:T13,D5:D13)</f>
        <v>4</v>
      </c>
      <c r="V5" s="235">
        <f>IF(L5="A",F5,IF(L5="B",G5, IF(L5="C",H5, IF(L5="D",I5))))</f>
        <v>4</v>
      </c>
      <c r="W5" s="236">
        <f>V5</f>
        <v>4</v>
      </c>
      <c r="X5" s="237">
        <f>SUMPRODUCT(W5:W13,D5:D13)</f>
        <v>4</v>
      </c>
      <c r="Y5" s="238">
        <f>IF(M5="A",F5,IF(M5="B",G5, IF(M5="C",H5, IF(M5="D",I5))))</f>
        <v>4</v>
      </c>
      <c r="Z5" s="239">
        <f>Y5</f>
        <v>4</v>
      </c>
      <c r="AA5" s="240">
        <f>SUMPRODUCT(Z5:Z13,D5:D13)</f>
        <v>4</v>
      </c>
      <c r="AB5" s="241">
        <f>IF(N5="A",F5,IF(N5="B",G5, IF(N5="C",H5, IF(N5="D",I5))))</f>
        <v>4</v>
      </c>
      <c r="AC5" s="242">
        <f>AB5</f>
        <v>4</v>
      </c>
      <c r="AD5" s="243">
        <f>SUMPRODUCT(AC5:AC13,D5:D13)</f>
        <v>4</v>
      </c>
      <c r="AE5" s="244">
        <f>IF(O5="A",F5,IF(O5="B",G5, IF(O5="C",H5, IF(O5="D",I5))))</f>
        <v>4</v>
      </c>
      <c r="AF5" s="245">
        <f>AE5</f>
        <v>4</v>
      </c>
      <c r="AG5" s="246">
        <f>SUMPRODUCT(AF5:AF13,D5:D13)</f>
        <v>4</v>
      </c>
      <c r="AH5" s="247">
        <f>(P3*R5+S3*U5+V3*X5+Y3*AA5+AB3*AD5+AE3*AG5)/(P3+S3+V3+Y3+AB3+AE3)</f>
        <v>4</v>
      </c>
    </row>
    <row r="6" spans="1:34" ht="31.95" customHeight="1">
      <c r="A6" s="248"/>
      <c r="B6" s="249" t="s">
        <v>54</v>
      </c>
      <c r="C6" s="250" t="str">
        <f>[1]Questionnaire!C5</f>
        <v xml:space="preserve">Change Request Validation &amp; Acceptance </v>
      </c>
      <c r="D6" s="53">
        <f>[1]Questionnaire!D5</f>
        <v>0.1</v>
      </c>
      <c r="E6" s="251" t="str">
        <f>[1]Questionnaire!E5</f>
        <v xml:space="preserve">How does the System validate and accept the change request? 
</v>
      </c>
      <c r="F6" s="224">
        <v>3</v>
      </c>
      <c r="G6" s="224">
        <v>2</v>
      </c>
      <c r="H6" s="224">
        <v>1</v>
      </c>
      <c r="I6" s="224">
        <v>0</v>
      </c>
      <c r="J6" s="225" t="str">
        <f>[1]Questionnaire!K5</f>
        <v>A</v>
      </c>
      <c r="K6" s="226" t="str">
        <f>[1]Questionnaire!L5</f>
        <v>A</v>
      </c>
      <c r="L6" s="227" t="str">
        <f>[1]Questionnaire!M5</f>
        <v>A</v>
      </c>
      <c r="M6" s="228" t="str">
        <f>[1]Questionnaire!N5</f>
        <v>A</v>
      </c>
      <c r="N6" s="229" t="str">
        <f>[1]Questionnaire!O5</f>
        <v>A</v>
      </c>
      <c r="O6" s="230" t="str">
        <f>[1]Questionnaire!P5</f>
        <v>A</v>
      </c>
      <c r="P6" s="225">
        <f>IF(J6="A",F6,IF(J6="B",G6, IF(J6="C",H6, IF(J6="D",I6))))</f>
        <v>3</v>
      </c>
      <c r="Q6" s="231">
        <f>IF(AND(P6=3,AVERAGE(P$5,P$8,P$9,P$10,P$11,P$13)&gt;3),AVERAGE(P$5,P$8,P$9,P$10,P$11,P$13),P6)</f>
        <v>4</v>
      </c>
      <c r="R6" s="232"/>
      <c r="S6" s="226">
        <f>IF(K6="A",F6,IF(K6="B",G6, IF(K6="C",H6, IF(K6="D",I6))))</f>
        <v>3</v>
      </c>
      <c r="T6" s="233">
        <f>IF(AND(S6=3,AVERAGE(S$5,S$8,S$9,S$10,S$11,S$13)&gt;3),AVERAGE(S$5,S$8,S$9,S$10,S$11,S$13),S6)</f>
        <v>4</v>
      </c>
      <c r="U6" s="234"/>
      <c r="V6" s="235">
        <f>IF(L6="A",F6,IF(L6="B",G6, IF(L6="C",H6, IF(L6="D",I6))))</f>
        <v>3</v>
      </c>
      <c r="W6" s="236">
        <f>IF(AND(V6=3,AVERAGE(V$5,V$8,V$9,V$10,V$11,V$13)&gt;3),AVERAGE(V$5,V$8,V$9,V$10,V$11,V$13),V6)</f>
        <v>4</v>
      </c>
      <c r="X6" s="237"/>
      <c r="Y6" s="238">
        <f>IF(M6="A",F6,IF(M6="B",G6, IF(M6="C",H6, IF(M6="D",I6))))</f>
        <v>3</v>
      </c>
      <c r="Z6" s="239">
        <f>IF(AND(Y6=3,AVERAGE(Y$5,Y$8,Y$9,Y$10,Y$11,Y$13)&gt;3),AVERAGE(Y$5,Y$8,Y$9,Y$10,Y$11,Y$13),Y6)</f>
        <v>4</v>
      </c>
      <c r="AA6" s="240"/>
      <c r="AB6" s="241">
        <f t="shared" ref="AB6:AB13" si="0">IF(N6="A",F6,IF(N6="B",G6, IF(N6="C",H6, IF(N6="D",I6))))</f>
        <v>3</v>
      </c>
      <c r="AC6" s="242">
        <f>IF(AND(AB6=3,AVERAGE(AB$5,AB$8,AB$9,AB$10,AB$11,AB$13)&gt;3),AVERAGE(AB$5,AB$8,AB$9,AB$10,AB$11,AB$13),AB6)</f>
        <v>4</v>
      </c>
      <c r="AD6" s="243"/>
      <c r="AE6" s="244">
        <f t="shared" ref="AE6:AE13" si="1">IF(O6="A",F6,IF(O6="B",G6, IF(O6="C",H6, IF(O6="D",I6))))</f>
        <v>3</v>
      </c>
      <c r="AF6" s="245">
        <f>IF(AND(AE6=3,AVERAGE(AE$5,AE$8,AE$9,AE$10,AE$11,AE$13)&gt;3),AVERAGE(AE$5,AE$8,AE$9,AE$10,AE$11,AE$13),AE6)</f>
        <v>4</v>
      </c>
      <c r="AG6" s="246"/>
      <c r="AH6" s="247"/>
    </row>
    <row r="7" spans="1:34" ht="31.95" customHeight="1">
      <c r="A7" s="248"/>
      <c r="B7" s="252"/>
      <c r="C7" s="250" t="str">
        <f>[1]Questionnaire!C6</f>
        <v xml:space="preserve">Change Request Information Collection </v>
      </c>
      <c r="D7" s="53">
        <f>[1]Questionnaire!D6</f>
        <v>0.1</v>
      </c>
      <c r="E7" s="251" t="str">
        <f>[1]Questionnaire!E6</f>
        <v xml:space="preserve">How does the System collect necessary information for change request?
</v>
      </c>
      <c r="F7" s="224">
        <v>3</v>
      </c>
      <c r="G7" s="224">
        <v>2</v>
      </c>
      <c r="H7" s="224">
        <v>1</v>
      </c>
      <c r="I7" s="224">
        <v>0</v>
      </c>
      <c r="J7" s="225" t="str">
        <f>[1]Questionnaire!K6</f>
        <v>A</v>
      </c>
      <c r="K7" s="226" t="str">
        <f>[1]Questionnaire!L6</f>
        <v>A</v>
      </c>
      <c r="L7" s="227" t="str">
        <f>[1]Questionnaire!M6</f>
        <v>A</v>
      </c>
      <c r="M7" s="228" t="str">
        <f>[1]Questionnaire!N6</f>
        <v>A</v>
      </c>
      <c r="N7" s="229" t="str">
        <f>[1]Questionnaire!O6</f>
        <v>A</v>
      </c>
      <c r="O7" s="230" t="str">
        <f>[1]Questionnaire!P6</f>
        <v>A</v>
      </c>
      <c r="P7" s="225">
        <f t="shared" ref="P7:P13" si="2">IF(J7="A",F7,IF(J7="B",G7, IF(J7="C",H7, IF(J7="D",I7))))</f>
        <v>3</v>
      </c>
      <c r="Q7" s="231">
        <f>IF(AND(P7=3,AVERAGE(P$5,P$8,P$9,P$10,P$11,P$13)&gt;3),AVERAGE(P$5,P$8,P$9,P$10,P$11,P$13),P7)</f>
        <v>4</v>
      </c>
      <c r="R7" s="232"/>
      <c r="S7" s="226">
        <f t="shared" ref="S7:S13" si="3">IF(K7="A",F7,IF(K7="B",G7, IF(K7="C",H7, IF(K7="D",I7))))</f>
        <v>3</v>
      </c>
      <c r="T7" s="233">
        <f>IF(AND(S7=3,AVERAGE(S$5,S$8,S$9,S$10,S$11,S$13)&gt;3),AVERAGE(S$5,S$8,S$9,S$10,S$11,S$13),S7)</f>
        <v>4</v>
      </c>
      <c r="U7" s="234"/>
      <c r="V7" s="235">
        <f t="shared" ref="V7:V13" si="4">IF(L7="A",F7,IF(L7="B",G7, IF(L7="C",H7, IF(L7="D",I7))))</f>
        <v>3</v>
      </c>
      <c r="W7" s="236">
        <f>IF(AND(V7=3,AVERAGE(V$5,V$8,V$9,V$10,V$11,V$13)&gt;3),AVERAGE(V$5,V$8,V$9,V$10,V$11,V$13),V7)</f>
        <v>4</v>
      </c>
      <c r="X7" s="237"/>
      <c r="Y7" s="238">
        <f t="shared" ref="Y7:Y9" si="5">IF(M7="A",F7,IF(M7="B",G7, IF(M7="C",H7, IF(M7="D",I7))))</f>
        <v>3</v>
      </c>
      <c r="Z7" s="239">
        <f>IF(AND(Y7=3,AVERAGE(Y$5,Y$8,Y$9,Y$10,Y$11,Y$13)&gt;3),AVERAGE(Y$5,Y$8,Y$9,Y$10,Y$11,Y$13),Y7)</f>
        <v>4</v>
      </c>
      <c r="AA7" s="240"/>
      <c r="AB7" s="241">
        <f t="shared" si="0"/>
        <v>3</v>
      </c>
      <c r="AC7" s="242">
        <f>IF(AND(AB7=3,AVERAGE(AB$5,AB$8,AB$9,AB$10,AB$11,AB$13)&gt;3),AVERAGE(AB$5,AB$8,AB$9,AB$10,AB$11,AB$13),AB7)</f>
        <v>4</v>
      </c>
      <c r="AD7" s="243"/>
      <c r="AE7" s="244">
        <f t="shared" si="1"/>
        <v>3</v>
      </c>
      <c r="AF7" s="245">
        <f>IF(AND(AE7=3,AVERAGE(AE$5,AE$8,AE$9,AE$10,AE$11,AE$13)&gt;3),AVERAGE(AE$5,AE$8,AE$9,AE$10,AE$11,AE$13),AE7)</f>
        <v>4</v>
      </c>
      <c r="AG7" s="246"/>
      <c r="AH7" s="247"/>
    </row>
    <row r="8" spans="1:34" ht="31.95" customHeight="1">
      <c r="A8" s="248"/>
      <c r="B8" s="253" t="s">
        <v>105</v>
      </c>
      <c r="C8" s="250" t="str">
        <f>[1]Questionnaire!C7</f>
        <v>Requirements Impact &amp; Risk Analysis</v>
      </c>
      <c r="D8" s="53">
        <f>[1]Questionnaire!D7</f>
        <v>0.15</v>
      </c>
      <c r="E8" s="251" t="str">
        <f>[1]Questionnaire!E7</f>
        <v>How does the System support network change requirements impact and risk analysis?</v>
      </c>
      <c r="F8" s="224">
        <v>4</v>
      </c>
      <c r="G8" s="224">
        <v>3</v>
      </c>
      <c r="H8" s="224">
        <v>2</v>
      </c>
      <c r="I8" s="224">
        <v>1</v>
      </c>
      <c r="J8" s="225" t="str">
        <f>[1]Questionnaire!K7</f>
        <v>A</v>
      </c>
      <c r="K8" s="226" t="str">
        <f>[1]Questionnaire!L7</f>
        <v>A</v>
      </c>
      <c r="L8" s="227" t="str">
        <f>[1]Questionnaire!M7</f>
        <v>A</v>
      </c>
      <c r="M8" s="228" t="str">
        <f>[1]Questionnaire!N7</f>
        <v>A</v>
      </c>
      <c r="N8" s="229" t="str">
        <f>[1]Questionnaire!O7</f>
        <v>A</v>
      </c>
      <c r="O8" s="230" t="str">
        <f>[1]Questionnaire!P7</f>
        <v>A</v>
      </c>
      <c r="P8" s="225">
        <f t="shared" si="2"/>
        <v>4</v>
      </c>
      <c r="Q8" s="231">
        <f t="shared" ref="Q8:Q13" si="6">P8</f>
        <v>4</v>
      </c>
      <c r="R8" s="232"/>
      <c r="S8" s="226">
        <f t="shared" si="3"/>
        <v>4</v>
      </c>
      <c r="T8" s="233">
        <f t="shared" ref="T8:T11" si="7">S8</f>
        <v>4</v>
      </c>
      <c r="U8" s="234"/>
      <c r="V8" s="235">
        <f t="shared" si="4"/>
        <v>4</v>
      </c>
      <c r="W8" s="236">
        <f t="shared" ref="W8:W11" si="8">V8</f>
        <v>4</v>
      </c>
      <c r="X8" s="237"/>
      <c r="Y8" s="238">
        <f>IF(M8="A",F8,IF(M8="B",G8, IF(M8="C",H8, IF(M8="D",I8))))</f>
        <v>4</v>
      </c>
      <c r="Z8" s="239">
        <f t="shared" ref="Z8:Z11" si="9">Y8</f>
        <v>4</v>
      </c>
      <c r="AA8" s="240"/>
      <c r="AB8" s="241">
        <f t="shared" si="0"/>
        <v>4</v>
      </c>
      <c r="AC8" s="242">
        <f t="shared" ref="AC8:AC11" si="10">AB8</f>
        <v>4</v>
      </c>
      <c r="AD8" s="243"/>
      <c r="AE8" s="244">
        <f t="shared" si="1"/>
        <v>4</v>
      </c>
      <c r="AF8" s="245">
        <f t="shared" ref="AF8:AF11" si="11">AE8</f>
        <v>4</v>
      </c>
      <c r="AG8" s="246"/>
      <c r="AH8" s="247"/>
    </row>
    <row r="9" spans="1:34" ht="31.95" customHeight="1">
      <c r="A9" s="248"/>
      <c r="B9" s="253"/>
      <c r="C9" s="250" t="str">
        <f>[1]Questionnaire!C8</f>
        <v>Network change Solution Generation</v>
      </c>
      <c r="D9" s="53">
        <f>[1]Questionnaire!D8</f>
        <v>0.1</v>
      </c>
      <c r="E9" s="251" t="str">
        <f>[1]Questionnaire!E8</f>
        <v>How does the System generate the solution that supports the Change Request?</v>
      </c>
      <c r="F9" s="224">
        <v>4</v>
      </c>
      <c r="G9" s="224">
        <v>3</v>
      </c>
      <c r="H9" s="224">
        <v>2</v>
      </c>
      <c r="I9" s="224">
        <v>1</v>
      </c>
      <c r="J9" s="225" t="str">
        <f>[1]Questionnaire!K8</f>
        <v>A</v>
      </c>
      <c r="K9" s="226" t="str">
        <f>[1]Questionnaire!L8</f>
        <v>A</v>
      </c>
      <c r="L9" s="227" t="str">
        <f>[1]Questionnaire!M8</f>
        <v>A</v>
      </c>
      <c r="M9" s="228" t="str">
        <f>[1]Questionnaire!N8</f>
        <v>A</v>
      </c>
      <c r="N9" s="229" t="str">
        <f>[1]Questionnaire!O8</f>
        <v>A</v>
      </c>
      <c r="O9" s="230" t="str">
        <f>[1]Questionnaire!P8</f>
        <v>A</v>
      </c>
      <c r="P9" s="225">
        <f t="shared" si="2"/>
        <v>4</v>
      </c>
      <c r="Q9" s="231">
        <f t="shared" si="6"/>
        <v>4</v>
      </c>
      <c r="R9" s="232"/>
      <c r="S9" s="226">
        <f t="shared" si="3"/>
        <v>4</v>
      </c>
      <c r="T9" s="233">
        <f t="shared" si="7"/>
        <v>4</v>
      </c>
      <c r="U9" s="234"/>
      <c r="V9" s="235">
        <f t="shared" si="4"/>
        <v>4</v>
      </c>
      <c r="W9" s="236">
        <f t="shared" si="8"/>
        <v>4</v>
      </c>
      <c r="X9" s="237"/>
      <c r="Y9" s="238">
        <f t="shared" si="5"/>
        <v>4</v>
      </c>
      <c r="Z9" s="239">
        <f t="shared" si="9"/>
        <v>4</v>
      </c>
      <c r="AA9" s="240"/>
      <c r="AB9" s="241">
        <f t="shared" si="0"/>
        <v>4</v>
      </c>
      <c r="AC9" s="242">
        <f t="shared" si="10"/>
        <v>4</v>
      </c>
      <c r="AD9" s="243"/>
      <c r="AE9" s="244">
        <f t="shared" si="1"/>
        <v>4</v>
      </c>
      <c r="AF9" s="245">
        <f t="shared" si="11"/>
        <v>4</v>
      </c>
      <c r="AG9" s="246"/>
      <c r="AH9" s="247"/>
    </row>
    <row r="10" spans="1:34" ht="31.95" customHeight="1">
      <c r="A10" s="248"/>
      <c r="B10" s="254" t="s">
        <v>60</v>
      </c>
      <c r="C10" s="250" t="str">
        <f>[1]Questionnaire!C9</f>
        <v>Network Change solution Evaluation &amp; Decision</v>
      </c>
      <c r="D10" s="53">
        <f>[1]Questionnaire!D9</f>
        <v>0.15</v>
      </c>
      <c r="E10" s="251" t="str">
        <f>[1]Questionnaire!E9</f>
        <v>How does the System support solution evaluation and decision to implement requested change?</v>
      </c>
      <c r="F10" s="224">
        <v>4</v>
      </c>
      <c r="G10" s="224">
        <v>3</v>
      </c>
      <c r="H10" s="224">
        <v>2</v>
      </c>
      <c r="I10" s="224">
        <v>1</v>
      </c>
      <c r="J10" s="225" t="str">
        <f>[1]Questionnaire!K9</f>
        <v>A</v>
      </c>
      <c r="K10" s="226" t="str">
        <f>[1]Questionnaire!L9</f>
        <v>A</v>
      </c>
      <c r="L10" s="227" t="str">
        <f>[1]Questionnaire!M9</f>
        <v>A</v>
      </c>
      <c r="M10" s="228" t="str">
        <f>[1]Questionnaire!N9</f>
        <v>A</v>
      </c>
      <c r="N10" s="229" t="str">
        <f>[1]Questionnaire!O9</f>
        <v>A</v>
      </c>
      <c r="O10" s="230" t="str">
        <f>[1]Questionnaire!P9</f>
        <v>A</v>
      </c>
      <c r="P10" s="225">
        <f t="shared" si="2"/>
        <v>4</v>
      </c>
      <c r="Q10" s="231">
        <f t="shared" si="6"/>
        <v>4</v>
      </c>
      <c r="R10" s="232"/>
      <c r="S10" s="226">
        <f t="shared" si="3"/>
        <v>4</v>
      </c>
      <c r="T10" s="233">
        <f t="shared" si="7"/>
        <v>4</v>
      </c>
      <c r="U10" s="234"/>
      <c r="V10" s="235">
        <f t="shared" si="4"/>
        <v>4</v>
      </c>
      <c r="W10" s="236">
        <f t="shared" si="8"/>
        <v>4</v>
      </c>
      <c r="X10" s="237"/>
      <c r="Y10" s="238">
        <f>IF(M10="A",F10,IF(M10="B",G10, IF(M10="C",H10, IF(M10="D",I10))))</f>
        <v>4</v>
      </c>
      <c r="Z10" s="239">
        <f t="shared" si="9"/>
        <v>4</v>
      </c>
      <c r="AA10" s="240"/>
      <c r="AB10" s="241">
        <f t="shared" si="0"/>
        <v>4</v>
      </c>
      <c r="AC10" s="242">
        <f t="shared" si="10"/>
        <v>4</v>
      </c>
      <c r="AD10" s="243"/>
      <c r="AE10" s="244">
        <f t="shared" si="1"/>
        <v>4</v>
      </c>
      <c r="AF10" s="245">
        <f t="shared" si="11"/>
        <v>4</v>
      </c>
      <c r="AG10" s="246"/>
      <c r="AH10" s="247"/>
    </row>
    <row r="11" spans="1:34" ht="39" customHeight="1">
      <c r="A11" s="248"/>
      <c r="B11" s="255" t="s">
        <v>62</v>
      </c>
      <c r="C11" s="250" t="str">
        <f>[1]Questionnaire!C10</f>
        <v>Network Normality Verification</v>
      </c>
      <c r="D11" s="53">
        <f>[1]Questionnaire!D10</f>
        <v>0.1</v>
      </c>
      <c r="E11" s="251" t="str">
        <f>[1]Questionnaire!E10</f>
        <v>How does the System verify the normality of the network before the change? 
E.g.: automatic health check</v>
      </c>
      <c r="F11" s="224">
        <v>4</v>
      </c>
      <c r="G11" s="224">
        <v>3</v>
      </c>
      <c r="H11" s="224">
        <v>2</v>
      </c>
      <c r="I11" s="224">
        <v>1</v>
      </c>
      <c r="J11" s="225" t="str">
        <f>[1]Questionnaire!K10</f>
        <v>A</v>
      </c>
      <c r="K11" s="226" t="str">
        <f>[1]Questionnaire!L10</f>
        <v>A</v>
      </c>
      <c r="L11" s="227" t="str">
        <f>[1]Questionnaire!M10</f>
        <v>A</v>
      </c>
      <c r="M11" s="228" t="str">
        <f>[1]Questionnaire!N10</f>
        <v>A</v>
      </c>
      <c r="N11" s="229" t="str">
        <f>[1]Questionnaire!O10</f>
        <v>A</v>
      </c>
      <c r="O11" s="230" t="str">
        <f>[1]Questionnaire!P10</f>
        <v>A</v>
      </c>
      <c r="P11" s="225">
        <f t="shared" si="2"/>
        <v>4</v>
      </c>
      <c r="Q11" s="231">
        <f t="shared" si="6"/>
        <v>4</v>
      </c>
      <c r="R11" s="232"/>
      <c r="S11" s="226">
        <f t="shared" si="3"/>
        <v>4</v>
      </c>
      <c r="T11" s="233">
        <f t="shared" si="7"/>
        <v>4</v>
      </c>
      <c r="U11" s="234"/>
      <c r="V11" s="235">
        <f t="shared" si="4"/>
        <v>4</v>
      </c>
      <c r="W11" s="236">
        <f t="shared" si="8"/>
        <v>4</v>
      </c>
      <c r="X11" s="237"/>
      <c r="Y11" s="238">
        <f>IF(M11="A",F11,IF(M11="B",G11, IF(M11="C",H11, IF(M11="D",I11))))</f>
        <v>4</v>
      </c>
      <c r="Z11" s="239">
        <f t="shared" si="9"/>
        <v>4</v>
      </c>
      <c r="AA11" s="240"/>
      <c r="AB11" s="241">
        <f t="shared" si="0"/>
        <v>4</v>
      </c>
      <c r="AC11" s="242">
        <f t="shared" si="10"/>
        <v>4</v>
      </c>
      <c r="AD11" s="243"/>
      <c r="AE11" s="244">
        <f t="shared" si="1"/>
        <v>4</v>
      </c>
      <c r="AF11" s="245">
        <f t="shared" si="11"/>
        <v>4</v>
      </c>
      <c r="AG11" s="246"/>
      <c r="AH11" s="247"/>
    </row>
    <row r="12" spans="1:34" ht="31.95" customHeight="1">
      <c r="A12" s="248"/>
      <c r="B12" s="248"/>
      <c r="C12" s="250" t="str">
        <f>[1]Questionnaire!C11</f>
        <v>Network Change Implementation</v>
      </c>
      <c r="D12" s="53">
        <f>[1]Questionnaire!D11</f>
        <v>0.1</v>
      </c>
      <c r="E12" s="251" t="str">
        <f>[1]Questionnaire!E11</f>
        <v xml:space="preserve">How does the System implement the change in the network and roll-back in case of failure?
</v>
      </c>
      <c r="F12" s="224">
        <v>2</v>
      </c>
      <c r="G12" s="224">
        <v>1</v>
      </c>
      <c r="H12" s="224">
        <v>0</v>
      </c>
      <c r="I12" s="224">
        <v>0</v>
      </c>
      <c r="J12" s="225" t="str">
        <f>[1]Questionnaire!K11</f>
        <v>A</v>
      </c>
      <c r="K12" s="226" t="str">
        <f>[1]Questionnaire!L11</f>
        <v>A</v>
      </c>
      <c r="L12" s="227" t="str">
        <f>[1]Questionnaire!M11</f>
        <v>A</v>
      </c>
      <c r="M12" s="228" t="str">
        <f>[1]Questionnaire!N11</f>
        <v>A</v>
      </c>
      <c r="N12" s="229" t="str">
        <f>[1]Questionnaire!O11</f>
        <v>A</v>
      </c>
      <c r="O12" s="230" t="str">
        <f>[1]Questionnaire!P11</f>
        <v>A</v>
      </c>
      <c r="P12" s="225">
        <f>IF(J12="A",F12,IF(J12="B",G12, IF(J12="C",H12, IF(J12="D",I12))))</f>
        <v>2</v>
      </c>
      <c r="Q12" s="231">
        <f>IF(AND(P12=2,AVERAGE(P$5,P$8,P$9,P$10,P$11,P$13)&gt;3),AVERAGE(P$5,P$8,P$9,P$10,P$11,P$13),P12)</f>
        <v>4</v>
      </c>
      <c r="R12" s="232"/>
      <c r="S12" s="226">
        <f t="shared" si="3"/>
        <v>2</v>
      </c>
      <c r="T12" s="233">
        <f>IF(AND(S12=2,AVERAGE(S$5,S$8,S$9,S$10,S$11,S$13)&gt;3),AVERAGE(S$5,S$8,S$9,S$10,S$11,S$13),S12)</f>
        <v>4</v>
      </c>
      <c r="U12" s="234"/>
      <c r="V12" s="235">
        <f t="shared" si="4"/>
        <v>2</v>
      </c>
      <c r="W12" s="236">
        <f>IF(AND(V12=2,AVERAGE(V$5,V$8,V$9,V$10,V$11,V$13)&gt;3),AVERAGE(V$5,V$8,V$9,V$10,V$11,V$13),V12)</f>
        <v>4</v>
      </c>
      <c r="X12" s="237"/>
      <c r="Y12" s="238">
        <f>IF(M12="A",F12,IF(M12="B",G12, IF(M12="C",H12, IF(M12="D",I12))))</f>
        <v>2</v>
      </c>
      <c r="Z12" s="239">
        <f>IF(AND(Y12=2,AVERAGE(Y$5,Y$8,Y$9,Y$10,Y$11,Y$13)&gt;3),AVERAGE(Y$5,Y$8,Y$9,Y$10,Y$11,Y$13),Y12)</f>
        <v>4</v>
      </c>
      <c r="AA12" s="240"/>
      <c r="AB12" s="241">
        <f t="shared" si="0"/>
        <v>2</v>
      </c>
      <c r="AC12" s="242">
        <f>IF(AND(AB12=2,AVERAGE(AB$5,AB$8,AB$9,AB$10,AB$11,AB$13)&gt;3),AVERAGE(AB$5,AB$8,AB$9,AB$10,AB$11,AB$13),AB12)</f>
        <v>4</v>
      </c>
      <c r="AD12" s="243"/>
      <c r="AE12" s="244">
        <f t="shared" si="1"/>
        <v>2</v>
      </c>
      <c r="AF12" s="245">
        <f>IF(AND(AE12=2,AVERAGE(AE$5,AE$8,AE$9,AE$10,AE$11,AE$13)&gt;3),AVERAGE(AE$5,AE$8,AE$9,AE$10,AE$11,AE$13),AE12)</f>
        <v>4</v>
      </c>
      <c r="AG12" s="246"/>
      <c r="AH12" s="247"/>
    </row>
    <row r="13" spans="1:34" ht="59.4" customHeight="1" thickBot="1">
      <c r="A13" s="256"/>
      <c r="B13" s="256"/>
      <c r="C13" s="257" t="str">
        <f>[1]Questionnaire!C12</f>
        <v>Service Verification</v>
      </c>
      <c r="D13" s="54">
        <f>[1]Questionnaire!D12</f>
        <v>0.1</v>
      </c>
      <c r="E13" s="258" t="str">
        <f>[1]Questionnaire!E12</f>
        <v xml:space="preserve">How does the System verify and confirm the change implementation results?
Note: Implementation results include network element alarms, performance indicators, inspection logs &amp; expected results of network changes. </v>
      </c>
      <c r="F13" s="224">
        <v>4</v>
      </c>
      <c r="G13" s="224">
        <v>3</v>
      </c>
      <c r="H13" s="224">
        <v>2</v>
      </c>
      <c r="I13" s="224">
        <v>1</v>
      </c>
      <c r="J13" s="225" t="str">
        <f>[1]Questionnaire!K12</f>
        <v>A</v>
      </c>
      <c r="K13" s="226" t="str">
        <f>[1]Questionnaire!L12</f>
        <v>A</v>
      </c>
      <c r="L13" s="227" t="str">
        <f>[1]Questionnaire!M12</f>
        <v>A</v>
      </c>
      <c r="M13" s="228" t="str">
        <f>[1]Questionnaire!N12</f>
        <v>A</v>
      </c>
      <c r="N13" s="229" t="str">
        <f>[1]Questionnaire!O12</f>
        <v>A</v>
      </c>
      <c r="O13" s="230" t="str">
        <f>[1]Questionnaire!P12</f>
        <v>A</v>
      </c>
      <c r="P13" s="225">
        <f t="shared" si="2"/>
        <v>4</v>
      </c>
      <c r="Q13" s="231">
        <f t="shared" si="6"/>
        <v>4</v>
      </c>
      <c r="R13" s="232"/>
      <c r="S13" s="226">
        <f t="shared" si="3"/>
        <v>4</v>
      </c>
      <c r="T13" s="233">
        <f t="shared" ref="T13" si="12">S13</f>
        <v>4</v>
      </c>
      <c r="U13" s="234"/>
      <c r="V13" s="235">
        <f t="shared" si="4"/>
        <v>4</v>
      </c>
      <c r="W13" s="236">
        <f t="shared" ref="W13" si="13">V13</f>
        <v>4</v>
      </c>
      <c r="X13" s="237"/>
      <c r="Y13" s="238">
        <f>IF(M13="A",F13,IF(M13="B",G13, IF(M13="C",H13, IF(M13="D",I13))))</f>
        <v>4</v>
      </c>
      <c r="Z13" s="239">
        <f t="shared" ref="Z13" si="14">Y13</f>
        <v>4</v>
      </c>
      <c r="AA13" s="240"/>
      <c r="AB13" s="241">
        <f t="shared" si="0"/>
        <v>4</v>
      </c>
      <c r="AC13" s="242">
        <f t="shared" ref="AC13" si="15">AB13</f>
        <v>4</v>
      </c>
      <c r="AD13" s="243"/>
      <c r="AE13" s="244">
        <f t="shared" si="1"/>
        <v>4</v>
      </c>
      <c r="AF13" s="245">
        <f t="shared" ref="AF13" si="16">AE13</f>
        <v>4</v>
      </c>
      <c r="AG13" s="246"/>
      <c r="AH13" s="247"/>
    </row>
    <row r="14" spans="1:34">
      <c r="A14" s="57"/>
      <c r="B14" s="57"/>
      <c r="C14" s="57"/>
      <c r="D14" s="57">
        <f>SUM(D5:D13)</f>
        <v>1</v>
      </c>
      <c r="E14" s="259"/>
      <c r="F14" s="260"/>
      <c r="G14" s="260"/>
      <c r="H14" s="260"/>
      <c r="I14" s="260"/>
      <c r="J14" s="261"/>
      <c r="K14" s="261"/>
      <c r="L14" s="261"/>
      <c r="M14" s="261"/>
      <c r="N14" s="261"/>
      <c r="O14" s="261"/>
      <c r="P14" s="260"/>
      <c r="Q14" s="260"/>
      <c r="R14" s="262"/>
      <c r="S14" s="260"/>
      <c r="T14" s="260"/>
      <c r="U14" s="262"/>
    </row>
    <row r="15" spans="1:34" ht="24" customHeight="1">
      <c r="A15" s="263" t="s">
        <v>145</v>
      </c>
      <c r="B15" s="264"/>
      <c r="C15" s="264"/>
      <c r="D15" s="265" t="s">
        <v>67</v>
      </c>
      <c r="E15" s="265" t="s">
        <v>146</v>
      </c>
      <c r="F15" s="266" t="s">
        <v>68</v>
      </c>
      <c r="G15" s="266" t="s">
        <v>69</v>
      </c>
      <c r="H15" s="267" t="s">
        <v>70</v>
      </c>
      <c r="I15" s="266" t="s">
        <v>147</v>
      </c>
      <c r="J15" s="267" t="s">
        <v>149</v>
      </c>
      <c r="K15" s="268" t="s">
        <v>165</v>
      </c>
      <c r="L15" s="269" t="s">
        <v>166</v>
      </c>
    </row>
    <row r="16" spans="1:34" ht="36">
      <c r="A16" s="162" t="str">
        <f>[1]Questionnaire!A17</f>
        <v>First Time Right (FTR)</v>
      </c>
      <c r="B16" s="163"/>
      <c r="C16" s="164"/>
      <c r="D16" s="59">
        <f>[1]Questionnaire!D17</f>
        <v>0.6</v>
      </c>
      <c r="E16" s="165" t="s">
        <v>167</v>
      </c>
      <c r="F16" s="167">
        <v>4</v>
      </c>
      <c r="G16" s="167">
        <v>3</v>
      </c>
      <c r="H16" s="270">
        <v>2</v>
      </c>
      <c r="I16" s="169">
        <v>1</v>
      </c>
      <c r="J16" s="171" t="str">
        <f>[1]Questionnaire!L17</f>
        <v>A</v>
      </c>
      <c r="K16" s="271">
        <f>IF(J16="A",F16,IF(J16="B",G16,IF(J16="C",H16,IF(J16="D",I16))))</f>
        <v>4</v>
      </c>
      <c r="L16" s="272">
        <f>SUMPRODUCT(D16:D17, K16:K17)</f>
        <v>4</v>
      </c>
    </row>
    <row r="17" spans="1:12" ht="24" customHeight="1">
      <c r="A17" s="162" t="str">
        <f>[1]Questionnaire!A18</f>
        <v>Change Success Rate</v>
      </c>
      <c r="B17" s="163"/>
      <c r="C17" s="164"/>
      <c r="D17" s="59">
        <f>[1]Questionnaire!D18</f>
        <v>0.4</v>
      </c>
      <c r="E17" s="165" t="s">
        <v>168</v>
      </c>
      <c r="F17" s="167">
        <v>4</v>
      </c>
      <c r="G17" s="167">
        <v>3</v>
      </c>
      <c r="H17" s="270">
        <v>2</v>
      </c>
      <c r="I17" s="169">
        <v>1</v>
      </c>
      <c r="J17" s="171" t="str">
        <f>[1]Questionnaire!L18</f>
        <v>A</v>
      </c>
      <c r="K17" s="273">
        <f>IF(J17="A",F17,IF(J17="B",G17,IF(J17="C",H17,IF(J17="D",I17))))</f>
        <v>4</v>
      </c>
      <c r="L17" s="272"/>
    </row>
    <row r="19" spans="1:12" ht="19.95" customHeight="1">
      <c r="E19" s="274" t="s">
        <v>169</v>
      </c>
      <c r="F19" s="275"/>
    </row>
    <row r="20" spans="1:12" ht="19.95" customHeight="1">
      <c r="E20" s="276" t="s">
        <v>170</v>
      </c>
      <c r="F20" s="277"/>
    </row>
    <row r="21" spans="1:12" ht="19.95" customHeight="1">
      <c r="E21" s="278" t="s">
        <v>171</v>
      </c>
      <c r="F21" s="279"/>
    </row>
  </sheetData>
  <mergeCells count="36">
    <mergeCell ref="AH5:AH13"/>
    <mergeCell ref="B6:B7"/>
    <mergeCell ref="B8:B9"/>
    <mergeCell ref="B11:B13"/>
    <mergeCell ref="A15:C15"/>
    <mergeCell ref="A16:C16"/>
    <mergeCell ref="L16:L17"/>
    <mergeCell ref="A17:C17"/>
    <mergeCell ref="AE3:AG3"/>
    <mergeCell ref="A5:A13"/>
    <mergeCell ref="R5:R13"/>
    <mergeCell ref="U5:U13"/>
    <mergeCell ref="X5:X13"/>
    <mergeCell ref="AA5:AA13"/>
    <mergeCell ref="AD5:AD13"/>
    <mergeCell ref="AG5:AG13"/>
    <mergeCell ref="V2:X2"/>
    <mergeCell ref="Y2:AA2"/>
    <mergeCell ref="AB2:AD2"/>
    <mergeCell ref="AE2:AG2"/>
    <mergeCell ref="AH2:AH4"/>
    <mergeCell ref="P3:R3"/>
    <mergeCell ref="S3:U3"/>
    <mergeCell ref="V3:X3"/>
    <mergeCell ref="Y3:AA3"/>
    <mergeCell ref="AB3:AD3"/>
    <mergeCell ref="A1:A4"/>
    <mergeCell ref="B1:B4"/>
    <mergeCell ref="C1:C4"/>
    <mergeCell ref="D1:D4"/>
    <mergeCell ref="E1:E4"/>
    <mergeCell ref="F1:AH1"/>
    <mergeCell ref="F2:I3"/>
    <mergeCell ref="J2:O3"/>
    <mergeCell ref="P2:R2"/>
    <mergeCell ref="S2:U2"/>
  </mergeCells>
  <dataValidations count="1">
    <dataValidation type="list" allowBlank="1" showInputMessage="1" showErrorMessage="1" sqref="J16:J17" xr:uid="{07B522E3-B4A7-4F52-8519-30DE48D7C406}">
      <formula1>"A,B,C,D"</formula1>
    </dataValidation>
  </dataValidations>
  <pageMargins left="0.7" right="0.7" top="0.75" bottom="0.75" header="0.3" footer="0.3"/>
  <pageSetup paperSize="9" orientation="portrait" horizontalDpi="300" verticalDpi="300" r:id="rId1"/>
  <headerFooter>
    <oddFooter>&amp;C&amp;1#&amp;"Calibri"&amp;8&amp;KED7D31Orange Restricted</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BC0235-A0D4-45AF-9280-055311BF145B}">
  <dimension ref="A1:D1023"/>
  <sheetViews>
    <sheetView tabSelected="1" zoomScaleNormal="100" workbookViewId="0">
      <selection activeCell="L35" sqref="L35"/>
    </sheetView>
  </sheetViews>
  <sheetFormatPr defaultColWidth="10.08984375" defaultRowHeight="15" customHeight="1"/>
  <cols>
    <col min="1" max="1" width="22.1796875" style="5" customWidth="1"/>
    <col min="2" max="2" width="11.7265625" style="5" customWidth="1"/>
    <col min="3" max="3" width="17.6328125" style="5" customWidth="1"/>
    <col min="4" max="4" width="15.6328125" style="5" customWidth="1"/>
    <col min="5" max="26" width="6" style="5" customWidth="1"/>
    <col min="27" max="16384" width="10.08984375" style="5"/>
  </cols>
  <sheetData>
    <row r="1" spans="1:4" s="29" customFormat="1" ht="15" customHeight="1"/>
    <row r="6" spans="1:4" ht="46.5" customHeight="1">
      <c r="A6" s="39" t="s">
        <v>18</v>
      </c>
      <c r="B6" s="40"/>
      <c r="C6" s="40"/>
      <c r="D6" s="40"/>
    </row>
    <row r="7" spans="1:4" ht="24.6" customHeight="1">
      <c r="A7" s="21"/>
      <c r="B7" s="22"/>
      <c r="C7" s="22"/>
      <c r="D7" s="22"/>
    </row>
    <row r="8" spans="1:4" ht="14.1" customHeight="1">
      <c r="A8" s="41" t="s">
        <v>19</v>
      </c>
      <c r="B8" s="42"/>
      <c r="C8" s="42"/>
      <c r="D8" s="42"/>
    </row>
    <row r="9" spans="1:4" s="19" customFormat="1" ht="33" customHeight="1">
      <c r="A9" s="31" t="s">
        <v>20</v>
      </c>
      <c r="B9" s="31" t="s">
        <v>21</v>
      </c>
      <c r="C9" s="31" t="s">
        <v>22</v>
      </c>
      <c r="D9" s="31" t="s">
        <v>23</v>
      </c>
    </row>
    <row r="10" spans="1:4" s="19" customFormat="1" ht="14.1" customHeight="1">
      <c r="A10" s="24" t="s">
        <v>209</v>
      </c>
      <c r="B10" s="25">
        <v>46171</v>
      </c>
      <c r="C10" s="24" t="s">
        <v>210</v>
      </c>
      <c r="D10" s="24" t="s">
        <v>211</v>
      </c>
    </row>
    <row r="11" spans="1:4" s="19" customFormat="1" ht="14.1" customHeight="1">
      <c r="A11" s="23"/>
      <c r="B11" s="26"/>
      <c r="C11" s="23"/>
      <c r="D11" s="23"/>
    </row>
    <row r="12" spans="1:4" s="19" customFormat="1" ht="14.1" customHeight="1">
      <c r="A12" s="23"/>
      <c r="B12" s="26"/>
      <c r="C12" s="23"/>
      <c r="D12" s="23"/>
    </row>
    <row r="13" spans="1:4" s="19" customFormat="1" ht="14.1" customHeight="1">
      <c r="A13" s="41" t="s">
        <v>24</v>
      </c>
      <c r="B13" s="43"/>
      <c r="C13" s="43"/>
      <c r="D13" s="43"/>
    </row>
    <row r="14" spans="1:4" s="19" customFormat="1" ht="33.9" customHeight="1">
      <c r="A14" s="32" t="s">
        <v>25</v>
      </c>
      <c r="B14" s="32" t="s">
        <v>21</v>
      </c>
      <c r="C14" s="32" t="s">
        <v>22</v>
      </c>
      <c r="D14" s="32" t="s">
        <v>23</v>
      </c>
    </row>
    <row r="15" spans="1:4" s="19" customFormat="1" ht="14.1" customHeight="1">
      <c r="A15" s="27" t="s">
        <v>26</v>
      </c>
      <c r="B15" s="28">
        <v>46171</v>
      </c>
      <c r="C15" s="27" t="s">
        <v>210</v>
      </c>
      <c r="D15" s="27" t="s">
        <v>211</v>
      </c>
    </row>
    <row r="16" spans="1:4" ht="24.6" customHeight="1">
      <c r="A16" s="21" t="s">
        <v>27</v>
      </c>
      <c r="B16" s="22"/>
      <c r="C16" s="22"/>
      <c r="D16" s="22"/>
    </row>
    <row r="17" spans="1:4" s="19" customFormat="1" ht="14.1" customHeight="1">
      <c r="A17" s="23"/>
      <c r="B17" s="23"/>
      <c r="C17" s="23"/>
      <c r="D17" s="23"/>
    </row>
    <row r="18" spans="1:4" s="19" customFormat="1" ht="12.75" customHeight="1">
      <c r="A18" s="23"/>
      <c r="B18" s="23"/>
      <c r="C18" s="23"/>
      <c r="D18" s="23"/>
    </row>
    <row r="19" spans="1:4" ht="22.5" customHeight="1">
      <c r="A19" s="21" t="s">
        <v>28</v>
      </c>
      <c r="B19" s="22"/>
      <c r="C19" s="22"/>
      <c r="D19" s="22"/>
    </row>
    <row r="20" spans="1:4" ht="12.75" customHeight="1">
      <c r="A20" s="22"/>
      <c r="B20" s="22"/>
      <c r="C20" s="22"/>
      <c r="D20" s="22"/>
    </row>
    <row r="21" spans="1:4" ht="20.100000000000001" customHeight="1">
      <c r="A21" s="33" t="s">
        <v>212</v>
      </c>
      <c r="B21"/>
      <c r="C21"/>
      <c r="D21" s="22"/>
    </row>
    <row r="22" spans="1:4" ht="12.75" customHeight="1">
      <c r="A22" s="34" t="s">
        <v>29</v>
      </c>
      <c r="B22" s="34" t="s">
        <v>30</v>
      </c>
      <c r="C22" s="34" t="s">
        <v>31</v>
      </c>
      <c r="D22" s="22"/>
    </row>
    <row r="23" spans="1:4" ht="12.75" customHeight="1">
      <c r="A23" s="55" t="s">
        <v>172</v>
      </c>
      <c r="B23" s="55" t="s">
        <v>173</v>
      </c>
      <c r="C23" s="55" t="s">
        <v>174</v>
      </c>
      <c r="D23" s="22"/>
    </row>
    <row r="24" spans="1:4" ht="12.75" customHeight="1">
      <c r="A24" s="55" t="s">
        <v>175</v>
      </c>
      <c r="B24" s="55" t="s">
        <v>176</v>
      </c>
      <c r="C24" s="55" t="s">
        <v>177</v>
      </c>
      <c r="D24" s="22"/>
    </row>
    <row r="25" spans="1:4" ht="12.75" customHeight="1">
      <c r="A25" s="55" t="s">
        <v>178</v>
      </c>
      <c r="B25" s="55" t="s">
        <v>173</v>
      </c>
      <c r="C25" s="55" t="s">
        <v>177</v>
      </c>
      <c r="D25" s="22"/>
    </row>
    <row r="26" spans="1:4" ht="12.75" customHeight="1">
      <c r="A26" s="55" t="s">
        <v>179</v>
      </c>
      <c r="B26" s="55" t="s">
        <v>180</v>
      </c>
      <c r="C26" s="55" t="s">
        <v>181</v>
      </c>
      <c r="D26" s="22"/>
    </row>
    <row r="27" spans="1:4" ht="12.75" customHeight="1">
      <c r="A27" s="55" t="s">
        <v>182</v>
      </c>
      <c r="B27" s="55" t="s">
        <v>180</v>
      </c>
      <c r="C27" s="55" t="s">
        <v>181</v>
      </c>
      <c r="D27" s="22"/>
    </row>
    <row r="28" spans="1:4" ht="12.75" customHeight="1">
      <c r="A28" s="55" t="s">
        <v>183</v>
      </c>
      <c r="B28" s="55" t="s">
        <v>180</v>
      </c>
      <c r="C28" s="55" t="s">
        <v>184</v>
      </c>
      <c r="D28" s="22"/>
    </row>
    <row r="29" spans="1:4" ht="12.75" customHeight="1">
      <c r="A29" s="55" t="s">
        <v>185</v>
      </c>
      <c r="B29" s="55" t="s">
        <v>186</v>
      </c>
      <c r="C29" s="55" t="s">
        <v>184</v>
      </c>
      <c r="D29" s="22"/>
    </row>
    <row r="30" spans="1:4" ht="12.75" customHeight="1">
      <c r="A30" s="55" t="s">
        <v>187</v>
      </c>
      <c r="B30" s="55" t="s">
        <v>186</v>
      </c>
      <c r="C30" s="55" t="s">
        <v>188</v>
      </c>
      <c r="D30" s="22"/>
    </row>
    <row r="31" spans="1:4" ht="12.75" customHeight="1">
      <c r="A31" s="55" t="s">
        <v>189</v>
      </c>
      <c r="B31" s="55" t="s">
        <v>186</v>
      </c>
      <c r="C31" s="55" t="s">
        <v>188</v>
      </c>
      <c r="D31" s="22"/>
    </row>
    <row r="32" spans="1:4" ht="12.75" customHeight="1">
      <c r="A32" s="55" t="s">
        <v>190</v>
      </c>
      <c r="B32" s="55" t="s">
        <v>186</v>
      </c>
      <c r="C32" s="55" t="s">
        <v>191</v>
      </c>
      <c r="D32" s="22"/>
    </row>
    <row r="33" spans="1:4" ht="12.75" customHeight="1">
      <c r="A33" s="55" t="s">
        <v>192</v>
      </c>
      <c r="B33" s="55" t="s">
        <v>193</v>
      </c>
      <c r="C33" s="55" t="s">
        <v>191</v>
      </c>
      <c r="D33" s="22"/>
    </row>
    <row r="34" spans="1:4" ht="12.75" customHeight="1">
      <c r="A34" s="55" t="s">
        <v>194</v>
      </c>
      <c r="B34" s="56" t="s">
        <v>195</v>
      </c>
      <c r="C34" s="55" t="s">
        <v>191</v>
      </c>
      <c r="D34" s="22"/>
    </row>
    <row r="35" spans="1:4" ht="12.75" customHeight="1">
      <c r="A35" s="55" t="s">
        <v>196</v>
      </c>
      <c r="B35" s="56" t="s">
        <v>195</v>
      </c>
      <c r="C35" s="55" t="s">
        <v>191</v>
      </c>
      <c r="D35" s="22"/>
    </row>
    <row r="36" spans="1:4" ht="12.75" customHeight="1">
      <c r="A36" s="55" t="s">
        <v>197</v>
      </c>
      <c r="B36" s="55" t="s">
        <v>198</v>
      </c>
      <c r="C36" s="55" t="s">
        <v>191</v>
      </c>
      <c r="D36" s="22"/>
    </row>
    <row r="37" spans="1:4" ht="12.75" customHeight="1">
      <c r="A37" s="55" t="s">
        <v>199</v>
      </c>
      <c r="B37" s="55" t="s">
        <v>200</v>
      </c>
      <c r="C37" s="55" t="s">
        <v>191</v>
      </c>
      <c r="D37" s="22"/>
    </row>
    <row r="38" spans="1:4" ht="12.75" customHeight="1">
      <c r="A38" s="55" t="s">
        <v>201</v>
      </c>
      <c r="B38" s="55" t="s">
        <v>200</v>
      </c>
      <c r="C38" s="55" t="s">
        <v>191</v>
      </c>
      <c r="D38" s="22"/>
    </row>
    <row r="39" spans="1:4" ht="12.75" customHeight="1">
      <c r="A39" s="55" t="s">
        <v>202</v>
      </c>
      <c r="B39" s="55" t="s">
        <v>200</v>
      </c>
      <c r="C39" s="55" t="s">
        <v>191</v>
      </c>
      <c r="D39" s="22"/>
    </row>
    <row r="40" spans="1:4" ht="12.75" customHeight="1">
      <c r="A40" s="55" t="s">
        <v>203</v>
      </c>
      <c r="B40" s="55" t="s">
        <v>200</v>
      </c>
      <c r="C40" s="55" t="s">
        <v>191</v>
      </c>
      <c r="D40" s="22"/>
    </row>
    <row r="41" spans="1:4" ht="12.75" customHeight="1">
      <c r="A41" s="55" t="s">
        <v>204</v>
      </c>
      <c r="B41" s="55" t="s">
        <v>173</v>
      </c>
      <c r="C41" s="55" t="s">
        <v>191</v>
      </c>
      <c r="D41" s="22"/>
    </row>
    <row r="42" spans="1:4" ht="12.75" customHeight="1">
      <c r="A42" s="55" t="s">
        <v>205</v>
      </c>
      <c r="B42" s="55" t="s">
        <v>173</v>
      </c>
      <c r="C42" s="55" t="s">
        <v>191</v>
      </c>
      <c r="D42" s="22"/>
    </row>
    <row r="43" spans="1:4" ht="12.75" customHeight="1">
      <c r="A43" s="55" t="s">
        <v>206</v>
      </c>
      <c r="B43" s="55" t="s">
        <v>173</v>
      </c>
      <c r="C43" s="55" t="s">
        <v>191</v>
      </c>
      <c r="D43" s="22"/>
    </row>
    <row r="44" spans="1:4" ht="12.75" customHeight="1">
      <c r="A44" s="55" t="s">
        <v>207</v>
      </c>
      <c r="B44" s="55" t="s">
        <v>208</v>
      </c>
      <c r="C44" s="55" t="s">
        <v>191</v>
      </c>
      <c r="D44" s="22"/>
    </row>
    <row r="45" spans="1:4" ht="12.75" customHeight="1">
      <c r="A45" s="22"/>
      <c r="B45" s="22"/>
      <c r="C45" s="22"/>
      <c r="D45" s="22"/>
    </row>
    <row r="46" spans="1:4" ht="12.75" customHeight="1">
      <c r="A46" s="30" t="s">
        <v>17</v>
      </c>
      <c r="B46" s="22"/>
      <c r="C46" s="22"/>
      <c r="D46" s="22"/>
    </row>
    <row r="47" spans="1:4" ht="12.75" customHeight="1">
      <c r="A47" s="22"/>
      <c r="B47" s="22"/>
      <c r="C47" s="22"/>
      <c r="D47" s="22"/>
    </row>
    <row r="48" spans="1:4" ht="12.75" customHeight="1">
      <c r="A48" s="22"/>
      <c r="B48" s="22"/>
      <c r="C48" s="22"/>
      <c r="D48" s="22"/>
    </row>
    <row r="49" spans="1:4" ht="12.75" customHeight="1">
      <c r="B49" s="22"/>
      <c r="C49" s="22"/>
      <c r="D49" s="22"/>
    </row>
    <row r="50" spans="1:4" ht="12.75" customHeight="1">
      <c r="A50" s="22"/>
      <c r="B50" s="22"/>
      <c r="C50" s="22"/>
      <c r="D50" s="22"/>
    </row>
    <row r="51" spans="1:4" ht="12.75" customHeight="1">
      <c r="A51" s="22"/>
      <c r="B51" s="22"/>
      <c r="C51" s="22"/>
      <c r="D51" s="22"/>
    </row>
    <row r="52" spans="1:4" ht="12.75" customHeight="1">
      <c r="A52" s="22"/>
      <c r="B52" s="22"/>
      <c r="C52" s="22"/>
      <c r="D52" s="22"/>
    </row>
    <row r="53" spans="1:4" ht="12.75" customHeight="1">
      <c r="A53" s="22"/>
      <c r="B53" s="22"/>
      <c r="C53" s="22"/>
      <c r="D53" s="22"/>
    </row>
    <row r="54" spans="1:4" ht="12.75" customHeight="1">
      <c r="A54" s="22"/>
      <c r="B54" s="22"/>
      <c r="C54" s="22"/>
      <c r="D54" s="22"/>
    </row>
    <row r="55" spans="1:4" ht="12.75" customHeight="1">
      <c r="A55" s="22"/>
      <c r="B55" s="22"/>
      <c r="C55" s="22"/>
      <c r="D55" s="22"/>
    </row>
    <row r="56" spans="1:4" ht="12.75" customHeight="1">
      <c r="A56" s="22"/>
      <c r="B56" s="22"/>
      <c r="C56" s="22"/>
      <c r="D56" s="22"/>
    </row>
    <row r="57" spans="1:4" ht="12.75" customHeight="1">
      <c r="A57" s="22"/>
      <c r="B57" s="22"/>
      <c r="C57" s="22"/>
      <c r="D57" s="22"/>
    </row>
    <row r="58" spans="1:4" ht="12.75" customHeight="1">
      <c r="A58" s="22"/>
      <c r="B58" s="22"/>
      <c r="C58" s="22"/>
      <c r="D58" s="22"/>
    </row>
    <row r="59" spans="1:4" ht="12.75" customHeight="1">
      <c r="A59" s="22"/>
      <c r="B59" s="22"/>
      <c r="C59" s="22"/>
      <c r="D59" s="22"/>
    </row>
    <row r="60" spans="1:4" ht="12.75" customHeight="1">
      <c r="A60" s="22"/>
      <c r="B60" s="22"/>
      <c r="C60" s="22"/>
      <c r="D60" s="22"/>
    </row>
    <row r="61" spans="1:4" ht="12.75" customHeight="1">
      <c r="A61" s="22"/>
      <c r="B61" s="22"/>
      <c r="C61" s="22"/>
      <c r="D61" s="22"/>
    </row>
    <row r="62" spans="1:4" ht="12.75" customHeight="1">
      <c r="A62" s="22"/>
      <c r="B62" s="22"/>
      <c r="C62" s="22"/>
      <c r="D62" s="22"/>
    </row>
    <row r="63" spans="1:4" ht="12.75" customHeight="1">
      <c r="A63" s="22"/>
      <c r="B63" s="22"/>
      <c r="C63" s="22"/>
      <c r="D63" s="22"/>
    </row>
    <row r="64" spans="1:4" ht="12.75" customHeight="1">
      <c r="A64" s="22"/>
      <c r="B64" s="22"/>
      <c r="C64" s="22"/>
      <c r="D64" s="22"/>
    </row>
    <row r="65" spans="1:4" ht="12.75" customHeight="1">
      <c r="A65" s="22"/>
      <c r="B65" s="22"/>
      <c r="C65" s="22"/>
      <c r="D65" s="22"/>
    </row>
    <row r="66" spans="1:4" ht="12.75" customHeight="1">
      <c r="A66" s="22"/>
      <c r="B66" s="22"/>
      <c r="C66" s="22"/>
      <c r="D66" s="22"/>
    </row>
    <row r="67" spans="1:4" ht="12.75" customHeight="1">
      <c r="A67" s="22"/>
      <c r="B67" s="22"/>
      <c r="C67" s="22"/>
      <c r="D67" s="22"/>
    </row>
    <row r="68" spans="1:4" ht="12.75" customHeight="1">
      <c r="A68" s="22"/>
      <c r="B68" s="22"/>
      <c r="C68" s="22"/>
      <c r="D68" s="22"/>
    </row>
    <row r="69" spans="1:4" ht="12.75" customHeight="1">
      <c r="A69" s="22"/>
      <c r="B69" s="22"/>
      <c r="C69" s="22"/>
      <c r="D69" s="22"/>
    </row>
    <row r="70" spans="1:4" ht="12.75" customHeight="1">
      <c r="A70" s="22"/>
      <c r="B70" s="22"/>
      <c r="C70" s="22"/>
      <c r="D70" s="22"/>
    </row>
    <row r="71" spans="1:4" ht="12.75" customHeight="1">
      <c r="A71" s="22"/>
      <c r="B71" s="22"/>
      <c r="C71" s="22"/>
      <c r="D71" s="22"/>
    </row>
    <row r="72" spans="1:4" ht="12.75" customHeight="1">
      <c r="A72" s="22"/>
      <c r="B72" s="22"/>
      <c r="C72" s="22"/>
      <c r="D72" s="22"/>
    </row>
    <row r="73" spans="1:4" ht="12.75" customHeight="1">
      <c r="A73" s="22"/>
      <c r="B73" s="22"/>
      <c r="C73" s="22"/>
      <c r="D73" s="22"/>
    </row>
    <row r="74" spans="1:4" ht="12.75" customHeight="1">
      <c r="A74" s="22"/>
      <c r="B74" s="22"/>
      <c r="C74" s="22"/>
      <c r="D74" s="22"/>
    </row>
    <row r="75" spans="1:4" ht="12.75" customHeight="1">
      <c r="A75" s="22"/>
      <c r="B75" s="22"/>
      <c r="C75" s="22"/>
      <c r="D75" s="22"/>
    </row>
    <row r="76" spans="1:4" ht="12.75" customHeight="1">
      <c r="A76" s="22"/>
      <c r="B76" s="22"/>
      <c r="C76" s="22"/>
      <c r="D76" s="22"/>
    </row>
    <row r="77" spans="1:4" ht="12.75" customHeight="1">
      <c r="A77" s="22"/>
      <c r="B77" s="22"/>
      <c r="C77" s="22"/>
      <c r="D77" s="22"/>
    </row>
    <row r="78" spans="1:4" ht="12.75" customHeight="1">
      <c r="A78" s="22"/>
      <c r="B78" s="22"/>
      <c r="C78" s="22"/>
      <c r="D78" s="22"/>
    </row>
    <row r="79" spans="1:4" ht="12.75" customHeight="1">
      <c r="A79" s="22"/>
      <c r="B79" s="22"/>
      <c r="C79" s="22"/>
      <c r="D79" s="22"/>
    </row>
    <row r="80" spans="1:4" ht="12.75" customHeight="1">
      <c r="A80" s="22"/>
      <c r="B80" s="22"/>
      <c r="C80" s="22"/>
      <c r="D80" s="22"/>
    </row>
    <row r="81" spans="1:4" ht="12.75" customHeight="1">
      <c r="A81" s="22"/>
      <c r="B81" s="22"/>
      <c r="C81" s="22"/>
      <c r="D81" s="22"/>
    </row>
    <row r="82" spans="1:4" ht="12.75" customHeight="1">
      <c r="A82" s="22"/>
      <c r="B82" s="22"/>
      <c r="C82" s="22"/>
      <c r="D82" s="22"/>
    </row>
    <row r="83" spans="1:4" ht="12.75" customHeight="1">
      <c r="A83" s="22"/>
      <c r="B83" s="22"/>
      <c r="C83" s="22"/>
      <c r="D83" s="22"/>
    </row>
    <row r="84" spans="1:4" ht="12.75" customHeight="1">
      <c r="A84" s="22"/>
      <c r="B84" s="22"/>
      <c r="C84" s="22"/>
      <c r="D84" s="22"/>
    </row>
    <row r="85" spans="1:4" ht="12.75" customHeight="1">
      <c r="A85" s="22"/>
      <c r="B85" s="22"/>
      <c r="C85" s="22"/>
      <c r="D85" s="22"/>
    </row>
    <row r="86" spans="1:4" ht="12.75" customHeight="1">
      <c r="A86" s="22"/>
      <c r="B86" s="22"/>
      <c r="C86" s="22"/>
      <c r="D86" s="22"/>
    </row>
    <row r="87" spans="1:4" ht="12.75" customHeight="1">
      <c r="A87" s="22"/>
      <c r="B87" s="22"/>
      <c r="C87" s="22"/>
      <c r="D87" s="22"/>
    </row>
    <row r="88" spans="1:4" ht="12.75" customHeight="1">
      <c r="A88" s="22"/>
      <c r="B88" s="22"/>
      <c r="C88" s="22"/>
      <c r="D88" s="22"/>
    </row>
    <row r="89" spans="1:4" ht="12.75" customHeight="1">
      <c r="A89" s="22"/>
      <c r="B89" s="22"/>
      <c r="C89" s="22"/>
      <c r="D89" s="22"/>
    </row>
    <row r="90" spans="1:4" ht="12.75" customHeight="1">
      <c r="A90" s="22"/>
      <c r="B90" s="22"/>
      <c r="C90" s="22"/>
      <c r="D90" s="22"/>
    </row>
    <row r="91" spans="1:4" ht="12.75" customHeight="1">
      <c r="A91" s="22"/>
      <c r="B91" s="22"/>
      <c r="C91" s="22"/>
      <c r="D91" s="22"/>
    </row>
    <row r="92" spans="1:4" ht="12.75" customHeight="1">
      <c r="A92" s="22"/>
      <c r="B92" s="22"/>
      <c r="C92" s="22"/>
      <c r="D92" s="22"/>
    </row>
    <row r="93" spans="1:4" ht="12.75" customHeight="1">
      <c r="A93" s="22"/>
      <c r="B93" s="22"/>
      <c r="C93" s="22"/>
      <c r="D93" s="22"/>
    </row>
    <row r="94" spans="1:4" ht="12.75" customHeight="1">
      <c r="A94" s="22"/>
      <c r="B94" s="22"/>
      <c r="C94" s="22"/>
      <c r="D94" s="22"/>
    </row>
    <row r="95" spans="1:4" ht="12.75" customHeight="1">
      <c r="A95" s="22"/>
      <c r="B95" s="22"/>
      <c r="C95" s="22"/>
      <c r="D95" s="22"/>
    </row>
    <row r="96" spans="1:4" ht="12.75" customHeight="1">
      <c r="A96" s="22"/>
      <c r="B96" s="22"/>
      <c r="C96" s="22"/>
      <c r="D96" s="22"/>
    </row>
    <row r="97" spans="1:4" ht="12.75" customHeight="1">
      <c r="A97" s="22"/>
      <c r="B97" s="22"/>
      <c r="C97" s="22"/>
      <c r="D97" s="22"/>
    </row>
    <row r="98" spans="1:4" ht="12.75" customHeight="1">
      <c r="A98" s="22"/>
      <c r="B98" s="22"/>
      <c r="C98" s="22"/>
      <c r="D98" s="22"/>
    </row>
    <row r="99" spans="1:4" ht="12.75" customHeight="1">
      <c r="A99" s="22"/>
      <c r="B99" s="22"/>
      <c r="C99" s="22"/>
      <c r="D99" s="22"/>
    </row>
    <row r="100" spans="1:4" ht="12.75" customHeight="1">
      <c r="A100" s="22"/>
      <c r="B100" s="22"/>
      <c r="C100" s="22"/>
      <c r="D100" s="22"/>
    </row>
    <row r="101" spans="1:4" ht="12.75" customHeight="1">
      <c r="A101" s="22"/>
      <c r="B101" s="22"/>
      <c r="C101" s="22"/>
      <c r="D101" s="22"/>
    </row>
    <row r="102" spans="1:4" ht="12.75" customHeight="1">
      <c r="A102" s="22"/>
      <c r="B102" s="22"/>
      <c r="C102" s="22"/>
      <c r="D102" s="22"/>
    </row>
    <row r="103" spans="1:4" ht="12.75" customHeight="1">
      <c r="A103" s="22"/>
      <c r="B103" s="22"/>
      <c r="C103" s="22"/>
      <c r="D103" s="22"/>
    </row>
    <row r="104" spans="1:4" ht="12.75" customHeight="1">
      <c r="A104" s="22"/>
      <c r="B104" s="22"/>
      <c r="C104" s="22"/>
      <c r="D104" s="22"/>
    </row>
    <row r="105" spans="1:4" ht="12.75" customHeight="1">
      <c r="A105" s="22"/>
      <c r="B105" s="22"/>
      <c r="C105" s="22"/>
      <c r="D105" s="22"/>
    </row>
    <row r="106" spans="1:4" ht="12.75" customHeight="1">
      <c r="A106" s="22"/>
      <c r="B106" s="22"/>
      <c r="C106" s="22"/>
      <c r="D106" s="22"/>
    </row>
    <row r="107" spans="1:4" ht="12.75" customHeight="1">
      <c r="A107" s="22"/>
      <c r="B107" s="22"/>
      <c r="C107" s="22"/>
      <c r="D107" s="22"/>
    </row>
    <row r="108" spans="1:4" ht="12.75" customHeight="1">
      <c r="A108" s="22"/>
      <c r="B108" s="22"/>
      <c r="C108" s="22"/>
      <c r="D108" s="22"/>
    </row>
    <row r="109" spans="1:4" ht="12.75" customHeight="1">
      <c r="A109" s="22"/>
      <c r="B109" s="22"/>
      <c r="C109" s="22"/>
      <c r="D109" s="22"/>
    </row>
    <row r="110" spans="1:4" ht="12.75" customHeight="1">
      <c r="A110" s="22"/>
      <c r="B110" s="22"/>
      <c r="C110" s="22"/>
      <c r="D110" s="22"/>
    </row>
    <row r="111" spans="1:4" ht="12.75" customHeight="1">
      <c r="A111" s="22"/>
      <c r="B111" s="22"/>
      <c r="C111" s="22"/>
      <c r="D111" s="22"/>
    </row>
    <row r="112" spans="1:4" ht="12.75" customHeight="1">
      <c r="A112" s="22"/>
      <c r="B112" s="22"/>
      <c r="C112" s="22"/>
      <c r="D112" s="22"/>
    </row>
    <row r="113" spans="1:4" ht="12.75" customHeight="1">
      <c r="A113" s="22"/>
      <c r="B113" s="22"/>
      <c r="C113" s="22"/>
      <c r="D113" s="22"/>
    </row>
    <row r="114" spans="1:4" ht="12.75" customHeight="1">
      <c r="A114" s="22"/>
      <c r="B114" s="22"/>
      <c r="C114" s="22"/>
      <c r="D114" s="22"/>
    </row>
    <row r="115" spans="1:4" ht="12.75" customHeight="1">
      <c r="A115" s="22"/>
      <c r="B115" s="22"/>
      <c r="C115" s="22"/>
      <c r="D115" s="22"/>
    </row>
    <row r="116" spans="1:4" ht="12.75" customHeight="1">
      <c r="A116" s="22"/>
      <c r="B116" s="22"/>
      <c r="C116" s="22"/>
      <c r="D116" s="22"/>
    </row>
    <row r="117" spans="1:4" ht="12.75" customHeight="1">
      <c r="A117" s="22"/>
      <c r="B117" s="22"/>
      <c r="C117" s="22"/>
      <c r="D117" s="22"/>
    </row>
    <row r="118" spans="1:4" ht="12.75" customHeight="1">
      <c r="A118" s="22"/>
      <c r="B118" s="22"/>
      <c r="C118" s="22"/>
      <c r="D118" s="22"/>
    </row>
    <row r="119" spans="1:4" ht="12.75" customHeight="1">
      <c r="A119" s="22"/>
      <c r="B119" s="22"/>
      <c r="C119" s="22"/>
      <c r="D119" s="22"/>
    </row>
    <row r="120" spans="1:4" ht="12.75" customHeight="1">
      <c r="A120" s="22"/>
      <c r="B120" s="22"/>
      <c r="C120" s="22"/>
      <c r="D120" s="22"/>
    </row>
    <row r="121" spans="1:4" ht="12.75" customHeight="1">
      <c r="A121" s="22"/>
      <c r="B121" s="22"/>
      <c r="C121" s="22"/>
      <c r="D121" s="22"/>
    </row>
    <row r="122" spans="1:4" ht="12.75" customHeight="1">
      <c r="A122" s="22"/>
      <c r="B122" s="22"/>
      <c r="C122" s="22"/>
      <c r="D122" s="22"/>
    </row>
    <row r="123" spans="1:4" ht="12.75" customHeight="1">
      <c r="A123" s="22"/>
      <c r="B123" s="22"/>
      <c r="C123" s="22"/>
      <c r="D123" s="22"/>
    </row>
    <row r="124" spans="1:4" ht="12.75" customHeight="1">
      <c r="A124" s="22"/>
      <c r="B124" s="22"/>
      <c r="C124" s="22"/>
      <c r="D124" s="22"/>
    </row>
    <row r="125" spans="1:4" ht="12.75" customHeight="1">
      <c r="A125" s="22"/>
      <c r="B125" s="22"/>
      <c r="C125" s="22"/>
      <c r="D125" s="22"/>
    </row>
    <row r="126" spans="1:4" ht="12.75" customHeight="1">
      <c r="A126" s="22"/>
      <c r="B126" s="22"/>
      <c r="C126" s="22"/>
      <c r="D126" s="22"/>
    </row>
    <row r="127" spans="1:4" ht="12.75" customHeight="1">
      <c r="A127" s="22"/>
      <c r="B127" s="22"/>
      <c r="C127" s="22"/>
      <c r="D127" s="22"/>
    </row>
    <row r="128" spans="1:4" ht="12.75" customHeight="1">
      <c r="A128" s="22"/>
      <c r="B128" s="22"/>
      <c r="C128" s="22"/>
      <c r="D128" s="22"/>
    </row>
    <row r="129" spans="1:4" ht="12.75" customHeight="1">
      <c r="A129" s="22"/>
      <c r="B129" s="22"/>
      <c r="C129" s="22"/>
      <c r="D129" s="22"/>
    </row>
    <row r="130" spans="1:4" ht="12.75" customHeight="1">
      <c r="A130" s="22"/>
      <c r="B130" s="22"/>
      <c r="C130" s="22"/>
      <c r="D130" s="22"/>
    </row>
    <row r="131" spans="1:4" ht="12.75" customHeight="1">
      <c r="A131" s="22"/>
      <c r="B131" s="22"/>
      <c r="C131" s="22"/>
      <c r="D131" s="22"/>
    </row>
    <row r="132" spans="1:4" ht="12.75" customHeight="1">
      <c r="A132" s="22"/>
      <c r="B132" s="22"/>
      <c r="C132" s="22"/>
      <c r="D132" s="22"/>
    </row>
    <row r="133" spans="1:4" ht="12.75" customHeight="1">
      <c r="A133" s="22"/>
      <c r="B133" s="22"/>
      <c r="C133" s="22"/>
      <c r="D133" s="22"/>
    </row>
    <row r="134" spans="1:4" ht="12.75" customHeight="1">
      <c r="A134" s="22"/>
      <c r="B134" s="22"/>
      <c r="C134" s="22"/>
      <c r="D134" s="22"/>
    </row>
    <row r="135" spans="1:4" ht="12.75" customHeight="1">
      <c r="A135" s="22"/>
      <c r="B135" s="22"/>
      <c r="C135" s="22"/>
      <c r="D135" s="22"/>
    </row>
    <row r="136" spans="1:4" ht="12.75" customHeight="1">
      <c r="A136" s="22"/>
      <c r="B136" s="22"/>
      <c r="C136" s="22"/>
      <c r="D136" s="22"/>
    </row>
    <row r="137" spans="1:4" ht="12.75" customHeight="1">
      <c r="A137" s="22"/>
      <c r="B137" s="22"/>
      <c r="C137" s="22"/>
      <c r="D137" s="22"/>
    </row>
    <row r="138" spans="1:4" ht="12.75" customHeight="1">
      <c r="A138" s="22"/>
      <c r="B138" s="22"/>
      <c r="C138" s="22"/>
      <c r="D138" s="22"/>
    </row>
    <row r="139" spans="1:4" ht="12.75" customHeight="1">
      <c r="A139" s="22"/>
      <c r="B139" s="22"/>
      <c r="C139" s="22"/>
      <c r="D139" s="22"/>
    </row>
    <row r="140" spans="1:4" ht="12.75" customHeight="1">
      <c r="A140" s="22"/>
      <c r="B140" s="22"/>
      <c r="C140" s="22"/>
      <c r="D140" s="22"/>
    </row>
    <row r="141" spans="1:4" ht="12.75" customHeight="1">
      <c r="A141" s="22"/>
      <c r="B141" s="22"/>
      <c r="C141" s="22"/>
      <c r="D141" s="22"/>
    </row>
    <row r="142" spans="1:4" ht="12.75" customHeight="1">
      <c r="A142" s="22"/>
      <c r="B142" s="22"/>
      <c r="C142" s="22"/>
      <c r="D142" s="22"/>
    </row>
    <row r="143" spans="1:4" ht="12.75" customHeight="1">
      <c r="A143" s="22"/>
      <c r="B143" s="22"/>
      <c r="C143" s="22"/>
      <c r="D143" s="22"/>
    </row>
    <row r="144" spans="1:4" ht="12.75" customHeight="1">
      <c r="A144" s="22"/>
      <c r="B144" s="22"/>
      <c r="C144" s="22"/>
      <c r="D144" s="22"/>
    </row>
    <row r="145" spans="1:4" ht="12.75" customHeight="1">
      <c r="A145" s="22"/>
      <c r="B145" s="22"/>
      <c r="C145" s="22"/>
      <c r="D145" s="22"/>
    </row>
    <row r="146" spans="1:4" ht="12.75" customHeight="1">
      <c r="A146" s="22"/>
      <c r="B146" s="22"/>
      <c r="C146" s="22"/>
      <c r="D146" s="22"/>
    </row>
    <row r="147" spans="1:4" ht="12.75" customHeight="1">
      <c r="A147" s="22"/>
      <c r="B147" s="22"/>
      <c r="C147" s="22"/>
      <c r="D147" s="22"/>
    </row>
    <row r="148" spans="1:4" ht="12.75" customHeight="1">
      <c r="A148" s="22"/>
      <c r="B148" s="22"/>
      <c r="C148" s="22"/>
      <c r="D148" s="22"/>
    </row>
    <row r="149" spans="1:4" ht="12.75" customHeight="1">
      <c r="A149" s="22"/>
      <c r="B149" s="22"/>
      <c r="C149" s="22"/>
      <c r="D149" s="22"/>
    </row>
    <row r="150" spans="1:4" ht="12.75" customHeight="1">
      <c r="A150" s="22"/>
      <c r="B150" s="22"/>
      <c r="C150" s="22"/>
      <c r="D150" s="22"/>
    </row>
    <row r="151" spans="1:4" ht="12.75" customHeight="1">
      <c r="A151" s="22"/>
      <c r="B151" s="22"/>
      <c r="C151" s="22"/>
      <c r="D151" s="22"/>
    </row>
    <row r="152" spans="1:4" ht="12.75" customHeight="1">
      <c r="A152" s="22"/>
      <c r="B152" s="22"/>
      <c r="C152" s="22"/>
      <c r="D152" s="22"/>
    </row>
    <row r="153" spans="1:4" ht="12.75" customHeight="1">
      <c r="A153" s="22"/>
      <c r="B153" s="22"/>
      <c r="C153" s="22"/>
      <c r="D153" s="22"/>
    </row>
    <row r="154" spans="1:4" ht="12.75" customHeight="1">
      <c r="A154" s="22"/>
      <c r="B154" s="22"/>
      <c r="C154" s="22"/>
      <c r="D154" s="22"/>
    </row>
    <row r="155" spans="1:4" ht="12.75" customHeight="1">
      <c r="A155" s="22"/>
      <c r="B155" s="22"/>
      <c r="C155" s="22"/>
      <c r="D155" s="22"/>
    </row>
    <row r="156" spans="1:4" ht="12.75" customHeight="1">
      <c r="A156" s="22"/>
      <c r="B156" s="22"/>
      <c r="C156" s="22"/>
      <c r="D156" s="22"/>
    </row>
    <row r="157" spans="1:4" ht="12.75" customHeight="1">
      <c r="A157" s="22"/>
      <c r="B157" s="22"/>
      <c r="C157" s="22"/>
      <c r="D157" s="22"/>
    </row>
    <row r="158" spans="1:4" ht="12.75" customHeight="1">
      <c r="A158" s="22"/>
      <c r="B158" s="22"/>
      <c r="C158" s="22"/>
      <c r="D158" s="22"/>
    </row>
    <row r="159" spans="1:4" ht="12.75" customHeight="1">
      <c r="A159" s="22"/>
      <c r="B159" s="22"/>
      <c r="C159" s="22"/>
      <c r="D159" s="22"/>
    </row>
    <row r="160" spans="1:4" ht="12.75" customHeight="1">
      <c r="A160" s="22"/>
      <c r="B160" s="22"/>
      <c r="C160" s="22"/>
      <c r="D160" s="22"/>
    </row>
    <row r="161" spans="1:4" ht="12.75" customHeight="1">
      <c r="A161" s="22"/>
      <c r="B161" s="22"/>
      <c r="C161" s="22"/>
      <c r="D161" s="22"/>
    </row>
    <row r="162" spans="1:4" ht="12.75" customHeight="1">
      <c r="A162" s="22"/>
      <c r="B162" s="22"/>
      <c r="C162" s="22"/>
      <c r="D162" s="22"/>
    </row>
    <row r="163" spans="1:4" ht="12.75" customHeight="1">
      <c r="A163" s="22"/>
      <c r="B163" s="22"/>
      <c r="C163" s="22"/>
      <c r="D163" s="22"/>
    </row>
    <row r="164" spans="1:4" ht="12.75" customHeight="1">
      <c r="A164" s="22"/>
      <c r="B164" s="22"/>
      <c r="C164" s="22"/>
      <c r="D164" s="22"/>
    </row>
    <row r="165" spans="1:4" ht="12.75" customHeight="1">
      <c r="A165" s="22"/>
      <c r="B165" s="22"/>
      <c r="C165" s="22"/>
      <c r="D165" s="22"/>
    </row>
    <row r="166" spans="1:4" ht="12.75" customHeight="1">
      <c r="A166" s="22"/>
      <c r="B166" s="22"/>
      <c r="C166" s="22"/>
      <c r="D166" s="22"/>
    </row>
    <row r="167" spans="1:4" ht="12.75" customHeight="1">
      <c r="A167" s="22"/>
      <c r="B167" s="22"/>
      <c r="C167" s="22"/>
      <c r="D167" s="22"/>
    </row>
    <row r="168" spans="1:4" ht="12.75" customHeight="1">
      <c r="A168" s="22"/>
      <c r="B168" s="22"/>
      <c r="C168" s="22"/>
      <c r="D168" s="22"/>
    </row>
    <row r="169" spans="1:4" ht="12.75" customHeight="1">
      <c r="A169" s="22"/>
      <c r="B169" s="22"/>
      <c r="C169" s="22"/>
      <c r="D169" s="22"/>
    </row>
    <row r="170" spans="1:4" ht="12.75" customHeight="1">
      <c r="A170" s="22"/>
      <c r="B170" s="22"/>
      <c r="C170" s="22"/>
      <c r="D170" s="22"/>
    </row>
    <row r="171" spans="1:4" ht="12.75" customHeight="1">
      <c r="A171" s="22"/>
      <c r="B171" s="22"/>
      <c r="C171" s="22"/>
      <c r="D171" s="22"/>
    </row>
    <row r="172" spans="1:4" ht="12.75" customHeight="1">
      <c r="A172" s="22"/>
      <c r="B172" s="22"/>
      <c r="C172" s="22"/>
      <c r="D172" s="22"/>
    </row>
    <row r="173" spans="1:4" ht="12.75" customHeight="1">
      <c r="A173" s="22"/>
      <c r="B173" s="22"/>
      <c r="C173" s="22"/>
      <c r="D173" s="22"/>
    </row>
    <row r="174" spans="1:4" ht="12.75" customHeight="1">
      <c r="A174" s="22"/>
      <c r="B174" s="22"/>
      <c r="C174" s="22"/>
      <c r="D174" s="22"/>
    </row>
    <row r="175" spans="1:4" ht="12.75" customHeight="1">
      <c r="A175" s="22"/>
      <c r="B175" s="22"/>
      <c r="C175" s="22"/>
      <c r="D175" s="22"/>
    </row>
    <row r="176" spans="1:4" ht="12.75" customHeight="1">
      <c r="A176" s="22"/>
      <c r="B176" s="22"/>
      <c r="C176" s="22"/>
      <c r="D176" s="22"/>
    </row>
    <row r="177" spans="1:4" ht="12.75" customHeight="1">
      <c r="A177" s="22"/>
      <c r="B177" s="22"/>
      <c r="C177" s="22"/>
      <c r="D177" s="22"/>
    </row>
    <row r="178" spans="1:4" ht="12.75" customHeight="1">
      <c r="A178" s="22"/>
      <c r="B178" s="22"/>
      <c r="C178" s="22"/>
      <c r="D178" s="22"/>
    </row>
    <row r="179" spans="1:4" ht="12.75" customHeight="1">
      <c r="A179" s="22"/>
      <c r="B179" s="22"/>
      <c r="C179" s="22"/>
      <c r="D179" s="22"/>
    </row>
    <row r="180" spans="1:4" ht="12.75" customHeight="1">
      <c r="A180" s="22"/>
      <c r="B180" s="22"/>
      <c r="C180" s="22"/>
      <c r="D180" s="22"/>
    </row>
    <row r="181" spans="1:4" ht="12.75" customHeight="1">
      <c r="A181" s="22"/>
      <c r="B181" s="22"/>
      <c r="C181" s="22"/>
      <c r="D181" s="22"/>
    </row>
    <row r="182" spans="1:4" ht="12.75" customHeight="1">
      <c r="A182" s="22"/>
      <c r="B182" s="22"/>
      <c r="C182" s="22"/>
      <c r="D182" s="22"/>
    </row>
    <row r="183" spans="1:4" ht="12.75" customHeight="1">
      <c r="A183" s="22"/>
      <c r="B183" s="22"/>
      <c r="C183" s="22"/>
      <c r="D183" s="22"/>
    </row>
    <row r="184" spans="1:4" ht="12.75" customHeight="1">
      <c r="A184" s="22"/>
      <c r="B184" s="22"/>
      <c r="C184" s="22"/>
      <c r="D184" s="22"/>
    </row>
    <row r="185" spans="1:4" ht="12.75" customHeight="1">
      <c r="A185" s="22"/>
      <c r="B185" s="22"/>
      <c r="C185" s="22"/>
      <c r="D185" s="22"/>
    </row>
    <row r="186" spans="1:4" ht="12.75" customHeight="1">
      <c r="A186" s="22"/>
      <c r="B186" s="22"/>
      <c r="C186" s="22"/>
      <c r="D186" s="22"/>
    </row>
    <row r="187" spans="1:4" ht="12.75" customHeight="1">
      <c r="A187" s="22"/>
      <c r="B187" s="22"/>
      <c r="C187" s="22"/>
      <c r="D187" s="22"/>
    </row>
    <row r="188" spans="1:4" ht="12.75" customHeight="1">
      <c r="A188" s="22"/>
      <c r="B188" s="22"/>
      <c r="C188" s="22"/>
      <c r="D188" s="22"/>
    </row>
    <row r="189" spans="1:4" ht="12.75" customHeight="1">
      <c r="A189" s="22"/>
      <c r="B189" s="22"/>
      <c r="C189" s="22"/>
      <c r="D189" s="22"/>
    </row>
    <row r="190" spans="1:4" ht="12.75" customHeight="1">
      <c r="A190" s="22"/>
      <c r="B190" s="22"/>
      <c r="C190" s="22"/>
      <c r="D190" s="22"/>
    </row>
    <row r="191" spans="1:4" ht="12.75" customHeight="1">
      <c r="A191" s="22"/>
      <c r="B191" s="22"/>
      <c r="C191" s="22"/>
      <c r="D191" s="22"/>
    </row>
    <row r="192" spans="1:4" ht="12.75" customHeight="1">
      <c r="A192" s="22"/>
      <c r="B192" s="22"/>
      <c r="C192" s="22"/>
      <c r="D192" s="22"/>
    </row>
    <row r="193" spans="1:4" ht="12.75" customHeight="1">
      <c r="A193" s="22"/>
      <c r="B193" s="22"/>
      <c r="C193" s="22"/>
      <c r="D193" s="22"/>
    </row>
    <row r="194" spans="1:4" ht="12.75" customHeight="1">
      <c r="A194" s="22"/>
      <c r="B194" s="22"/>
      <c r="C194" s="22"/>
      <c r="D194" s="22"/>
    </row>
    <row r="195" spans="1:4" ht="12.75" customHeight="1">
      <c r="A195" s="22"/>
      <c r="B195" s="22"/>
      <c r="C195" s="22"/>
      <c r="D195" s="22"/>
    </row>
    <row r="196" spans="1:4" ht="12.75" customHeight="1">
      <c r="A196" s="22"/>
      <c r="B196" s="22"/>
      <c r="C196" s="22"/>
      <c r="D196" s="22"/>
    </row>
    <row r="197" spans="1:4" ht="12.75" customHeight="1">
      <c r="A197" s="22"/>
      <c r="B197" s="22"/>
      <c r="C197" s="22"/>
      <c r="D197" s="22"/>
    </row>
    <row r="198" spans="1:4" ht="12.75" customHeight="1">
      <c r="A198" s="22"/>
      <c r="B198" s="22"/>
      <c r="C198" s="22"/>
      <c r="D198" s="22"/>
    </row>
    <row r="199" spans="1:4" ht="12.75" customHeight="1">
      <c r="A199" s="22"/>
      <c r="B199" s="22"/>
      <c r="C199" s="22"/>
      <c r="D199" s="22"/>
    </row>
    <row r="200" spans="1:4" ht="12.75" customHeight="1">
      <c r="A200" s="22"/>
      <c r="B200" s="22"/>
      <c r="C200" s="22"/>
      <c r="D200" s="22"/>
    </row>
    <row r="201" spans="1:4" ht="12.75" customHeight="1">
      <c r="A201" s="22"/>
      <c r="B201" s="22"/>
      <c r="C201" s="22"/>
      <c r="D201" s="22"/>
    </row>
    <row r="202" spans="1:4" ht="12.75" customHeight="1">
      <c r="A202" s="22"/>
      <c r="B202" s="22"/>
      <c r="C202" s="22"/>
      <c r="D202" s="22"/>
    </row>
    <row r="203" spans="1:4" ht="12.75" customHeight="1">
      <c r="A203" s="22"/>
      <c r="B203" s="22"/>
      <c r="C203" s="22"/>
      <c r="D203" s="22"/>
    </row>
    <row r="204" spans="1:4" ht="12.75" customHeight="1">
      <c r="A204" s="22"/>
      <c r="B204" s="22"/>
      <c r="C204" s="22"/>
      <c r="D204" s="22"/>
    </row>
    <row r="205" spans="1:4" ht="12.75" customHeight="1">
      <c r="A205" s="22"/>
      <c r="B205" s="22"/>
      <c r="C205" s="22"/>
      <c r="D205" s="22"/>
    </row>
    <row r="206" spans="1:4" ht="12.75" customHeight="1">
      <c r="A206" s="22"/>
      <c r="B206" s="22"/>
      <c r="C206" s="22"/>
      <c r="D206" s="22"/>
    </row>
    <row r="207" spans="1:4" ht="12.75" customHeight="1">
      <c r="A207" s="22"/>
      <c r="B207" s="22"/>
      <c r="C207" s="22"/>
      <c r="D207" s="22"/>
    </row>
    <row r="208" spans="1:4" ht="12.75" customHeight="1">
      <c r="A208" s="22"/>
      <c r="B208" s="22"/>
      <c r="C208" s="22"/>
      <c r="D208" s="22"/>
    </row>
    <row r="209" spans="1:4" ht="12.75" customHeight="1">
      <c r="A209" s="22"/>
      <c r="B209" s="22"/>
      <c r="C209" s="22"/>
      <c r="D209" s="22"/>
    </row>
    <row r="210" spans="1:4" ht="12.75" customHeight="1">
      <c r="A210" s="22"/>
      <c r="B210" s="22"/>
      <c r="C210" s="22"/>
      <c r="D210" s="22"/>
    </row>
    <row r="211" spans="1:4" ht="12.75" customHeight="1">
      <c r="A211" s="22"/>
      <c r="B211" s="22"/>
      <c r="C211" s="22"/>
      <c r="D211" s="22"/>
    </row>
    <row r="212" spans="1:4" ht="12.75" customHeight="1">
      <c r="A212" s="22"/>
      <c r="B212" s="22"/>
      <c r="C212" s="22"/>
      <c r="D212" s="22"/>
    </row>
    <row r="213" spans="1:4" ht="12.75" customHeight="1">
      <c r="A213" s="22"/>
      <c r="B213" s="22"/>
      <c r="C213" s="22"/>
      <c r="D213" s="22"/>
    </row>
    <row r="214" spans="1:4" ht="12.75" customHeight="1">
      <c r="A214" s="22"/>
      <c r="B214" s="22"/>
      <c r="C214" s="22"/>
      <c r="D214" s="22"/>
    </row>
    <row r="215" spans="1:4" ht="12.75" customHeight="1">
      <c r="A215" s="22"/>
      <c r="B215" s="22"/>
      <c r="C215" s="22"/>
      <c r="D215" s="22"/>
    </row>
    <row r="216" spans="1:4" ht="12.75" customHeight="1">
      <c r="A216" s="22"/>
      <c r="B216" s="22"/>
      <c r="C216" s="22"/>
      <c r="D216" s="22"/>
    </row>
    <row r="217" spans="1:4" ht="12.75" customHeight="1">
      <c r="A217" s="22"/>
      <c r="B217" s="22"/>
      <c r="C217" s="22"/>
      <c r="D217" s="22"/>
    </row>
    <row r="218" spans="1:4" ht="12.75" customHeight="1">
      <c r="A218" s="22"/>
      <c r="B218" s="22"/>
      <c r="C218" s="22"/>
      <c r="D218" s="22"/>
    </row>
    <row r="219" spans="1:4" ht="12.75" customHeight="1">
      <c r="A219" s="22"/>
      <c r="B219" s="22"/>
      <c r="C219" s="22"/>
      <c r="D219" s="22"/>
    </row>
    <row r="220" spans="1:4" ht="12.75" customHeight="1">
      <c r="A220" s="22"/>
      <c r="B220" s="22"/>
      <c r="C220" s="22"/>
      <c r="D220" s="22"/>
    </row>
    <row r="221" spans="1:4" ht="12.75" customHeight="1">
      <c r="A221" s="22"/>
      <c r="B221" s="22"/>
      <c r="C221" s="22"/>
      <c r="D221" s="22"/>
    </row>
    <row r="222" spans="1:4" ht="12.75" customHeight="1">
      <c r="A222" s="22"/>
      <c r="B222" s="22"/>
      <c r="C222" s="22"/>
      <c r="D222" s="22"/>
    </row>
    <row r="223" spans="1:4" ht="12.75" customHeight="1">
      <c r="A223" s="22"/>
      <c r="B223" s="22"/>
      <c r="C223" s="22"/>
      <c r="D223" s="22"/>
    </row>
    <row r="224" spans="1:4" ht="12.75" customHeight="1">
      <c r="A224" s="22"/>
      <c r="B224" s="22"/>
      <c r="C224" s="22"/>
      <c r="D224" s="22"/>
    </row>
    <row r="225" spans="1:4" ht="12.75" customHeight="1">
      <c r="A225" s="22"/>
      <c r="B225" s="22"/>
      <c r="C225" s="22"/>
      <c r="D225" s="22"/>
    </row>
    <row r="226" spans="1:4" ht="12.75" customHeight="1">
      <c r="A226" s="22"/>
      <c r="B226" s="22"/>
      <c r="C226" s="22"/>
      <c r="D226" s="22"/>
    </row>
    <row r="227" spans="1:4" ht="12.75" customHeight="1">
      <c r="A227" s="22"/>
      <c r="B227" s="22"/>
      <c r="C227" s="22"/>
      <c r="D227" s="22"/>
    </row>
    <row r="228" spans="1:4" ht="12.75" customHeight="1">
      <c r="A228" s="22"/>
      <c r="B228" s="22"/>
      <c r="C228" s="22"/>
      <c r="D228" s="22"/>
    </row>
    <row r="229" spans="1:4" ht="12.75" customHeight="1">
      <c r="A229" s="22"/>
      <c r="B229" s="22"/>
      <c r="C229" s="22"/>
      <c r="D229" s="22"/>
    </row>
    <row r="230" spans="1:4" ht="12.75" customHeight="1">
      <c r="A230" s="22"/>
      <c r="B230" s="22"/>
      <c r="C230" s="22"/>
      <c r="D230" s="22"/>
    </row>
    <row r="231" spans="1:4" ht="12.75" customHeight="1">
      <c r="A231" s="22"/>
      <c r="B231" s="22"/>
      <c r="C231" s="22"/>
      <c r="D231" s="22"/>
    </row>
    <row r="232" spans="1:4" ht="12.75" customHeight="1">
      <c r="A232" s="22"/>
      <c r="B232" s="22"/>
      <c r="C232" s="22"/>
      <c r="D232" s="22"/>
    </row>
    <row r="233" spans="1:4" ht="12.75" customHeight="1">
      <c r="A233" s="22"/>
      <c r="B233" s="22"/>
      <c r="C233" s="22"/>
      <c r="D233" s="22"/>
    </row>
    <row r="234" spans="1:4" ht="12.75" customHeight="1">
      <c r="A234" s="22"/>
      <c r="B234" s="22"/>
      <c r="C234" s="22"/>
      <c r="D234" s="22"/>
    </row>
    <row r="235" spans="1:4" ht="12.75" customHeight="1">
      <c r="A235" s="22"/>
      <c r="B235" s="22"/>
      <c r="C235" s="22"/>
      <c r="D235" s="22"/>
    </row>
    <row r="236" spans="1:4" ht="12.75" customHeight="1">
      <c r="A236" s="22"/>
      <c r="B236" s="22"/>
      <c r="C236" s="22"/>
      <c r="D236" s="22"/>
    </row>
    <row r="237" spans="1:4" ht="12.75" customHeight="1">
      <c r="A237" s="22"/>
      <c r="B237" s="22"/>
      <c r="C237" s="22"/>
      <c r="D237" s="22"/>
    </row>
    <row r="238" spans="1:4" ht="12.75" customHeight="1">
      <c r="A238" s="22"/>
      <c r="B238" s="22"/>
      <c r="C238" s="22"/>
      <c r="D238" s="22"/>
    </row>
    <row r="239" spans="1:4" ht="12.75" customHeight="1">
      <c r="A239" s="22"/>
      <c r="B239" s="22"/>
      <c r="C239" s="22"/>
      <c r="D239" s="22"/>
    </row>
    <row r="240" spans="1:4" ht="12.75" customHeight="1">
      <c r="A240" s="22"/>
      <c r="B240" s="22"/>
      <c r="C240" s="22"/>
      <c r="D240" s="22"/>
    </row>
    <row r="241" spans="1:4" ht="12.75" customHeight="1">
      <c r="A241" s="22"/>
      <c r="B241" s="22"/>
      <c r="C241" s="22"/>
      <c r="D241" s="22"/>
    </row>
    <row r="242" spans="1:4" ht="12.75" customHeight="1">
      <c r="A242" s="22"/>
      <c r="B242" s="22"/>
      <c r="C242" s="22"/>
      <c r="D242" s="22"/>
    </row>
    <row r="243" spans="1:4" ht="12.75" customHeight="1">
      <c r="A243" s="22"/>
      <c r="B243" s="22"/>
      <c r="C243" s="22"/>
      <c r="D243" s="22"/>
    </row>
    <row r="244" spans="1:4" ht="12.75" customHeight="1">
      <c r="A244" s="22"/>
      <c r="B244" s="22"/>
      <c r="C244" s="22"/>
      <c r="D244" s="22"/>
    </row>
    <row r="245" spans="1:4" ht="12.75" customHeight="1">
      <c r="A245" s="22"/>
      <c r="B245" s="22"/>
      <c r="C245" s="22"/>
      <c r="D245" s="22"/>
    </row>
    <row r="246" spans="1:4" ht="12.75" customHeight="1">
      <c r="A246" s="22"/>
      <c r="B246" s="22"/>
      <c r="C246" s="22"/>
      <c r="D246" s="22"/>
    </row>
    <row r="247" spans="1:4" ht="12.75" customHeight="1">
      <c r="A247" s="22"/>
      <c r="B247" s="22"/>
      <c r="C247" s="22"/>
      <c r="D247" s="22"/>
    </row>
    <row r="248" spans="1:4" ht="12.75" customHeight="1">
      <c r="A248" s="22"/>
      <c r="B248" s="22"/>
      <c r="C248" s="22"/>
      <c r="D248" s="22"/>
    </row>
    <row r="249" spans="1:4" ht="12.75" customHeight="1">
      <c r="A249" s="22"/>
      <c r="B249" s="22"/>
      <c r="C249" s="22"/>
      <c r="D249" s="22"/>
    </row>
    <row r="250" spans="1:4" ht="12.75" customHeight="1">
      <c r="A250" s="22"/>
      <c r="B250" s="22"/>
      <c r="C250" s="22"/>
      <c r="D250" s="22"/>
    </row>
    <row r="251" spans="1:4" ht="12.75" customHeight="1">
      <c r="A251" s="22"/>
      <c r="B251" s="22"/>
      <c r="C251" s="22"/>
      <c r="D251" s="22"/>
    </row>
    <row r="252" spans="1:4" ht="12.75" customHeight="1">
      <c r="A252" s="22"/>
      <c r="B252" s="22"/>
      <c r="C252" s="22"/>
      <c r="D252" s="22"/>
    </row>
    <row r="253" spans="1:4" ht="12.75" customHeight="1">
      <c r="A253" s="22"/>
      <c r="B253" s="22"/>
      <c r="C253" s="22"/>
      <c r="D253" s="22"/>
    </row>
    <row r="254" spans="1:4" ht="12.75" customHeight="1">
      <c r="A254" s="22"/>
      <c r="B254" s="22"/>
      <c r="C254" s="22"/>
      <c r="D254" s="22"/>
    </row>
    <row r="255" spans="1:4" ht="12.75" customHeight="1">
      <c r="A255" s="22"/>
      <c r="B255" s="22"/>
      <c r="C255" s="22"/>
      <c r="D255" s="22"/>
    </row>
    <row r="256" spans="1:4" ht="12.75" customHeight="1">
      <c r="A256" s="22"/>
      <c r="B256" s="22"/>
      <c r="C256" s="22"/>
      <c r="D256" s="22"/>
    </row>
    <row r="257" spans="1:4" ht="12.75" customHeight="1">
      <c r="A257" s="22"/>
      <c r="B257" s="22"/>
      <c r="C257" s="22"/>
      <c r="D257" s="22"/>
    </row>
    <row r="258" spans="1:4" ht="12.75" customHeight="1">
      <c r="A258" s="22"/>
      <c r="B258" s="22"/>
      <c r="C258" s="22"/>
      <c r="D258" s="22"/>
    </row>
    <row r="259" spans="1:4" ht="12.75" customHeight="1">
      <c r="A259" s="22"/>
      <c r="B259" s="22"/>
      <c r="C259" s="22"/>
      <c r="D259" s="22"/>
    </row>
    <row r="260" spans="1:4" ht="12.75" customHeight="1">
      <c r="A260" s="22"/>
      <c r="B260" s="22"/>
      <c r="C260" s="22"/>
      <c r="D260" s="22"/>
    </row>
    <row r="261" spans="1:4" ht="12.75" customHeight="1">
      <c r="A261" s="22"/>
      <c r="B261" s="22"/>
      <c r="C261" s="22"/>
      <c r="D261" s="22"/>
    </row>
    <row r="262" spans="1:4" ht="12.75" customHeight="1">
      <c r="A262" s="22"/>
      <c r="B262" s="22"/>
      <c r="C262" s="22"/>
      <c r="D262" s="22"/>
    </row>
    <row r="263" spans="1:4" ht="12.75" customHeight="1">
      <c r="A263" s="22"/>
      <c r="B263" s="22"/>
      <c r="C263" s="22"/>
      <c r="D263" s="22"/>
    </row>
    <row r="264" spans="1:4" ht="12.75" customHeight="1">
      <c r="A264" s="22"/>
      <c r="B264" s="22"/>
      <c r="C264" s="22"/>
      <c r="D264" s="22"/>
    </row>
    <row r="265" spans="1:4" ht="12.75" customHeight="1">
      <c r="A265" s="22"/>
      <c r="B265" s="22"/>
      <c r="C265" s="22"/>
      <c r="D265" s="22"/>
    </row>
    <row r="266" spans="1:4" ht="12.75" customHeight="1">
      <c r="A266" s="22"/>
      <c r="B266" s="22"/>
      <c r="C266" s="22"/>
      <c r="D266" s="22"/>
    </row>
    <row r="267" spans="1:4" ht="12.75" customHeight="1">
      <c r="A267" s="22"/>
      <c r="B267" s="22"/>
      <c r="C267" s="22"/>
      <c r="D267" s="22"/>
    </row>
    <row r="268" spans="1:4" ht="12.75" customHeight="1">
      <c r="A268" s="22"/>
      <c r="B268" s="22"/>
      <c r="C268" s="22"/>
      <c r="D268" s="22"/>
    </row>
    <row r="269" spans="1:4" ht="12.75" customHeight="1">
      <c r="A269" s="22"/>
      <c r="B269" s="22"/>
      <c r="C269" s="22"/>
      <c r="D269" s="22"/>
    </row>
    <row r="270" spans="1:4" ht="12.75" customHeight="1">
      <c r="A270" s="22"/>
      <c r="B270" s="22"/>
      <c r="C270" s="22"/>
      <c r="D270" s="22"/>
    </row>
    <row r="271" spans="1:4" ht="12.75" customHeight="1">
      <c r="A271" s="22"/>
      <c r="B271" s="22"/>
      <c r="C271" s="22"/>
      <c r="D271" s="22"/>
    </row>
    <row r="272" spans="1:4" ht="12.75" customHeight="1">
      <c r="A272" s="22"/>
      <c r="B272" s="22"/>
      <c r="C272" s="22"/>
      <c r="D272" s="22"/>
    </row>
    <row r="273" spans="1:4" ht="12.75" customHeight="1">
      <c r="A273" s="22"/>
      <c r="B273" s="22"/>
      <c r="C273" s="22"/>
      <c r="D273" s="22"/>
    </row>
    <row r="274" spans="1:4" ht="12.75" customHeight="1">
      <c r="A274" s="22"/>
      <c r="B274" s="22"/>
      <c r="C274" s="22"/>
      <c r="D274" s="22"/>
    </row>
    <row r="275" spans="1:4" ht="12.75" customHeight="1">
      <c r="A275" s="22"/>
      <c r="B275" s="22"/>
      <c r="C275" s="22"/>
      <c r="D275" s="22"/>
    </row>
    <row r="276" spans="1:4" ht="12.75" customHeight="1">
      <c r="A276" s="22"/>
      <c r="B276" s="22"/>
      <c r="C276" s="22"/>
      <c r="D276" s="22"/>
    </row>
    <row r="277" spans="1:4" ht="12.75" customHeight="1">
      <c r="A277" s="22"/>
      <c r="B277" s="22"/>
      <c r="C277" s="22"/>
      <c r="D277" s="22"/>
    </row>
    <row r="278" spans="1:4" ht="12.75" customHeight="1">
      <c r="A278" s="22"/>
      <c r="B278" s="22"/>
      <c r="C278" s="22"/>
      <c r="D278" s="22"/>
    </row>
    <row r="279" spans="1:4" ht="12.75" customHeight="1">
      <c r="A279" s="22"/>
      <c r="B279" s="22"/>
      <c r="C279" s="22"/>
      <c r="D279" s="22"/>
    </row>
    <row r="280" spans="1:4" ht="12.75" customHeight="1">
      <c r="A280" s="22"/>
      <c r="B280" s="22"/>
      <c r="C280" s="22"/>
      <c r="D280" s="22"/>
    </row>
    <row r="281" spans="1:4" ht="12.75" customHeight="1">
      <c r="A281" s="22"/>
      <c r="B281" s="22"/>
      <c r="C281" s="22"/>
      <c r="D281" s="22"/>
    </row>
    <row r="282" spans="1:4" ht="12.75" customHeight="1">
      <c r="A282" s="22"/>
      <c r="B282" s="22"/>
      <c r="C282" s="22"/>
      <c r="D282" s="22"/>
    </row>
    <row r="283" spans="1:4" ht="12.75" customHeight="1">
      <c r="A283" s="22"/>
      <c r="B283" s="22"/>
      <c r="C283" s="22"/>
      <c r="D283" s="22"/>
    </row>
    <row r="284" spans="1:4" ht="12.75" customHeight="1">
      <c r="A284" s="22"/>
      <c r="B284" s="22"/>
      <c r="C284" s="22"/>
      <c r="D284" s="22"/>
    </row>
    <row r="285" spans="1:4" ht="12.75" customHeight="1">
      <c r="A285" s="22"/>
      <c r="B285" s="22"/>
      <c r="C285" s="22"/>
      <c r="D285" s="22"/>
    </row>
    <row r="286" spans="1:4" ht="12.75" customHeight="1">
      <c r="A286" s="22"/>
      <c r="B286" s="22"/>
      <c r="C286" s="22"/>
      <c r="D286" s="22"/>
    </row>
    <row r="287" spans="1:4" ht="12.75" customHeight="1">
      <c r="A287" s="22"/>
      <c r="B287" s="22"/>
      <c r="C287" s="22"/>
      <c r="D287" s="22"/>
    </row>
    <row r="288" spans="1:4" ht="12.75" customHeight="1">
      <c r="A288" s="22"/>
      <c r="B288" s="22"/>
      <c r="C288" s="22"/>
      <c r="D288" s="22"/>
    </row>
    <row r="289" spans="1:4" ht="12.75" customHeight="1">
      <c r="A289" s="22"/>
      <c r="B289" s="22"/>
      <c r="C289" s="22"/>
      <c r="D289" s="22"/>
    </row>
    <row r="290" spans="1:4" ht="12.75" customHeight="1">
      <c r="A290" s="22"/>
      <c r="B290" s="22"/>
      <c r="C290" s="22"/>
      <c r="D290" s="22"/>
    </row>
    <row r="291" spans="1:4" ht="12.75" customHeight="1">
      <c r="A291" s="22"/>
      <c r="B291" s="22"/>
      <c r="C291" s="22"/>
      <c r="D291" s="22"/>
    </row>
    <row r="292" spans="1:4" ht="12.75" customHeight="1">
      <c r="A292" s="22"/>
      <c r="B292" s="22"/>
      <c r="C292" s="22"/>
      <c r="D292" s="22"/>
    </row>
    <row r="293" spans="1:4" ht="12.75" customHeight="1">
      <c r="A293" s="22"/>
      <c r="B293" s="22"/>
      <c r="C293" s="22"/>
      <c r="D293" s="22"/>
    </row>
    <row r="294" spans="1:4" ht="12.75" customHeight="1">
      <c r="A294" s="22"/>
      <c r="B294" s="22"/>
      <c r="C294" s="22"/>
      <c r="D294" s="22"/>
    </row>
    <row r="295" spans="1:4" ht="12.75" customHeight="1">
      <c r="A295" s="22"/>
      <c r="B295" s="22"/>
      <c r="C295" s="22"/>
      <c r="D295" s="22"/>
    </row>
    <row r="296" spans="1:4" ht="12.75" customHeight="1">
      <c r="A296" s="22"/>
      <c r="B296" s="22"/>
      <c r="C296" s="22"/>
      <c r="D296" s="22"/>
    </row>
    <row r="297" spans="1:4" ht="12.75" customHeight="1">
      <c r="A297" s="22"/>
      <c r="B297" s="22"/>
      <c r="C297" s="22"/>
      <c r="D297" s="22"/>
    </row>
    <row r="298" spans="1:4" ht="12.75" customHeight="1">
      <c r="A298" s="22"/>
      <c r="B298" s="22"/>
      <c r="C298" s="22"/>
      <c r="D298" s="22"/>
    </row>
    <row r="299" spans="1:4" ht="12.75" customHeight="1">
      <c r="A299" s="22"/>
      <c r="B299" s="22"/>
      <c r="C299" s="22"/>
      <c r="D299" s="22"/>
    </row>
    <row r="300" spans="1:4" ht="12.75" customHeight="1">
      <c r="A300" s="22"/>
      <c r="B300" s="22"/>
      <c r="C300" s="22"/>
      <c r="D300" s="22"/>
    </row>
    <row r="301" spans="1:4" ht="12.75" customHeight="1">
      <c r="A301" s="22"/>
      <c r="B301" s="22"/>
      <c r="C301" s="22"/>
      <c r="D301" s="22"/>
    </row>
    <row r="302" spans="1:4" ht="12.75" customHeight="1">
      <c r="A302" s="22"/>
      <c r="B302" s="22"/>
      <c r="C302" s="22"/>
      <c r="D302" s="22"/>
    </row>
    <row r="303" spans="1:4" ht="12.75" customHeight="1">
      <c r="A303" s="22"/>
      <c r="B303" s="22"/>
      <c r="C303" s="22"/>
      <c r="D303" s="22"/>
    </row>
    <row r="304" spans="1:4" ht="12.75" customHeight="1">
      <c r="A304" s="22"/>
      <c r="B304" s="22"/>
      <c r="C304" s="22"/>
      <c r="D304" s="22"/>
    </row>
    <row r="305" spans="1:4" ht="12.75" customHeight="1">
      <c r="A305" s="22"/>
      <c r="B305" s="22"/>
      <c r="C305" s="22"/>
      <c r="D305" s="22"/>
    </row>
    <row r="306" spans="1:4" ht="12.75" customHeight="1">
      <c r="A306" s="22"/>
      <c r="B306" s="22"/>
      <c r="C306" s="22"/>
      <c r="D306" s="22"/>
    </row>
    <row r="307" spans="1:4" ht="12.75" customHeight="1">
      <c r="A307" s="22"/>
      <c r="B307" s="22"/>
      <c r="C307" s="22"/>
      <c r="D307" s="22"/>
    </row>
    <row r="308" spans="1:4" ht="12.75" customHeight="1">
      <c r="A308" s="22"/>
      <c r="B308" s="22"/>
      <c r="C308" s="22"/>
      <c r="D308" s="22"/>
    </row>
    <row r="309" spans="1:4" ht="12.75" customHeight="1">
      <c r="A309" s="22"/>
      <c r="B309" s="22"/>
      <c r="C309" s="22"/>
      <c r="D309" s="22"/>
    </row>
    <row r="310" spans="1:4" ht="12.75" customHeight="1">
      <c r="A310" s="22"/>
      <c r="B310" s="22"/>
      <c r="C310" s="22"/>
      <c r="D310" s="22"/>
    </row>
    <row r="311" spans="1:4" ht="12.75" customHeight="1">
      <c r="A311" s="22"/>
      <c r="B311" s="22"/>
      <c r="C311" s="22"/>
      <c r="D311" s="22"/>
    </row>
    <row r="312" spans="1:4" ht="12.75" customHeight="1">
      <c r="A312" s="22"/>
      <c r="B312" s="22"/>
      <c r="C312" s="22"/>
      <c r="D312" s="22"/>
    </row>
    <row r="313" spans="1:4" ht="12.75" customHeight="1">
      <c r="A313" s="22"/>
      <c r="B313" s="22"/>
      <c r="C313" s="22"/>
      <c r="D313" s="22"/>
    </row>
    <row r="314" spans="1:4" ht="12.75" customHeight="1">
      <c r="A314" s="22"/>
      <c r="B314" s="22"/>
      <c r="C314" s="22"/>
      <c r="D314" s="22"/>
    </row>
    <row r="315" spans="1:4" ht="12.75" customHeight="1">
      <c r="A315" s="22"/>
      <c r="B315" s="22"/>
      <c r="C315" s="22"/>
      <c r="D315" s="22"/>
    </row>
    <row r="316" spans="1:4" ht="12.75" customHeight="1">
      <c r="A316" s="22"/>
      <c r="B316" s="22"/>
      <c r="C316" s="22"/>
      <c r="D316" s="22"/>
    </row>
    <row r="317" spans="1:4" ht="12.75" customHeight="1">
      <c r="A317" s="22"/>
      <c r="B317" s="22"/>
      <c r="C317" s="22"/>
      <c r="D317" s="22"/>
    </row>
    <row r="318" spans="1:4" ht="12.75" customHeight="1">
      <c r="A318" s="22"/>
      <c r="B318" s="22"/>
      <c r="C318" s="22"/>
      <c r="D318" s="22"/>
    </row>
    <row r="319" spans="1:4" ht="12.75" customHeight="1">
      <c r="A319" s="22"/>
      <c r="B319" s="22"/>
      <c r="C319" s="22"/>
      <c r="D319" s="22"/>
    </row>
    <row r="320" spans="1:4" ht="12.75" customHeight="1">
      <c r="A320" s="22"/>
      <c r="B320" s="22"/>
      <c r="C320" s="22"/>
      <c r="D320" s="22"/>
    </row>
    <row r="321" spans="1:4" ht="12.75" customHeight="1">
      <c r="A321" s="22"/>
      <c r="B321" s="22"/>
      <c r="C321" s="22"/>
      <c r="D321" s="22"/>
    </row>
    <row r="322" spans="1:4" ht="12.75" customHeight="1">
      <c r="A322" s="22"/>
      <c r="B322" s="22"/>
      <c r="C322" s="22"/>
      <c r="D322" s="22"/>
    </row>
    <row r="323" spans="1:4" ht="12.75" customHeight="1">
      <c r="A323" s="22"/>
      <c r="B323" s="22"/>
      <c r="C323" s="22"/>
      <c r="D323" s="22"/>
    </row>
    <row r="324" spans="1:4" ht="12.75" customHeight="1">
      <c r="A324" s="22"/>
      <c r="B324" s="22"/>
      <c r="C324" s="22"/>
      <c r="D324" s="22"/>
    </row>
    <row r="325" spans="1:4" ht="12.75" customHeight="1">
      <c r="A325" s="22"/>
      <c r="B325" s="22"/>
      <c r="C325" s="22"/>
      <c r="D325" s="22"/>
    </row>
    <row r="326" spans="1:4" ht="12.75" customHeight="1">
      <c r="A326" s="22"/>
      <c r="B326" s="22"/>
      <c r="C326" s="22"/>
      <c r="D326" s="22"/>
    </row>
    <row r="327" spans="1:4" ht="12.75" customHeight="1">
      <c r="A327" s="22"/>
      <c r="B327" s="22"/>
      <c r="C327" s="22"/>
      <c r="D327" s="22"/>
    </row>
    <row r="328" spans="1:4" ht="12.75" customHeight="1">
      <c r="A328" s="22"/>
      <c r="B328" s="22"/>
      <c r="C328" s="22"/>
      <c r="D328" s="22"/>
    </row>
    <row r="329" spans="1:4" ht="12.75" customHeight="1">
      <c r="A329" s="22"/>
      <c r="B329" s="22"/>
      <c r="C329" s="22"/>
      <c r="D329" s="22"/>
    </row>
    <row r="330" spans="1:4" ht="12.75" customHeight="1">
      <c r="A330" s="22"/>
      <c r="B330" s="22"/>
      <c r="C330" s="22"/>
      <c r="D330" s="22"/>
    </row>
    <row r="331" spans="1:4" ht="12.75" customHeight="1">
      <c r="A331" s="22"/>
      <c r="B331" s="22"/>
      <c r="C331" s="22"/>
      <c r="D331" s="22"/>
    </row>
    <row r="332" spans="1:4" ht="12.75" customHeight="1">
      <c r="A332" s="22"/>
      <c r="B332" s="22"/>
      <c r="C332" s="22"/>
      <c r="D332" s="22"/>
    </row>
    <row r="333" spans="1:4" ht="12.75" customHeight="1">
      <c r="A333" s="22"/>
      <c r="B333" s="22"/>
      <c r="C333" s="22"/>
      <c r="D333" s="22"/>
    </row>
    <row r="334" spans="1:4" ht="12.75" customHeight="1">
      <c r="A334" s="22"/>
      <c r="B334" s="22"/>
      <c r="C334" s="22"/>
      <c r="D334" s="22"/>
    </row>
    <row r="335" spans="1:4" ht="12.75" customHeight="1">
      <c r="A335" s="22"/>
      <c r="B335" s="22"/>
      <c r="C335" s="22"/>
      <c r="D335" s="22"/>
    </row>
    <row r="336" spans="1:4" ht="12.75" customHeight="1">
      <c r="A336" s="22"/>
      <c r="B336" s="22"/>
      <c r="C336" s="22"/>
      <c r="D336" s="22"/>
    </row>
    <row r="337" spans="1:4" ht="12.75" customHeight="1">
      <c r="A337" s="22"/>
      <c r="B337" s="22"/>
      <c r="C337" s="22"/>
      <c r="D337" s="22"/>
    </row>
    <row r="338" spans="1:4" ht="12.75" customHeight="1">
      <c r="A338" s="22"/>
      <c r="B338" s="22"/>
      <c r="C338" s="22"/>
      <c r="D338" s="22"/>
    </row>
    <row r="339" spans="1:4" ht="12.75" customHeight="1">
      <c r="A339" s="22"/>
      <c r="B339" s="22"/>
      <c r="C339" s="22"/>
      <c r="D339" s="22"/>
    </row>
    <row r="340" spans="1:4" ht="12.75" customHeight="1">
      <c r="A340" s="22"/>
      <c r="B340" s="22"/>
      <c r="C340" s="22"/>
      <c r="D340" s="22"/>
    </row>
    <row r="341" spans="1:4" ht="12.75" customHeight="1">
      <c r="A341" s="22"/>
      <c r="B341" s="22"/>
      <c r="C341" s="22"/>
      <c r="D341" s="22"/>
    </row>
    <row r="342" spans="1:4" ht="12.75" customHeight="1">
      <c r="A342" s="22"/>
      <c r="B342" s="22"/>
      <c r="C342" s="22"/>
      <c r="D342" s="22"/>
    </row>
    <row r="343" spans="1:4" ht="12.75" customHeight="1">
      <c r="A343" s="22"/>
      <c r="B343" s="22"/>
      <c r="C343" s="22"/>
      <c r="D343" s="22"/>
    </row>
    <row r="344" spans="1:4" ht="12.75" customHeight="1">
      <c r="A344" s="22"/>
      <c r="B344" s="22"/>
      <c r="C344" s="22"/>
      <c r="D344" s="22"/>
    </row>
    <row r="345" spans="1:4" ht="12.75" customHeight="1">
      <c r="A345" s="22"/>
      <c r="B345" s="22"/>
      <c r="C345" s="22"/>
      <c r="D345" s="22"/>
    </row>
    <row r="346" spans="1:4" ht="12.75" customHeight="1">
      <c r="A346" s="22"/>
      <c r="B346" s="22"/>
      <c r="C346" s="22"/>
      <c r="D346" s="22"/>
    </row>
    <row r="347" spans="1:4" ht="12.75" customHeight="1">
      <c r="A347" s="22"/>
      <c r="B347" s="22"/>
      <c r="C347" s="22"/>
      <c r="D347" s="22"/>
    </row>
    <row r="348" spans="1:4" ht="12.75" customHeight="1">
      <c r="A348" s="22"/>
      <c r="B348" s="22"/>
      <c r="C348" s="22"/>
      <c r="D348" s="22"/>
    </row>
    <row r="349" spans="1:4" ht="12.75" customHeight="1">
      <c r="A349" s="22"/>
      <c r="B349" s="22"/>
      <c r="C349" s="22"/>
      <c r="D349" s="22"/>
    </row>
    <row r="350" spans="1:4" ht="12.75" customHeight="1">
      <c r="A350" s="22"/>
      <c r="B350" s="22"/>
      <c r="C350" s="22"/>
      <c r="D350" s="22"/>
    </row>
    <row r="351" spans="1:4" ht="12.75" customHeight="1">
      <c r="A351" s="22"/>
      <c r="B351" s="22"/>
      <c r="C351" s="22"/>
      <c r="D351" s="22"/>
    </row>
    <row r="352" spans="1:4" ht="12.75" customHeight="1">
      <c r="A352" s="22"/>
      <c r="B352" s="22"/>
      <c r="C352" s="22"/>
      <c r="D352" s="22"/>
    </row>
    <row r="353" spans="1:4" ht="12.75" customHeight="1">
      <c r="A353" s="22"/>
      <c r="B353" s="22"/>
      <c r="C353" s="22"/>
      <c r="D353" s="22"/>
    </row>
    <row r="354" spans="1:4" ht="12.75" customHeight="1">
      <c r="A354" s="22"/>
      <c r="B354" s="22"/>
      <c r="C354" s="22"/>
      <c r="D354" s="22"/>
    </row>
    <row r="355" spans="1:4" ht="12.75" customHeight="1">
      <c r="A355" s="22"/>
      <c r="B355" s="22"/>
      <c r="C355" s="22"/>
      <c r="D355" s="22"/>
    </row>
    <row r="356" spans="1:4" ht="12.75" customHeight="1">
      <c r="A356" s="22"/>
      <c r="B356" s="22"/>
      <c r="C356" s="22"/>
      <c r="D356" s="22"/>
    </row>
    <row r="357" spans="1:4" ht="12.75" customHeight="1">
      <c r="A357" s="22"/>
      <c r="B357" s="22"/>
      <c r="C357" s="22"/>
      <c r="D357" s="22"/>
    </row>
    <row r="358" spans="1:4" ht="12.75" customHeight="1">
      <c r="A358" s="22"/>
      <c r="B358" s="22"/>
      <c r="C358" s="22"/>
      <c r="D358" s="22"/>
    </row>
    <row r="359" spans="1:4" ht="12.75" customHeight="1">
      <c r="A359" s="22"/>
      <c r="B359" s="22"/>
      <c r="C359" s="22"/>
      <c r="D359" s="22"/>
    </row>
    <row r="360" spans="1:4" ht="12.75" customHeight="1">
      <c r="A360" s="22"/>
      <c r="B360" s="22"/>
      <c r="C360" s="22"/>
      <c r="D360" s="22"/>
    </row>
    <row r="361" spans="1:4" ht="12.75" customHeight="1">
      <c r="A361" s="22"/>
      <c r="B361" s="22"/>
      <c r="C361" s="22"/>
      <c r="D361" s="22"/>
    </row>
    <row r="362" spans="1:4" ht="12.75" customHeight="1">
      <c r="A362" s="22"/>
      <c r="B362" s="22"/>
      <c r="C362" s="22"/>
      <c r="D362" s="22"/>
    </row>
    <row r="363" spans="1:4" ht="12.75" customHeight="1">
      <c r="A363" s="22"/>
      <c r="B363" s="22"/>
      <c r="C363" s="22"/>
      <c r="D363" s="22"/>
    </row>
    <row r="364" spans="1:4" ht="12.75" customHeight="1">
      <c r="A364" s="22"/>
      <c r="B364" s="22"/>
      <c r="C364" s="22"/>
      <c r="D364" s="22"/>
    </row>
    <row r="365" spans="1:4" ht="12.75" customHeight="1">
      <c r="A365" s="22"/>
      <c r="B365" s="22"/>
      <c r="C365" s="22"/>
      <c r="D365" s="22"/>
    </row>
    <row r="366" spans="1:4" ht="12.75" customHeight="1">
      <c r="A366" s="22"/>
      <c r="B366" s="22"/>
      <c r="C366" s="22"/>
      <c r="D366" s="22"/>
    </row>
    <row r="367" spans="1:4" ht="12.75" customHeight="1">
      <c r="A367" s="22"/>
      <c r="B367" s="22"/>
      <c r="C367" s="22"/>
      <c r="D367" s="22"/>
    </row>
    <row r="368" spans="1:4" ht="12.75" customHeight="1">
      <c r="A368" s="22"/>
      <c r="B368" s="22"/>
      <c r="C368" s="22"/>
      <c r="D368" s="22"/>
    </row>
    <row r="369" spans="1:4" ht="12.75" customHeight="1">
      <c r="A369" s="22"/>
      <c r="B369" s="22"/>
      <c r="C369" s="22"/>
      <c r="D369" s="22"/>
    </row>
    <row r="370" spans="1:4" ht="12.75" customHeight="1">
      <c r="A370" s="22"/>
      <c r="B370" s="22"/>
      <c r="C370" s="22"/>
      <c r="D370" s="22"/>
    </row>
    <row r="371" spans="1:4" ht="12.75" customHeight="1">
      <c r="A371" s="22"/>
      <c r="B371" s="22"/>
      <c r="C371" s="22"/>
      <c r="D371" s="22"/>
    </row>
    <row r="372" spans="1:4" ht="12.75" customHeight="1">
      <c r="A372" s="22"/>
      <c r="B372" s="22"/>
      <c r="C372" s="22"/>
      <c r="D372" s="22"/>
    </row>
    <row r="373" spans="1:4" ht="12.75" customHeight="1">
      <c r="A373" s="22"/>
      <c r="B373" s="22"/>
      <c r="C373" s="22"/>
      <c r="D373" s="22"/>
    </row>
    <row r="374" spans="1:4" ht="12.75" customHeight="1">
      <c r="A374" s="22"/>
      <c r="B374" s="22"/>
      <c r="C374" s="22"/>
      <c r="D374" s="22"/>
    </row>
    <row r="375" spans="1:4" ht="12.75" customHeight="1">
      <c r="A375" s="22"/>
      <c r="B375" s="22"/>
      <c r="C375" s="22"/>
      <c r="D375" s="22"/>
    </row>
    <row r="376" spans="1:4" ht="12.75" customHeight="1">
      <c r="A376" s="22"/>
      <c r="B376" s="22"/>
      <c r="C376" s="22"/>
      <c r="D376" s="22"/>
    </row>
    <row r="377" spans="1:4" ht="12.75" customHeight="1">
      <c r="A377" s="22"/>
      <c r="B377" s="22"/>
      <c r="C377" s="22"/>
      <c r="D377" s="22"/>
    </row>
    <row r="378" spans="1:4" ht="12.75" customHeight="1">
      <c r="A378" s="22"/>
      <c r="B378" s="22"/>
      <c r="C378" s="22"/>
      <c r="D378" s="22"/>
    </row>
    <row r="379" spans="1:4" ht="12.75" customHeight="1">
      <c r="A379" s="22"/>
      <c r="B379" s="22"/>
      <c r="C379" s="22"/>
      <c r="D379" s="22"/>
    </row>
    <row r="380" spans="1:4" ht="12.75" customHeight="1">
      <c r="A380" s="22"/>
      <c r="B380" s="22"/>
      <c r="C380" s="22"/>
      <c r="D380" s="22"/>
    </row>
    <row r="381" spans="1:4" ht="12.75" customHeight="1">
      <c r="A381" s="22"/>
      <c r="B381" s="22"/>
      <c r="C381" s="22"/>
      <c r="D381" s="22"/>
    </row>
    <row r="382" spans="1:4" ht="12.75" customHeight="1">
      <c r="A382" s="22"/>
      <c r="B382" s="22"/>
      <c r="C382" s="22"/>
      <c r="D382" s="22"/>
    </row>
    <row r="383" spans="1:4" ht="12.75" customHeight="1">
      <c r="A383" s="22"/>
      <c r="B383" s="22"/>
      <c r="C383" s="22"/>
      <c r="D383" s="22"/>
    </row>
    <row r="384" spans="1:4" ht="12.75" customHeight="1">
      <c r="A384" s="22"/>
      <c r="B384" s="22"/>
      <c r="C384" s="22"/>
      <c r="D384" s="22"/>
    </row>
    <row r="385" spans="1:4" ht="12.75" customHeight="1">
      <c r="A385" s="22"/>
      <c r="B385" s="22"/>
      <c r="C385" s="22"/>
      <c r="D385" s="22"/>
    </row>
    <row r="386" spans="1:4" ht="12.75" customHeight="1">
      <c r="A386" s="22"/>
      <c r="B386" s="22"/>
      <c r="C386" s="22"/>
      <c r="D386" s="22"/>
    </row>
    <row r="387" spans="1:4" ht="12.75" customHeight="1">
      <c r="A387" s="22"/>
      <c r="B387" s="22"/>
      <c r="C387" s="22"/>
      <c r="D387" s="22"/>
    </row>
    <row r="388" spans="1:4" ht="12.75" customHeight="1">
      <c r="A388" s="22"/>
      <c r="B388" s="22"/>
      <c r="C388" s="22"/>
      <c r="D388" s="22"/>
    </row>
    <row r="389" spans="1:4" ht="12.75" customHeight="1">
      <c r="A389" s="22"/>
      <c r="B389" s="22"/>
      <c r="C389" s="22"/>
      <c r="D389" s="22"/>
    </row>
    <row r="390" spans="1:4" ht="12.75" customHeight="1">
      <c r="A390" s="22"/>
      <c r="B390" s="22"/>
      <c r="C390" s="22"/>
      <c r="D390" s="22"/>
    </row>
    <row r="391" spans="1:4" ht="12.75" customHeight="1">
      <c r="A391" s="22"/>
      <c r="B391" s="22"/>
      <c r="C391" s="22"/>
      <c r="D391" s="22"/>
    </row>
    <row r="392" spans="1:4" ht="12.75" customHeight="1">
      <c r="A392" s="22"/>
      <c r="B392" s="22"/>
      <c r="C392" s="22"/>
      <c r="D392" s="22"/>
    </row>
    <row r="393" spans="1:4" ht="12.75" customHeight="1">
      <c r="A393" s="22"/>
      <c r="B393" s="22"/>
      <c r="C393" s="22"/>
      <c r="D393" s="22"/>
    </row>
    <row r="394" spans="1:4" ht="12.75" customHeight="1">
      <c r="A394" s="22"/>
      <c r="B394" s="22"/>
      <c r="C394" s="22"/>
      <c r="D394" s="22"/>
    </row>
    <row r="395" spans="1:4" ht="12.75" customHeight="1">
      <c r="A395" s="22"/>
      <c r="B395" s="22"/>
      <c r="C395" s="22"/>
      <c r="D395" s="22"/>
    </row>
    <row r="396" spans="1:4" ht="12.75" customHeight="1">
      <c r="A396" s="22"/>
      <c r="B396" s="22"/>
      <c r="C396" s="22"/>
      <c r="D396" s="22"/>
    </row>
    <row r="397" spans="1:4" ht="12.75" customHeight="1">
      <c r="A397" s="22"/>
      <c r="B397" s="22"/>
      <c r="C397" s="22"/>
      <c r="D397" s="22"/>
    </row>
    <row r="398" spans="1:4" ht="12.75" customHeight="1">
      <c r="A398" s="22"/>
      <c r="B398" s="22"/>
      <c r="C398" s="22"/>
      <c r="D398" s="22"/>
    </row>
    <row r="399" spans="1:4" ht="12.75" customHeight="1">
      <c r="A399" s="22"/>
      <c r="B399" s="22"/>
      <c r="C399" s="22"/>
      <c r="D399" s="22"/>
    </row>
    <row r="400" spans="1:4" ht="12.75" customHeight="1">
      <c r="A400" s="22"/>
      <c r="B400" s="22"/>
      <c r="C400" s="22"/>
      <c r="D400" s="22"/>
    </row>
    <row r="401" spans="1:4" ht="12.75" customHeight="1">
      <c r="A401" s="22"/>
      <c r="B401" s="22"/>
      <c r="C401" s="22"/>
      <c r="D401" s="22"/>
    </row>
    <row r="402" spans="1:4" ht="12.75" customHeight="1">
      <c r="A402" s="22"/>
      <c r="B402" s="22"/>
      <c r="C402" s="22"/>
      <c r="D402" s="22"/>
    </row>
    <row r="403" spans="1:4" ht="12.75" customHeight="1">
      <c r="A403" s="22"/>
      <c r="B403" s="22"/>
      <c r="C403" s="22"/>
      <c r="D403" s="22"/>
    </row>
    <row r="404" spans="1:4" ht="12.75" customHeight="1">
      <c r="A404" s="22"/>
      <c r="B404" s="22"/>
      <c r="C404" s="22"/>
      <c r="D404" s="22"/>
    </row>
    <row r="405" spans="1:4" ht="12.75" customHeight="1">
      <c r="A405" s="22"/>
      <c r="B405" s="22"/>
      <c r="C405" s="22"/>
      <c r="D405" s="22"/>
    </row>
    <row r="406" spans="1:4" ht="12.75" customHeight="1">
      <c r="A406" s="22"/>
      <c r="B406" s="22"/>
      <c r="C406" s="22"/>
      <c r="D406" s="22"/>
    </row>
    <row r="407" spans="1:4" ht="12.75" customHeight="1">
      <c r="A407" s="22"/>
      <c r="B407" s="22"/>
      <c r="C407" s="22"/>
      <c r="D407" s="22"/>
    </row>
    <row r="408" spans="1:4" ht="12.75" customHeight="1">
      <c r="A408" s="22"/>
      <c r="B408" s="22"/>
      <c r="C408" s="22"/>
      <c r="D408" s="22"/>
    </row>
    <row r="409" spans="1:4" ht="12.75" customHeight="1">
      <c r="A409" s="22"/>
      <c r="B409" s="22"/>
      <c r="C409" s="22"/>
      <c r="D409" s="22"/>
    </row>
    <row r="410" spans="1:4" ht="12.75" customHeight="1">
      <c r="A410" s="22"/>
      <c r="B410" s="22"/>
      <c r="C410" s="22"/>
      <c r="D410" s="22"/>
    </row>
    <row r="411" spans="1:4" ht="12.75" customHeight="1">
      <c r="A411" s="22"/>
      <c r="B411" s="22"/>
      <c r="C411" s="22"/>
      <c r="D411" s="22"/>
    </row>
    <row r="412" spans="1:4" ht="12.75" customHeight="1">
      <c r="A412" s="22"/>
      <c r="B412" s="22"/>
      <c r="C412" s="22"/>
      <c r="D412" s="22"/>
    </row>
    <row r="413" spans="1:4" ht="12.75" customHeight="1">
      <c r="A413" s="22"/>
      <c r="B413" s="22"/>
      <c r="C413" s="22"/>
      <c r="D413" s="22"/>
    </row>
    <row r="414" spans="1:4" ht="12.75" customHeight="1">
      <c r="A414" s="22"/>
      <c r="B414" s="22"/>
      <c r="C414" s="22"/>
      <c r="D414" s="22"/>
    </row>
    <row r="415" spans="1:4" ht="12.75" customHeight="1">
      <c r="A415" s="22"/>
      <c r="B415" s="22"/>
      <c r="C415" s="22"/>
      <c r="D415" s="22"/>
    </row>
    <row r="416" spans="1:4" ht="12.75" customHeight="1">
      <c r="A416" s="22"/>
      <c r="B416" s="22"/>
      <c r="C416" s="22"/>
      <c r="D416" s="22"/>
    </row>
    <row r="417" spans="1:4" ht="12.75" customHeight="1">
      <c r="A417" s="22"/>
      <c r="B417" s="22"/>
      <c r="C417" s="22"/>
      <c r="D417" s="22"/>
    </row>
    <row r="418" spans="1:4" ht="12.75" customHeight="1">
      <c r="A418" s="22"/>
      <c r="B418" s="22"/>
      <c r="C418" s="22"/>
      <c r="D418" s="22"/>
    </row>
    <row r="419" spans="1:4" ht="12.75" customHeight="1">
      <c r="A419" s="22"/>
      <c r="B419" s="22"/>
      <c r="C419" s="22"/>
      <c r="D419" s="22"/>
    </row>
    <row r="420" spans="1:4" ht="12.75" customHeight="1">
      <c r="A420" s="22"/>
      <c r="B420" s="22"/>
      <c r="C420" s="22"/>
      <c r="D420" s="22"/>
    </row>
    <row r="421" spans="1:4" ht="12.75" customHeight="1">
      <c r="A421" s="22"/>
      <c r="B421" s="22"/>
      <c r="C421" s="22"/>
      <c r="D421" s="22"/>
    </row>
    <row r="422" spans="1:4" ht="12.75" customHeight="1">
      <c r="A422" s="22"/>
      <c r="B422" s="22"/>
      <c r="C422" s="22"/>
      <c r="D422" s="22"/>
    </row>
    <row r="423" spans="1:4" ht="12.75" customHeight="1">
      <c r="A423" s="22"/>
      <c r="B423" s="22"/>
      <c r="C423" s="22"/>
      <c r="D423" s="22"/>
    </row>
    <row r="424" spans="1:4" ht="12.75" customHeight="1">
      <c r="A424" s="22"/>
      <c r="B424" s="22"/>
      <c r="C424" s="22"/>
      <c r="D424" s="22"/>
    </row>
    <row r="425" spans="1:4" ht="12.75" customHeight="1">
      <c r="A425" s="22"/>
      <c r="B425" s="22"/>
      <c r="C425" s="22"/>
      <c r="D425" s="22"/>
    </row>
    <row r="426" spans="1:4" ht="12.75" customHeight="1">
      <c r="A426" s="22"/>
      <c r="B426" s="22"/>
      <c r="C426" s="22"/>
      <c r="D426" s="22"/>
    </row>
    <row r="427" spans="1:4" ht="12.75" customHeight="1">
      <c r="A427" s="22"/>
      <c r="B427" s="22"/>
      <c r="C427" s="22"/>
      <c r="D427" s="22"/>
    </row>
    <row r="428" spans="1:4" ht="12.75" customHeight="1">
      <c r="A428" s="22"/>
      <c r="B428" s="22"/>
      <c r="C428" s="22"/>
      <c r="D428" s="22"/>
    </row>
    <row r="429" spans="1:4" ht="12.75" customHeight="1">
      <c r="A429" s="22"/>
      <c r="B429" s="22"/>
      <c r="C429" s="22"/>
      <c r="D429" s="22"/>
    </row>
    <row r="430" spans="1:4" ht="12.75" customHeight="1">
      <c r="A430" s="22"/>
      <c r="B430" s="22"/>
      <c r="C430" s="22"/>
      <c r="D430" s="22"/>
    </row>
    <row r="431" spans="1:4" ht="12.75" customHeight="1">
      <c r="A431" s="22"/>
      <c r="B431" s="22"/>
      <c r="C431" s="22"/>
      <c r="D431" s="22"/>
    </row>
    <row r="432" spans="1:4" ht="12.75" customHeight="1">
      <c r="A432" s="22"/>
      <c r="B432" s="22"/>
      <c r="C432" s="22"/>
      <c r="D432" s="22"/>
    </row>
    <row r="433" spans="1:4" ht="12.75" customHeight="1">
      <c r="A433" s="22"/>
      <c r="B433" s="22"/>
      <c r="C433" s="22"/>
      <c r="D433" s="22"/>
    </row>
    <row r="434" spans="1:4" ht="12.75" customHeight="1">
      <c r="A434" s="22"/>
      <c r="B434" s="22"/>
      <c r="C434" s="22"/>
      <c r="D434" s="22"/>
    </row>
    <row r="435" spans="1:4" ht="12.75" customHeight="1">
      <c r="A435" s="22"/>
      <c r="B435" s="22"/>
      <c r="C435" s="22"/>
      <c r="D435" s="22"/>
    </row>
    <row r="436" spans="1:4" ht="12.75" customHeight="1">
      <c r="A436" s="22"/>
      <c r="B436" s="22"/>
      <c r="C436" s="22"/>
      <c r="D436" s="22"/>
    </row>
    <row r="437" spans="1:4" ht="12.75" customHeight="1">
      <c r="A437" s="22"/>
      <c r="B437" s="22"/>
      <c r="C437" s="22"/>
      <c r="D437" s="22"/>
    </row>
    <row r="438" spans="1:4" ht="12.75" customHeight="1">
      <c r="A438" s="22"/>
      <c r="B438" s="22"/>
      <c r="C438" s="22"/>
      <c r="D438" s="22"/>
    </row>
    <row r="439" spans="1:4" ht="12.75" customHeight="1">
      <c r="A439" s="22"/>
      <c r="B439" s="22"/>
      <c r="C439" s="22"/>
      <c r="D439" s="22"/>
    </row>
    <row r="440" spans="1:4" ht="12.75" customHeight="1">
      <c r="A440" s="22"/>
      <c r="B440" s="22"/>
      <c r="C440" s="22"/>
      <c r="D440" s="22"/>
    </row>
    <row r="441" spans="1:4" ht="12.75" customHeight="1">
      <c r="A441" s="22"/>
      <c r="B441" s="22"/>
      <c r="C441" s="22"/>
      <c r="D441" s="22"/>
    </row>
    <row r="442" spans="1:4" ht="12.75" customHeight="1">
      <c r="A442" s="22"/>
      <c r="B442" s="22"/>
      <c r="C442" s="22"/>
      <c r="D442" s="22"/>
    </row>
    <row r="443" spans="1:4" ht="12.75" customHeight="1">
      <c r="A443" s="22"/>
      <c r="B443" s="22"/>
      <c r="C443" s="22"/>
      <c r="D443" s="22"/>
    </row>
    <row r="444" spans="1:4" ht="12.75" customHeight="1">
      <c r="A444" s="22"/>
      <c r="B444" s="22"/>
      <c r="C444" s="22"/>
      <c r="D444" s="22"/>
    </row>
    <row r="445" spans="1:4" ht="12.75" customHeight="1">
      <c r="A445" s="22"/>
      <c r="B445" s="22"/>
      <c r="C445" s="22"/>
      <c r="D445" s="22"/>
    </row>
    <row r="446" spans="1:4" ht="12.75" customHeight="1">
      <c r="A446" s="22"/>
      <c r="B446" s="22"/>
      <c r="C446" s="22"/>
      <c r="D446" s="22"/>
    </row>
    <row r="447" spans="1:4" ht="12.75" customHeight="1">
      <c r="A447" s="22"/>
      <c r="B447" s="22"/>
      <c r="C447" s="22"/>
      <c r="D447" s="22"/>
    </row>
    <row r="448" spans="1:4" ht="12.75" customHeight="1">
      <c r="A448" s="22"/>
      <c r="B448" s="22"/>
      <c r="C448" s="22"/>
      <c r="D448" s="22"/>
    </row>
    <row r="449" spans="1:4" ht="12.75" customHeight="1">
      <c r="A449" s="22"/>
      <c r="B449" s="22"/>
      <c r="C449" s="22"/>
      <c r="D449" s="22"/>
    </row>
    <row r="450" spans="1:4" ht="12.75" customHeight="1">
      <c r="A450" s="22"/>
      <c r="B450" s="22"/>
      <c r="C450" s="22"/>
      <c r="D450" s="22"/>
    </row>
    <row r="451" spans="1:4" ht="12.75" customHeight="1">
      <c r="A451" s="22"/>
      <c r="B451" s="22"/>
      <c r="C451" s="22"/>
      <c r="D451" s="22"/>
    </row>
    <row r="452" spans="1:4" ht="12.75" customHeight="1">
      <c r="A452" s="22"/>
      <c r="B452" s="22"/>
      <c r="C452" s="22"/>
      <c r="D452" s="22"/>
    </row>
    <row r="453" spans="1:4" ht="12.75" customHeight="1">
      <c r="A453" s="22"/>
      <c r="B453" s="22"/>
      <c r="C453" s="22"/>
      <c r="D453" s="22"/>
    </row>
    <row r="454" spans="1:4" ht="12.75" customHeight="1">
      <c r="A454" s="22"/>
      <c r="B454" s="22"/>
      <c r="C454" s="22"/>
      <c r="D454" s="22"/>
    </row>
    <row r="455" spans="1:4" ht="12.75" customHeight="1">
      <c r="A455" s="22"/>
      <c r="B455" s="22"/>
      <c r="C455" s="22"/>
      <c r="D455" s="22"/>
    </row>
    <row r="456" spans="1:4" ht="12.75" customHeight="1">
      <c r="A456" s="22"/>
      <c r="B456" s="22"/>
      <c r="C456" s="22"/>
      <c r="D456" s="22"/>
    </row>
    <row r="457" spans="1:4" ht="12.75" customHeight="1">
      <c r="A457" s="22"/>
      <c r="B457" s="22"/>
      <c r="C457" s="22"/>
      <c r="D457" s="22"/>
    </row>
    <row r="458" spans="1:4" ht="12.75" customHeight="1">
      <c r="A458" s="22"/>
      <c r="B458" s="22"/>
      <c r="C458" s="22"/>
      <c r="D458" s="22"/>
    </row>
    <row r="459" spans="1:4" ht="12.75" customHeight="1">
      <c r="A459" s="22"/>
      <c r="B459" s="22"/>
      <c r="C459" s="22"/>
      <c r="D459" s="22"/>
    </row>
    <row r="460" spans="1:4" ht="12.75" customHeight="1">
      <c r="A460" s="22"/>
      <c r="B460" s="22"/>
      <c r="C460" s="22"/>
      <c r="D460" s="22"/>
    </row>
    <row r="461" spans="1:4" ht="12.75" customHeight="1">
      <c r="A461" s="22"/>
      <c r="B461" s="22"/>
      <c r="C461" s="22"/>
      <c r="D461" s="22"/>
    </row>
    <row r="462" spans="1:4" ht="12.75" customHeight="1">
      <c r="A462" s="22"/>
      <c r="B462" s="22"/>
      <c r="C462" s="22"/>
      <c r="D462" s="22"/>
    </row>
    <row r="463" spans="1:4" ht="12.75" customHeight="1">
      <c r="A463" s="22"/>
      <c r="B463" s="22"/>
      <c r="C463" s="22"/>
      <c r="D463" s="22"/>
    </row>
    <row r="464" spans="1:4" ht="12.75" customHeight="1">
      <c r="A464" s="22"/>
      <c r="B464" s="22"/>
      <c r="C464" s="22"/>
      <c r="D464" s="22"/>
    </row>
    <row r="465" spans="1:4" ht="12.75" customHeight="1">
      <c r="A465" s="22"/>
      <c r="B465" s="22"/>
      <c r="C465" s="22"/>
      <c r="D465" s="22"/>
    </row>
    <row r="466" spans="1:4" ht="12.75" customHeight="1">
      <c r="A466" s="22"/>
      <c r="B466" s="22"/>
      <c r="C466" s="22"/>
      <c r="D466" s="22"/>
    </row>
    <row r="467" spans="1:4" ht="12.75" customHeight="1">
      <c r="A467" s="22"/>
      <c r="B467" s="22"/>
      <c r="C467" s="22"/>
      <c r="D467" s="22"/>
    </row>
    <row r="468" spans="1:4" ht="12.75" customHeight="1">
      <c r="A468" s="22"/>
      <c r="B468" s="22"/>
      <c r="C468" s="22"/>
      <c r="D468" s="22"/>
    </row>
    <row r="469" spans="1:4" ht="12.75" customHeight="1">
      <c r="A469" s="22"/>
      <c r="B469" s="22"/>
      <c r="C469" s="22"/>
      <c r="D469" s="22"/>
    </row>
    <row r="470" spans="1:4" ht="12.75" customHeight="1">
      <c r="A470" s="22"/>
      <c r="B470" s="22"/>
      <c r="C470" s="22"/>
      <c r="D470" s="22"/>
    </row>
    <row r="471" spans="1:4" ht="12.75" customHeight="1">
      <c r="A471" s="22"/>
      <c r="B471" s="22"/>
      <c r="C471" s="22"/>
      <c r="D471" s="22"/>
    </row>
    <row r="472" spans="1:4" ht="12.75" customHeight="1">
      <c r="A472" s="22"/>
      <c r="B472" s="22"/>
      <c r="C472" s="22"/>
      <c r="D472" s="22"/>
    </row>
    <row r="473" spans="1:4" ht="12.75" customHeight="1">
      <c r="A473" s="22"/>
      <c r="B473" s="22"/>
      <c r="C473" s="22"/>
      <c r="D473" s="22"/>
    </row>
    <row r="474" spans="1:4" ht="12.75" customHeight="1">
      <c r="A474" s="22"/>
      <c r="B474" s="22"/>
      <c r="C474" s="22"/>
      <c r="D474" s="22"/>
    </row>
    <row r="475" spans="1:4" ht="12.75" customHeight="1">
      <c r="A475" s="22"/>
      <c r="B475" s="22"/>
      <c r="C475" s="22"/>
      <c r="D475" s="22"/>
    </row>
    <row r="476" spans="1:4" ht="12.75" customHeight="1">
      <c r="A476" s="22"/>
      <c r="B476" s="22"/>
      <c r="C476" s="22"/>
      <c r="D476" s="22"/>
    </row>
    <row r="477" spans="1:4" ht="12.75" customHeight="1">
      <c r="A477" s="22"/>
      <c r="B477" s="22"/>
      <c r="C477" s="22"/>
      <c r="D477" s="22"/>
    </row>
    <row r="478" spans="1:4" ht="12.75" customHeight="1">
      <c r="A478" s="22"/>
      <c r="B478" s="22"/>
      <c r="C478" s="22"/>
      <c r="D478" s="22"/>
    </row>
    <row r="479" spans="1:4" ht="12.75" customHeight="1">
      <c r="A479" s="22"/>
      <c r="B479" s="22"/>
      <c r="C479" s="22"/>
      <c r="D479" s="22"/>
    </row>
    <row r="480" spans="1:4" ht="12.75" customHeight="1">
      <c r="A480" s="22"/>
      <c r="B480" s="22"/>
      <c r="C480" s="22"/>
      <c r="D480" s="22"/>
    </row>
    <row r="481" spans="1:4" ht="12.75" customHeight="1">
      <c r="A481" s="22"/>
      <c r="B481" s="22"/>
      <c r="C481" s="22"/>
      <c r="D481" s="22"/>
    </row>
    <row r="482" spans="1:4" ht="12.75" customHeight="1">
      <c r="A482" s="22"/>
      <c r="B482" s="22"/>
      <c r="C482" s="22"/>
      <c r="D482" s="22"/>
    </row>
    <row r="483" spans="1:4" ht="12.75" customHeight="1">
      <c r="A483" s="22"/>
      <c r="B483" s="22"/>
      <c r="C483" s="22"/>
      <c r="D483" s="22"/>
    </row>
    <row r="484" spans="1:4" ht="12.75" customHeight="1">
      <c r="A484" s="22"/>
      <c r="B484" s="22"/>
      <c r="C484" s="22"/>
      <c r="D484" s="22"/>
    </row>
    <row r="485" spans="1:4" ht="12.75" customHeight="1">
      <c r="A485" s="22"/>
      <c r="B485" s="22"/>
      <c r="C485" s="22"/>
      <c r="D485" s="22"/>
    </row>
    <row r="486" spans="1:4" ht="12.75" customHeight="1">
      <c r="A486" s="22"/>
      <c r="B486" s="22"/>
      <c r="C486" s="22"/>
      <c r="D486" s="22"/>
    </row>
    <row r="487" spans="1:4" ht="12.75" customHeight="1">
      <c r="A487" s="22"/>
      <c r="B487" s="22"/>
      <c r="C487" s="22"/>
      <c r="D487" s="22"/>
    </row>
    <row r="488" spans="1:4" ht="12.75" customHeight="1">
      <c r="A488" s="22"/>
      <c r="B488" s="22"/>
      <c r="C488" s="22"/>
      <c r="D488" s="22"/>
    </row>
    <row r="489" spans="1:4" ht="12.75" customHeight="1">
      <c r="A489" s="22"/>
      <c r="B489" s="22"/>
      <c r="C489" s="22"/>
      <c r="D489" s="22"/>
    </row>
    <row r="490" spans="1:4" ht="12.75" customHeight="1">
      <c r="A490" s="22"/>
      <c r="B490" s="22"/>
      <c r="C490" s="22"/>
      <c r="D490" s="22"/>
    </row>
    <row r="491" spans="1:4" ht="12.75" customHeight="1">
      <c r="A491" s="22"/>
      <c r="B491" s="22"/>
      <c r="C491" s="22"/>
      <c r="D491" s="22"/>
    </row>
    <row r="492" spans="1:4" ht="12.75" customHeight="1">
      <c r="A492" s="22"/>
      <c r="B492" s="22"/>
      <c r="C492" s="22"/>
      <c r="D492" s="22"/>
    </row>
    <row r="493" spans="1:4" ht="12.75" customHeight="1">
      <c r="A493" s="22"/>
      <c r="B493" s="22"/>
      <c r="C493" s="22"/>
      <c r="D493" s="22"/>
    </row>
    <row r="494" spans="1:4" ht="12.75" customHeight="1">
      <c r="A494" s="22"/>
      <c r="B494" s="22"/>
      <c r="C494" s="22"/>
      <c r="D494" s="22"/>
    </row>
    <row r="495" spans="1:4" ht="12.75" customHeight="1">
      <c r="A495" s="22"/>
      <c r="B495" s="22"/>
      <c r="C495" s="22"/>
      <c r="D495" s="22"/>
    </row>
    <row r="496" spans="1:4" ht="12.75" customHeight="1">
      <c r="A496" s="22"/>
      <c r="B496" s="22"/>
      <c r="C496" s="22"/>
      <c r="D496" s="22"/>
    </row>
    <row r="497" spans="1:4" ht="12.75" customHeight="1">
      <c r="A497" s="22"/>
      <c r="B497" s="22"/>
      <c r="C497" s="22"/>
      <c r="D497" s="22"/>
    </row>
    <row r="498" spans="1:4" ht="12.75" customHeight="1">
      <c r="A498" s="22"/>
      <c r="B498" s="22"/>
      <c r="C498" s="22"/>
      <c r="D498" s="22"/>
    </row>
    <row r="499" spans="1:4" ht="12.75" customHeight="1">
      <c r="A499" s="22"/>
      <c r="B499" s="22"/>
      <c r="C499" s="22"/>
      <c r="D499" s="22"/>
    </row>
    <row r="500" spans="1:4" ht="12.75" customHeight="1">
      <c r="A500" s="22"/>
      <c r="B500" s="22"/>
      <c r="C500" s="22"/>
      <c r="D500" s="22"/>
    </row>
    <row r="501" spans="1:4" ht="12.75" customHeight="1">
      <c r="A501" s="22"/>
      <c r="B501" s="22"/>
      <c r="C501" s="22"/>
      <c r="D501" s="22"/>
    </row>
    <row r="502" spans="1:4" ht="12.75" customHeight="1">
      <c r="A502" s="22"/>
      <c r="B502" s="22"/>
      <c r="C502" s="22"/>
      <c r="D502" s="22"/>
    </row>
    <row r="503" spans="1:4" ht="12.75" customHeight="1">
      <c r="A503" s="22"/>
      <c r="B503" s="22"/>
      <c r="C503" s="22"/>
      <c r="D503" s="22"/>
    </row>
    <row r="504" spans="1:4" ht="12.75" customHeight="1">
      <c r="A504" s="22"/>
      <c r="B504" s="22"/>
      <c r="C504" s="22"/>
      <c r="D504" s="22"/>
    </row>
    <row r="505" spans="1:4" ht="12.75" customHeight="1">
      <c r="A505" s="22"/>
      <c r="B505" s="22"/>
      <c r="C505" s="22"/>
      <c r="D505" s="22"/>
    </row>
    <row r="506" spans="1:4" ht="12.75" customHeight="1">
      <c r="A506" s="22"/>
      <c r="B506" s="22"/>
      <c r="C506" s="22"/>
      <c r="D506" s="22"/>
    </row>
    <row r="507" spans="1:4" ht="12.75" customHeight="1">
      <c r="A507" s="22"/>
      <c r="B507" s="22"/>
      <c r="C507" s="22"/>
      <c r="D507" s="22"/>
    </row>
    <row r="508" spans="1:4" ht="12.75" customHeight="1">
      <c r="A508" s="22"/>
      <c r="B508" s="22"/>
      <c r="C508" s="22"/>
      <c r="D508" s="22"/>
    </row>
    <row r="509" spans="1:4" ht="12.75" customHeight="1">
      <c r="A509" s="22"/>
      <c r="B509" s="22"/>
      <c r="C509" s="22"/>
      <c r="D509" s="22"/>
    </row>
    <row r="510" spans="1:4" ht="12.75" customHeight="1">
      <c r="A510" s="22"/>
      <c r="B510" s="22"/>
      <c r="C510" s="22"/>
      <c r="D510" s="22"/>
    </row>
    <row r="511" spans="1:4" ht="12.75" customHeight="1">
      <c r="A511" s="22"/>
      <c r="B511" s="22"/>
      <c r="C511" s="22"/>
      <c r="D511" s="22"/>
    </row>
    <row r="512" spans="1:4" ht="12.75" customHeight="1">
      <c r="A512" s="22"/>
      <c r="B512" s="22"/>
      <c r="C512" s="22"/>
      <c r="D512" s="22"/>
    </row>
    <row r="513" spans="1:4" ht="12.75" customHeight="1">
      <c r="A513" s="22"/>
      <c r="B513" s="22"/>
      <c r="C513" s="22"/>
      <c r="D513" s="22"/>
    </row>
    <row r="514" spans="1:4" ht="12.75" customHeight="1">
      <c r="A514" s="22"/>
      <c r="B514" s="22"/>
      <c r="C514" s="22"/>
      <c r="D514" s="22"/>
    </row>
    <row r="515" spans="1:4" ht="12.75" customHeight="1">
      <c r="A515" s="22"/>
      <c r="B515" s="22"/>
      <c r="C515" s="22"/>
      <c r="D515" s="22"/>
    </row>
    <row r="516" spans="1:4" ht="12.75" customHeight="1">
      <c r="A516" s="22"/>
      <c r="B516" s="22"/>
      <c r="C516" s="22"/>
      <c r="D516" s="22"/>
    </row>
    <row r="517" spans="1:4" ht="12.75" customHeight="1">
      <c r="A517" s="22"/>
      <c r="B517" s="22"/>
      <c r="C517" s="22"/>
      <c r="D517" s="22"/>
    </row>
    <row r="518" spans="1:4" ht="12.75" customHeight="1">
      <c r="A518" s="22"/>
      <c r="B518" s="22"/>
      <c r="C518" s="22"/>
      <c r="D518" s="22"/>
    </row>
    <row r="519" spans="1:4" ht="12.75" customHeight="1">
      <c r="A519" s="22"/>
      <c r="B519" s="22"/>
      <c r="C519" s="22"/>
      <c r="D519" s="22"/>
    </row>
    <row r="520" spans="1:4" ht="12.75" customHeight="1">
      <c r="A520" s="22"/>
      <c r="B520" s="22"/>
      <c r="C520" s="22"/>
      <c r="D520" s="22"/>
    </row>
    <row r="521" spans="1:4" ht="12.75" customHeight="1">
      <c r="A521" s="22"/>
      <c r="B521" s="22"/>
      <c r="C521" s="22"/>
      <c r="D521" s="22"/>
    </row>
    <row r="522" spans="1:4" ht="12.75" customHeight="1">
      <c r="A522" s="22"/>
      <c r="B522" s="22"/>
      <c r="C522" s="22"/>
      <c r="D522" s="22"/>
    </row>
    <row r="523" spans="1:4" ht="12.75" customHeight="1">
      <c r="A523" s="22"/>
      <c r="B523" s="22"/>
      <c r="C523" s="22"/>
      <c r="D523" s="22"/>
    </row>
    <row r="524" spans="1:4" ht="12.75" customHeight="1">
      <c r="A524" s="22"/>
      <c r="B524" s="22"/>
      <c r="C524" s="22"/>
      <c r="D524" s="22"/>
    </row>
    <row r="525" spans="1:4" ht="12.75" customHeight="1">
      <c r="A525" s="22"/>
      <c r="B525" s="22"/>
      <c r="C525" s="22"/>
      <c r="D525" s="22"/>
    </row>
    <row r="526" spans="1:4" ht="12.75" customHeight="1">
      <c r="A526" s="22"/>
      <c r="B526" s="22"/>
      <c r="C526" s="22"/>
      <c r="D526" s="22"/>
    </row>
    <row r="527" spans="1:4" ht="12.75" customHeight="1">
      <c r="A527" s="22"/>
      <c r="B527" s="22"/>
      <c r="C527" s="22"/>
      <c r="D527" s="22"/>
    </row>
    <row r="528" spans="1:4" ht="12.75" customHeight="1">
      <c r="A528" s="22"/>
      <c r="B528" s="22"/>
      <c r="C528" s="22"/>
      <c r="D528" s="22"/>
    </row>
    <row r="529" spans="1:4" ht="12.75" customHeight="1">
      <c r="A529" s="22"/>
      <c r="B529" s="22"/>
      <c r="C529" s="22"/>
      <c r="D529" s="22"/>
    </row>
    <row r="530" spans="1:4" ht="12.75" customHeight="1">
      <c r="A530" s="22"/>
      <c r="B530" s="22"/>
      <c r="C530" s="22"/>
      <c r="D530" s="22"/>
    </row>
    <row r="531" spans="1:4" ht="12.75" customHeight="1">
      <c r="A531" s="22"/>
      <c r="B531" s="22"/>
      <c r="C531" s="22"/>
      <c r="D531" s="22"/>
    </row>
    <row r="532" spans="1:4" ht="12.75" customHeight="1">
      <c r="A532" s="22"/>
      <c r="B532" s="22"/>
      <c r="C532" s="22"/>
      <c r="D532" s="22"/>
    </row>
    <row r="533" spans="1:4" ht="12.75" customHeight="1">
      <c r="A533" s="22"/>
      <c r="B533" s="22"/>
      <c r="C533" s="22"/>
      <c r="D533" s="22"/>
    </row>
    <row r="534" spans="1:4" ht="12.75" customHeight="1">
      <c r="A534" s="22"/>
      <c r="B534" s="22"/>
      <c r="C534" s="22"/>
      <c r="D534" s="22"/>
    </row>
    <row r="535" spans="1:4" ht="12.75" customHeight="1">
      <c r="A535" s="22"/>
      <c r="B535" s="22"/>
      <c r="C535" s="22"/>
      <c r="D535" s="22"/>
    </row>
    <row r="536" spans="1:4" ht="12.75" customHeight="1">
      <c r="A536" s="22"/>
      <c r="B536" s="22"/>
      <c r="C536" s="22"/>
      <c r="D536" s="22"/>
    </row>
    <row r="537" spans="1:4" ht="12.75" customHeight="1">
      <c r="A537" s="22"/>
      <c r="B537" s="22"/>
      <c r="C537" s="22"/>
      <c r="D537" s="22"/>
    </row>
    <row r="538" spans="1:4" ht="12.75" customHeight="1">
      <c r="A538" s="22"/>
      <c r="B538" s="22"/>
      <c r="C538" s="22"/>
      <c r="D538" s="22"/>
    </row>
    <row r="539" spans="1:4" ht="12.75" customHeight="1">
      <c r="A539" s="22"/>
      <c r="B539" s="22"/>
      <c r="C539" s="22"/>
      <c r="D539" s="22"/>
    </row>
    <row r="540" spans="1:4" ht="12.75" customHeight="1">
      <c r="A540" s="22"/>
      <c r="B540" s="22"/>
      <c r="C540" s="22"/>
      <c r="D540" s="22"/>
    </row>
    <row r="541" spans="1:4" ht="12.75" customHeight="1">
      <c r="A541" s="22"/>
      <c r="B541" s="22"/>
      <c r="C541" s="22"/>
      <c r="D541" s="22"/>
    </row>
    <row r="542" spans="1:4" ht="12.75" customHeight="1">
      <c r="A542" s="22"/>
      <c r="B542" s="22"/>
      <c r="C542" s="22"/>
      <c r="D542" s="22"/>
    </row>
    <row r="543" spans="1:4" ht="12.75" customHeight="1">
      <c r="A543" s="22"/>
      <c r="B543" s="22"/>
      <c r="C543" s="22"/>
      <c r="D543" s="22"/>
    </row>
    <row r="544" spans="1:4" ht="12.75" customHeight="1">
      <c r="A544" s="22"/>
      <c r="B544" s="22"/>
      <c r="C544" s="22"/>
      <c r="D544" s="22"/>
    </row>
    <row r="545" spans="1:4" ht="12.75" customHeight="1">
      <c r="A545" s="22"/>
      <c r="B545" s="22"/>
      <c r="C545" s="22"/>
      <c r="D545" s="22"/>
    </row>
    <row r="546" spans="1:4" ht="12.75" customHeight="1">
      <c r="A546" s="22"/>
      <c r="B546" s="22"/>
      <c r="C546" s="22"/>
      <c r="D546" s="22"/>
    </row>
    <row r="547" spans="1:4" ht="12.75" customHeight="1">
      <c r="A547" s="22"/>
      <c r="B547" s="22"/>
      <c r="C547" s="22"/>
      <c r="D547" s="22"/>
    </row>
    <row r="548" spans="1:4" ht="12.75" customHeight="1">
      <c r="A548" s="22"/>
      <c r="B548" s="22"/>
      <c r="C548" s="22"/>
      <c r="D548" s="22"/>
    </row>
    <row r="549" spans="1:4" ht="12.75" customHeight="1">
      <c r="A549" s="22"/>
      <c r="B549" s="22"/>
      <c r="C549" s="22"/>
      <c r="D549" s="22"/>
    </row>
    <row r="550" spans="1:4" ht="12.75" customHeight="1">
      <c r="A550" s="22"/>
      <c r="B550" s="22"/>
      <c r="C550" s="22"/>
      <c r="D550" s="22"/>
    </row>
    <row r="551" spans="1:4" ht="12.75" customHeight="1">
      <c r="A551" s="22"/>
      <c r="B551" s="22"/>
      <c r="C551" s="22"/>
      <c r="D551" s="22"/>
    </row>
    <row r="552" spans="1:4" ht="12.75" customHeight="1">
      <c r="A552" s="22"/>
      <c r="B552" s="22"/>
      <c r="C552" s="22"/>
      <c r="D552" s="22"/>
    </row>
    <row r="553" spans="1:4" ht="12.75" customHeight="1">
      <c r="A553" s="22"/>
      <c r="B553" s="22"/>
      <c r="C553" s="22"/>
      <c r="D553" s="22"/>
    </row>
    <row r="554" spans="1:4" ht="12.75" customHeight="1">
      <c r="A554" s="22"/>
      <c r="B554" s="22"/>
      <c r="C554" s="22"/>
      <c r="D554" s="22"/>
    </row>
    <row r="555" spans="1:4" ht="12.75" customHeight="1">
      <c r="A555" s="22"/>
      <c r="B555" s="22"/>
      <c r="C555" s="22"/>
      <c r="D555" s="22"/>
    </row>
    <row r="556" spans="1:4" ht="12.75" customHeight="1">
      <c r="A556" s="22"/>
      <c r="B556" s="22"/>
      <c r="C556" s="22"/>
      <c r="D556" s="22"/>
    </row>
    <row r="557" spans="1:4" ht="12.75" customHeight="1">
      <c r="A557" s="22"/>
      <c r="B557" s="22"/>
      <c r="C557" s="22"/>
      <c r="D557" s="22"/>
    </row>
    <row r="558" spans="1:4" ht="12.75" customHeight="1">
      <c r="A558" s="22"/>
      <c r="B558" s="22"/>
      <c r="C558" s="22"/>
      <c r="D558" s="22"/>
    </row>
    <row r="559" spans="1:4" ht="12.75" customHeight="1">
      <c r="A559" s="22"/>
      <c r="B559" s="22"/>
      <c r="C559" s="22"/>
      <c r="D559" s="22"/>
    </row>
    <row r="560" spans="1:4" ht="12.75" customHeight="1">
      <c r="A560" s="22"/>
      <c r="B560" s="22"/>
      <c r="C560" s="22"/>
      <c r="D560" s="22"/>
    </row>
    <row r="561" spans="1:4" ht="12.75" customHeight="1">
      <c r="A561" s="22"/>
      <c r="B561" s="22"/>
      <c r="C561" s="22"/>
      <c r="D561" s="22"/>
    </row>
    <row r="562" spans="1:4" ht="12.75" customHeight="1">
      <c r="A562" s="22"/>
      <c r="B562" s="22"/>
      <c r="C562" s="22"/>
      <c r="D562" s="22"/>
    </row>
    <row r="563" spans="1:4" ht="12.75" customHeight="1">
      <c r="A563" s="22"/>
      <c r="B563" s="22"/>
      <c r="C563" s="22"/>
      <c r="D563" s="22"/>
    </row>
    <row r="564" spans="1:4" ht="12.75" customHeight="1">
      <c r="A564" s="22"/>
      <c r="B564" s="22"/>
      <c r="C564" s="22"/>
      <c r="D564" s="22"/>
    </row>
    <row r="565" spans="1:4" ht="12.75" customHeight="1">
      <c r="A565" s="22"/>
      <c r="B565" s="22"/>
      <c r="C565" s="22"/>
      <c r="D565" s="22"/>
    </row>
    <row r="566" spans="1:4" ht="12.75" customHeight="1">
      <c r="A566" s="22"/>
      <c r="B566" s="22"/>
      <c r="C566" s="22"/>
      <c r="D566" s="22"/>
    </row>
    <row r="567" spans="1:4" ht="12.75" customHeight="1">
      <c r="A567" s="22"/>
      <c r="B567" s="22"/>
      <c r="C567" s="22"/>
      <c r="D567" s="22"/>
    </row>
    <row r="568" spans="1:4" ht="12.75" customHeight="1">
      <c r="A568" s="22"/>
      <c r="B568" s="22"/>
      <c r="C568" s="22"/>
      <c r="D568" s="22"/>
    </row>
    <row r="569" spans="1:4" ht="12.75" customHeight="1">
      <c r="A569" s="22"/>
      <c r="B569" s="22"/>
      <c r="C569" s="22"/>
      <c r="D569" s="22"/>
    </row>
    <row r="570" spans="1:4" ht="12.75" customHeight="1">
      <c r="A570" s="22"/>
      <c r="B570" s="22"/>
      <c r="C570" s="22"/>
      <c r="D570" s="22"/>
    </row>
    <row r="571" spans="1:4" ht="12.75" customHeight="1">
      <c r="A571" s="22"/>
      <c r="B571" s="22"/>
      <c r="C571" s="22"/>
      <c r="D571" s="22"/>
    </row>
    <row r="572" spans="1:4" ht="12.75" customHeight="1">
      <c r="A572" s="22"/>
      <c r="B572" s="22"/>
      <c r="C572" s="22"/>
      <c r="D572" s="22"/>
    </row>
    <row r="573" spans="1:4" ht="12.75" customHeight="1">
      <c r="A573" s="22"/>
      <c r="B573" s="22"/>
      <c r="C573" s="22"/>
      <c r="D573" s="22"/>
    </row>
    <row r="574" spans="1:4" ht="12.75" customHeight="1">
      <c r="A574" s="22"/>
      <c r="B574" s="22"/>
      <c r="C574" s="22"/>
      <c r="D574" s="22"/>
    </row>
    <row r="575" spans="1:4" ht="12.75" customHeight="1">
      <c r="A575" s="22"/>
      <c r="B575" s="22"/>
      <c r="C575" s="22"/>
      <c r="D575" s="22"/>
    </row>
    <row r="576" spans="1:4" ht="12.75" customHeight="1">
      <c r="A576" s="22"/>
      <c r="B576" s="22"/>
      <c r="C576" s="22"/>
      <c r="D576" s="22"/>
    </row>
    <row r="577" spans="1:4" ht="12.75" customHeight="1">
      <c r="A577" s="22"/>
      <c r="B577" s="22"/>
      <c r="C577" s="22"/>
      <c r="D577" s="22"/>
    </row>
    <row r="578" spans="1:4" ht="12.75" customHeight="1">
      <c r="A578" s="22"/>
      <c r="B578" s="22"/>
      <c r="C578" s="22"/>
      <c r="D578" s="22"/>
    </row>
    <row r="579" spans="1:4" ht="12.75" customHeight="1">
      <c r="A579" s="22"/>
      <c r="B579" s="22"/>
      <c r="C579" s="22"/>
      <c r="D579" s="22"/>
    </row>
    <row r="580" spans="1:4" ht="12.75" customHeight="1">
      <c r="A580" s="22"/>
      <c r="B580" s="22"/>
      <c r="C580" s="22"/>
      <c r="D580" s="22"/>
    </row>
    <row r="581" spans="1:4" ht="12.75" customHeight="1">
      <c r="A581" s="22"/>
      <c r="B581" s="22"/>
      <c r="C581" s="22"/>
      <c r="D581" s="22"/>
    </row>
    <row r="582" spans="1:4" ht="12.75" customHeight="1">
      <c r="A582" s="22"/>
      <c r="B582" s="22"/>
      <c r="C582" s="22"/>
      <c r="D582" s="22"/>
    </row>
    <row r="583" spans="1:4" ht="12.75" customHeight="1">
      <c r="A583" s="22"/>
      <c r="B583" s="22"/>
      <c r="C583" s="22"/>
      <c r="D583" s="22"/>
    </row>
    <row r="584" spans="1:4" ht="12.75" customHeight="1">
      <c r="A584" s="22"/>
      <c r="B584" s="22"/>
      <c r="C584" s="22"/>
      <c r="D584" s="22"/>
    </row>
    <row r="585" spans="1:4" ht="12.75" customHeight="1">
      <c r="A585" s="22"/>
      <c r="B585" s="22"/>
      <c r="C585" s="22"/>
      <c r="D585" s="22"/>
    </row>
    <row r="586" spans="1:4" ht="12.75" customHeight="1">
      <c r="A586" s="22"/>
      <c r="B586" s="22"/>
      <c r="C586" s="22"/>
      <c r="D586" s="22"/>
    </row>
    <row r="587" spans="1:4" ht="12.75" customHeight="1">
      <c r="A587" s="22"/>
      <c r="B587" s="22"/>
      <c r="C587" s="22"/>
      <c r="D587" s="22"/>
    </row>
    <row r="588" spans="1:4" ht="12.75" customHeight="1">
      <c r="A588" s="22"/>
      <c r="B588" s="22"/>
      <c r="C588" s="22"/>
      <c r="D588" s="22"/>
    </row>
    <row r="589" spans="1:4" ht="12.75" customHeight="1">
      <c r="A589" s="22"/>
      <c r="B589" s="22"/>
      <c r="C589" s="22"/>
      <c r="D589" s="22"/>
    </row>
    <row r="590" spans="1:4" ht="12.75" customHeight="1">
      <c r="A590" s="22"/>
      <c r="B590" s="22"/>
      <c r="C590" s="22"/>
      <c r="D590" s="22"/>
    </row>
    <row r="591" spans="1:4" ht="12.75" customHeight="1">
      <c r="A591" s="22"/>
      <c r="B591" s="22"/>
      <c r="C591" s="22"/>
      <c r="D591" s="22"/>
    </row>
    <row r="592" spans="1:4" ht="12.75" customHeight="1">
      <c r="A592" s="22"/>
      <c r="B592" s="22"/>
      <c r="C592" s="22"/>
      <c r="D592" s="22"/>
    </row>
    <row r="593" spans="1:4" ht="12.75" customHeight="1">
      <c r="A593" s="22"/>
      <c r="B593" s="22"/>
      <c r="C593" s="22"/>
      <c r="D593" s="22"/>
    </row>
    <row r="594" spans="1:4" ht="12.75" customHeight="1">
      <c r="A594" s="22"/>
      <c r="B594" s="22"/>
      <c r="C594" s="22"/>
      <c r="D594" s="22"/>
    </row>
    <row r="595" spans="1:4" ht="12.75" customHeight="1">
      <c r="A595" s="22"/>
      <c r="B595" s="22"/>
      <c r="C595" s="22"/>
      <c r="D595" s="22"/>
    </row>
    <row r="596" spans="1:4" ht="12.75" customHeight="1">
      <c r="A596" s="22"/>
      <c r="B596" s="22"/>
      <c r="C596" s="22"/>
      <c r="D596" s="22"/>
    </row>
    <row r="597" spans="1:4" ht="12.75" customHeight="1">
      <c r="A597" s="22"/>
      <c r="B597" s="22"/>
      <c r="C597" s="22"/>
      <c r="D597" s="22"/>
    </row>
    <row r="598" spans="1:4" ht="12.75" customHeight="1">
      <c r="A598" s="22"/>
      <c r="B598" s="22"/>
      <c r="C598" s="22"/>
      <c r="D598" s="22"/>
    </row>
    <row r="599" spans="1:4" ht="12.75" customHeight="1">
      <c r="A599" s="22"/>
      <c r="B599" s="22"/>
      <c r="C599" s="22"/>
      <c r="D599" s="22"/>
    </row>
    <row r="600" spans="1:4" ht="12.75" customHeight="1">
      <c r="A600" s="22"/>
      <c r="B600" s="22"/>
      <c r="C600" s="22"/>
      <c r="D600" s="22"/>
    </row>
    <row r="601" spans="1:4" ht="12.75" customHeight="1">
      <c r="A601" s="22"/>
      <c r="B601" s="22"/>
      <c r="C601" s="22"/>
      <c r="D601" s="22"/>
    </row>
    <row r="602" spans="1:4" ht="12.75" customHeight="1">
      <c r="A602" s="22"/>
      <c r="B602" s="22"/>
      <c r="C602" s="22"/>
      <c r="D602" s="22"/>
    </row>
    <row r="603" spans="1:4" ht="12.75" customHeight="1">
      <c r="A603" s="22"/>
      <c r="B603" s="22"/>
      <c r="C603" s="22"/>
      <c r="D603" s="22"/>
    </row>
    <row r="604" spans="1:4" ht="12.75" customHeight="1">
      <c r="A604" s="22"/>
      <c r="B604" s="22"/>
      <c r="C604" s="22"/>
      <c r="D604" s="22"/>
    </row>
    <row r="605" spans="1:4" ht="12.75" customHeight="1">
      <c r="A605" s="22"/>
      <c r="B605" s="22"/>
      <c r="C605" s="22"/>
      <c r="D605" s="22"/>
    </row>
    <row r="606" spans="1:4" ht="12.75" customHeight="1">
      <c r="A606" s="22"/>
      <c r="B606" s="22"/>
      <c r="C606" s="22"/>
      <c r="D606" s="22"/>
    </row>
    <row r="607" spans="1:4" ht="12.75" customHeight="1">
      <c r="A607" s="22"/>
      <c r="B607" s="22"/>
      <c r="C607" s="22"/>
      <c r="D607" s="22"/>
    </row>
    <row r="608" spans="1:4" ht="12.75" customHeight="1">
      <c r="A608" s="22"/>
      <c r="B608" s="22"/>
      <c r="C608" s="22"/>
      <c r="D608" s="22"/>
    </row>
    <row r="609" spans="1:4" ht="12.75" customHeight="1">
      <c r="A609" s="22"/>
      <c r="B609" s="22"/>
      <c r="C609" s="22"/>
      <c r="D609" s="22"/>
    </row>
    <row r="610" spans="1:4" ht="12.75" customHeight="1">
      <c r="A610" s="22"/>
      <c r="B610" s="22"/>
      <c r="C610" s="22"/>
      <c r="D610" s="22"/>
    </row>
    <row r="611" spans="1:4" ht="12.75" customHeight="1">
      <c r="A611" s="22"/>
      <c r="B611" s="22"/>
      <c r="C611" s="22"/>
      <c r="D611" s="22"/>
    </row>
    <row r="612" spans="1:4" ht="12.75" customHeight="1">
      <c r="A612" s="22"/>
      <c r="B612" s="22"/>
      <c r="C612" s="22"/>
      <c r="D612" s="22"/>
    </row>
    <row r="613" spans="1:4" ht="12.75" customHeight="1">
      <c r="A613" s="22"/>
      <c r="B613" s="22"/>
      <c r="C613" s="22"/>
      <c r="D613" s="22"/>
    </row>
    <row r="614" spans="1:4" ht="12.75" customHeight="1">
      <c r="A614" s="22"/>
      <c r="B614" s="22"/>
      <c r="C614" s="22"/>
      <c r="D614" s="22"/>
    </row>
    <row r="615" spans="1:4" ht="12.75" customHeight="1">
      <c r="A615" s="22"/>
      <c r="B615" s="22"/>
      <c r="C615" s="22"/>
      <c r="D615" s="22"/>
    </row>
    <row r="616" spans="1:4" ht="12.75" customHeight="1">
      <c r="A616" s="22"/>
      <c r="B616" s="22"/>
      <c r="C616" s="22"/>
      <c r="D616" s="22"/>
    </row>
    <row r="617" spans="1:4" ht="12.75" customHeight="1">
      <c r="A617" s="22"/>
      <c r="B617" s="22"/>
      <c r="C617" s="22"/>
      <c r="D617" s="22"/>
    </row>
    <row r="618" spans="1:4" ht="12.75" customHeight="1">
      <c r="A618" s="22"/>
      <c r="B618" s="22"/>
      <c r="C618" s="22"/>
      <c r="D618" s="22"/>
    </row>
    <row r="619" spans="1:4" ht="12.75" customHeight="1">
      <c r="A619" s="22"/>
      <c r="B619" s="22"/>
      <c r="C619" s="22"/>
      <c r="D619" s="22"/>
    </row>
    <row r="620" spans="1:4" ht="12.75" customHeight="1">
      <c r="A620" s="22"/>
      <c r="B620" s="22"/>
      <c r="C620" s="22"/>
      <c r="D620" s="22"/>
    </row>
    <row r="621" spans="1:4" ht="12.75" customHeight="1">
      <c r="A621" s="22"/>
      <c r="B621" s="22"/>
      <c r="C621" s="22"/>
      <c r="D621" s="22"/>
    </row>
    <row r="622" spans="1:4" ht="12.75" customHeight="1">
      <c r="A622" s="22"/>
      <c r="B622" s="22"/>
      <c r="C622" s="22"/>
      <c r="D622" s="22"/>
    </row>
    <row r="623" spans="1:4" ht="12.75" customHeight="1">
      <c r="A623" s="22"/>
      <c r="B623" s="22"/>
      <c r="C623" s="22"/>
      <c r="D623" s="22"/>
    </row>
    <row r="624" spans="1:4" ht="12.75" customHeight="1">
      <c r="A624" s="22"/>
      <c r="B624" s="22"/>
      <c r="C624" s="22"/>
      <c r="D624" s="22"/>
    </row>
    <row r="625" spans="1:4" ht="12.75" customHeight="1">
      <c r="A625" s="22"/>
      <c r="B625" s="22"/>
      <c r="C625" s="22"/>
      <c r="D625" s="22"/>
    </row>
    <row r="626" spans="1:4" ht="12.75" customHeight="1">
      <c r="A626" s="22"/>
      <c r="B626" s="22"/>
      <c r="C626" s="22"/>
      <c r="D626" s="22"/>
    </row>
    <row r="627" spans="1:4" ht="12.75" customHeight="1">
      <c r="A627" s="22"/>
      <c r="B627" s="22"/>
      <c r="C627" s="22"/>
      <c r="D627" s="22"/>
    </row>
    <row r="628" spans="1:4" ht="12.75" customHeight="1">
      <c r="A628" s="22"/>
      <c r="B628" s="22"/>
      <c r="C628" s="22"/>
      <c r="D628" s="22"/>
    </row>
    <row r="629" spans="1:4" ht="12.75" customHeight="1">
      <c r="A629" s="22"/>
      <c r="B629" s="22"/>
      <c r="C629" s="22"/>
      <c r="D629" s="22"/>
    </row>
    <row r="630" spans="1:4" ht="12.75" customHeight="1">
      <c r="A630" s="22"/>
      <c r="B630" s="22"/>
      <c r="C630" s="22"/>
      <c r="D630" s="22"/>
    </row>
    <row r="631" spans="1:4" ht="12.75" customHeight="1">
      <c r="A631" s="22"/>
      <c r="B631" s="22"/>
      <c r="C631" s="22"/>
      <c r="D631" s="22"/>
    </row>
    <row r="632" spans="1:4" ht="12.75" customHeight="1">
      <c r="A632" s="22"/>
      <c r="B632" s="22"/>
      <c r="C632" s="22"/>
      <c r="D632" s="22"/>
    </row>
    <row r="633" spans="1:4" ht="12.75" customHeight="1">
      <c r="A633" s="22"/>
      <c r="B633" s="22"/>
      <c r="C633" s="22"/>
      <c r="D633" s="22"/>
    </row>
    <row r="634" spans="1:4" ht="12.75" customHeight="1">
      <c r="A634" s="22"/>
      <c r="B634" s="22"/>
      <c r="C634" s="22"/>
      <c r="D634" s="22"/>
    </row>
    <row r="635" spans="1:4" ht="12.75" customHeight="1">
      <c r="A635" s="22"/>
      <c r="B635" s="22"/>
      <c r="C635" s="22"/>
      <c r="D635" s="22"/>
    </row>
    <row r="636" spans="1:4" ht="12.75" customHeight="1">
      <c r="A636" s="22"/>
      <c r="B636" s="22"/>
      <c r="C636" s="22"/>
      <c r="D636" s="22"/>
    </row>
    <row r="637" spans="1:4" ht="12.75" customHeight="1">
      <c r="A637" s="22"/>
      <c r="B637" s="22"/>
      <c r="C637" s="22"/>
      <c r="D637" s="22"/>
    </row>
    <row r="638" spans="1:4" ht="12.75" customHeight="1">
      <c r="A638" s="22"/>
      <c r="B638" s="22"/>
      <c r="C638" s="22"/>
      <c r="D638" s="22"/>
    </row>
    <row r="639" spans="1:4" ht="12.75" customHeight="1">
      <c r="A639" s="22"/>
      <c r="B639" s="22"/>
      <c r="C639" s="22"/>
      <c r="D639" s="22"/>
    </row>
    <row r="640" spans="1:4" ht="12.75" customHeight="1">
      <c r="A640" s="22"/>
      <c r="B640" s="22"/>
      <c r="C640" s="22"/>
      <c r="D640" s="22"/>
    </row>
    <row r="641" spans="1:4" ht="12.75" customHeight="1">
      <c r="A641" s="22"/>
      <c r="B641" s="22"/>
      <c r="C641" s="22"/>
      <c r="D641" s="22"/>
    </row>
    <row r="642" spans="1:4" ht="12.75" customHeight="1">
      <c r="A642" s="22"/>
      <c r="B642" s="22"/>
      <c r="C642" s="22"/>
      <c r="D642" s="22"/>
    </row>
    <row r="643" spans="1:4" ht="12.75" customHeight="1">
      <c r="A643" s="22"/>
      <c r="B643" s="22"/>
      <c r="C643" s="22"/>
      <c r="D643" s="22"/>
    </row>
    <row r="644" spans="1:4" ht="12.75" customHeight="1">
      <c r="A644" s="22"/>
      <c r="B644" s="22"/>
      <c r="C644" s="22"/>
      <c r="D644" s="22"/>
    </row>
    <row r="645" spans="1:4" ht="12.75" customHeight="1">
      <c r="A645" s="22"/>
      <c r="B645" s="22"/>
      <c r="C645" s="22"/>
      <c r="D645" s="22"/>
    </row>
    <row r="646" spans="1:4" ht="12.75" customHeight="1">
      <c r="A646" s="22"/>
      <c r="B646" s="22"/>
      <c r="C646" s="22"/>
      <c r="D646" s="22"/>
    </row>
    <row r="647" spans="1:4" ht="12.75" customHeight="1">
      <c r="A647" s="22"/>
      <c r="B647" s="22"/>
      <c r="C647" s="22"/>
      <c r="D647" s="22"/>
    </row>
    <row r="648" spans="1:4" ht="12.75" customHeight="1">
      <c r="A648" s="22"/>
      <c r="B648" s="22"/>
      <c r="C648" s="22"/>
      <c r="D648" s="22"/>
    </row>
    <row r="649" spans="1:4" ht="12.75" customHeight="1">
      <c r="A649" s="22"/>
      <c r="B649" s="22"/>
      <c r="C649" s="22"/>
      <c r="D649" s="22"/>
    </row>
    <row r="650" spans="1:4" ht="12.75" customHeight="1">
      <c r="A650" s="22"/>
      <c r="B650" s="22"/>
      <c r="C650" s="22"/>
      <c r="D650" s="22"/>
    </row>
    <row r="651" spans="1:4" ht="12.75" customHeight="1">
      <c r="A651" s="22"/>
      <c r="B651" s="22"/>
      <c r="C651" s="22"/>
      <c r="D651" s="22"/>
    </row>
    <row r="652" spans="1:4" ht="12.75" customHeight="1">
      <c r="A652" s="22"/>
      <c r="B652" s="22"/>
      <c r="C652" s="22"/>
      <c r="D652" s="22"/>
    </row>
    <row r="653" spans="1:4" ht="12.75" customHeight="1">
      <c r="A653" s="22"/>
      <c r="B653" s="22"/>
      <c r="C653" s="22"/>
      <c r="D653" s="22"/>
    </row>
    <row r="654" spans="1:4" ht="12.75" customHeight="1">
      <c r="A654" s="22"/>
      <c r="B654" s="22"/>
      <c r="C654" s="22"/>
      <c r="D654" s="22"/>
    </row>
    <row r="655" spans="1:4" ht="12.75" customHeight="1">
      <c r="A655" s="22"/>
      <c r="B655" s="22"/>
      <c r="C655" s="22"/>
      <c r="D655" s="22"/>
    </row>
    <row r="656" spans="1:4" ht="12.75" customHeight="1">
      <c r="A656" s="22"/>
      <c r="B656" s="22"/>
      <c r="C656" s="22"/>
      <c r="D656" s="22"/>
    </row>
    <row r="657" spans="1:4" ht="12.75" customHeight="1">
      <c r="A657" s="22"/>
      <c r="B657" s="22"/>
      <c r="C657" s="22"/>
      <c r="D657" s="22"/>
    </row>
    <row r="658" spans="1:4" ht="12.75" customHeight="1">
      <c r="A658" s="22"/>
      <c r="B658" s="22"/>
      <c r="C658" s="22"/>
      <c r="D658" s="22"/>
    </row>
    <row r="659" spans="1:4" ht="12.75" customHeight="1">
      <c r="A659" s="22"/>
      <c r="B659" s="22"/>
      <c r="C659" s="22"/>
      <c r="D659" s="22"/>
    </row>
    <row r="660" spans="1:4" ht="12.75" customHeight="1">
      <c r="A660" s="22"/>
      <c r="B660" s="22"/>
      <c r="C660" s="22"/>
      <c r="D660" s="22"/>
    </row>
    <row r="661" spans="1:4" ht="12.75" customHeight="1">
      <c r="A661" s="22"/>
      <c r="B661" s="22"/>
      <c r="C661" s="22"/>
      <c r="D661" s="22"/>
    </row>
    <row r="662" spans="1:4" ht="12.75" customHeight="1">
      <c r="A662" s="22"/>
      <c r="B662" s="22"/>
      <c r="C662" s="22"/>
      <c r="D662" s="22"/>
    </row>
    <row r="663" spans="1:4" ht="12.75" customHeight="1">
      <c r="A663" s="22"/>
      <c r="B663" s="22"/>
      <c r="C663" s="22"/>
      <c r="D663" s="22"/>
    </row>
    <row r="664" spans="1:4" ht="12.75" customHeight="1">
      <c r="A664" s="22"/>
      <c r="B664" s="22"/>
      <c r="C664" s="22"/>
      <c r="D664" s="22"/>
    </row>
    <row r="665" spans="1:4" ht="12.75" customHeight="1">
      <c r="A665" s="22"/>
      <c r="B665" s="22"/>
      <c r="C665" s="22"/>
      <c r="D665" s="22"/>
    </row>
    <row r="666" spans="1:4" ht="12.75" customHeight="1">
      <c r="A666" s="22"/>
      <c r="B666" s="22"/>
      <c r="C666" s="22"/>
      <c r="D666" s="22"/>
    </row>
    <row r="667" spans="1:4" ht="12.75" customHeight="1">
      <c r="A667" s="22"/>
      <c r="B667" s="22"/>
      <c r="C667" s="22"/>
      <c r="D667" s="22"/>
    </row>
    <row r="668" spans="1:4" ht="12.75" customHeight="1">
      <c r="A668" s="22"/>
      <c r="B668" s="22"/>
      <c r="C668" s="22"/>
      <c r="D668" s="22"/>
    </row>
    <row r="669" spans="1:4" ht="12.75" customHeight="1">
      <c r="A669" s="22"/>
      <c r="B669" s="22"/>
      <c r="C669" s="22"/>
      <c r="D669" s="22"/>
    </row>
    <row r="670" spans="1:4" ht="12.75" customHeight="1">
      <c r="A670" s="22"/>
      <c r="B670" s="22"/>
      <c r="C670" s="22"/>
      <c r="D670" s="22"/>
    </row>
    <row r="671" spans="1:4" ht="12.75" customHeight="1">
      <c r="A671" s="22"/>
      <c r="B671" s="22"/>
      <c r="C671" s="22"/>
      <c r="D671" s="22"/>
    </row>
    <row r="672" spans="1:4" ht="12.75" customHeight="1">
      <c r="A672" s="22"/>
      <c r="B672" s="22"/>
      <c r="C672" s="22"/>
      <c r="D672" s="22"/>
    </row>
    <row r="673" spans="1:4" ht="12.75" customHeight="1">
      <c r="A673" s="22"/>
      <c r="B673" s="22"/>
      <c r="C673" s="22"/>
      <c r="D673" s="22"/>
    </row>
    <row r="674" spans="1:4" ht="12.75" customHeight="1">
      <c r="A674" s="22"/>
      <c r="B674" s="22"/>
      <c r="C674" s="22"/>
      <c r="D674" s="22"/>
    </row>
    <row r="675" spans="1:4" ht="12.75" customHeight="1">
      <c r="A675" s="22"/>
      <c r="B675" s="22"/>
      <c r="C675" s="22"/>
      <c r="D675" s="22"/>
    </row>
    <row r="676" spans="1:4" ht="12.75" customHeight="1">
      <c r="A676" s="22"/>
      <c r="B676" s="22"/>
      <c r="C676" s="22"/>
      <c r="D676" s="22"/>
    </row>
    <row r="677" spans="1:4" ht="12.75" customHeight="1">
      <c r="A677" s="22"/>
      <c r="B677" s="22"/>
      <c r="C677" s="22"/>
      <c r="D677" s="22"/>
    </row>
    <row r="678" spans="1:4" ht="12.75" customHeight="1">
      <c r="A678" s="22"/>
      <c r="B678" s="22"/>
      <c r="C678" s="22"/>
      <c r="D678" s="22"/>
    </row>
    <row r="679" spans="1:4" ht="12.75" customHeight="1">
      <c r="A679" s="22"/>
      <c r="B679" s="22"/>
      <c r="C679" s="22"/>
      <c r="D679" s="22"/>
    </row>
    <row r="680" spans="1:4" ht="12.75" customHeight="1">
      <c r="A680" s="22"/>
      <c r="B680" s="22"/>
      <c r="C680" s="22"/>
      <c r="D680" s="22"/>
    </row>
    <row r="681" spans="1:4" ht="12.75" customHeight="1">
      <c r="A681" s="22"/>
      <c r="B681" s="22"/>
      <c r="C681" s="22"/>
      <c r="D681" s="22"/>
    </row>
    <row r="682" spans="1:4" ht="12.75" customHeight="1">
      <c r="A682" s="22"/>
      <c r="B682" s="22"/>
      <c r="C682" s="22"/>
      <c r="D682" s="22"/>
    </row>
    <row r="683" spans="1:4" ht="12.75" customHeight="1">
      <c r="A683" s="22"/>
      <c r="B683" s="22"/>
      <c r="C683" s="22"/>
      <c r="D683" s="22"/>
    </row>
    <row r="684" spans="1:4" ht="12.75" customHeight="1">
      <c r="A684" s="22"/>
      <c r="B684" s="22"/>
      <c r="C684" s="22"/>
      <c r="D684" s="22"/>
    </row>
    <row r="685" spans="1:4" ht="12.75" customHeight="1">
      <c r="A685" s="22"/>
      <c r="B685" s="22"/>
      <c r="C685" s="22"/>
      <c r="D685" s="22"/>
    </row>
    <row r="686" spans="1:4" ht="12.75" customHeight="1">
      <c r="A686" s="22"/>
      <c r="B686" s="22"/>
      <c r="C686" s="22"/>
      <c r="D686" s="22"/>
    </row>
    <row r="687" spans="1:4" ht="12.75" customHeight="1">
      <c r="A687" s="22"/>
      <c r="B687" s="22"/>
      <c r="C687" s="22"/>
      <c r="D687" s="22"/>
    </row>
    <row r="688" spans="1:4" ht="12.75" customHeight="1">
      <c r="A688" s="22"/>
      <c r="B688" s="22"/>
      <c r="C688" s="22"/>
      <c r="D688" s="22"/>
    </row>
    <row r="689" spans="1:4" ht="12.75" customHeight="1">
      <c r="A689" s="22"/>
      <c r="B689" s="22"/>
      <c r="C689" s="22"/>
      <c r="D689" s="22"/>
    </row>
    <row r="690" spans="1:4" ht="12.75" customHeight="1">
      <c r="A690" s="22"/>
      <c r="B690" s="22"/>
      <c r="C690" s="22"/>
      <c r="D690" s="22"/>
    </row>
    <row r="691" spans="1:4" ht="12.75" customHeight="1">
      <c r="A691" s="22"/>
      <c r="B691" s="22"/>
      <c r="C691" s="22"/>
      <c r="D691" s="22"/>
    </row>
    <row r="692" spans="1:4" ht="12.75" customHeight="1">
      <c r="A692" s="22"/>
      <c r="B692" s="22"/>
      <c r="C692" s="22"/>
      <c r="D692" s="22"/>
    </row>
    <row r="693" spans="1:4" ht="12.75" customHeight="1">
      <c r="A693" s="22"/>
      <c r="B693" s="22"/>
      <c r="C693" s="22"/>
      <c r="D693" s="22"/>
    </row>
    <row r="694" spans="1:4" ht="12.75" customHeight="1">
      <c r="A694" s="22"/>
      <c r="B694" s="22"/>
      <c r="C694" s="22"/>
      <c r="D694" s="22"/>
    </row>
    <row r="695" spans="1:4" ht="12.75" customHeight="1">
      <c r="A695" s="22"/>
      <c r="B695" s="22"/>
      <c r="C695" s="22"/>
      <c r="D695" s="22"/>
    </row>
    <row r="696" spans="1:4" ht="12.75" customHeight="1">
      <c r="A696" s="22"/>
      <c r="B696" s="22"/>
      <c r="C696" s="22"/>
      <c r="D696" s="22"/>
    </row>
    <row r="697" spans="1:4" ht="12.75" customHeight="1">
      <c r="A697" s="22"/>
      <c r="B697" s="22"/>
      <c r="C697" s="22"/>
      <c r="D697" s="22"/>
    </row>
    <row r="698" spans="1:4" ht="12.75" customHeight="1">
      <c r="A698" s="22"/>
      <c r="B698" s="22"/>
      <c r="C698" s="22"/>
      <c r="D698" s="22"/>
    </row>
    <row r="699" spans="1:4" ht="12.75" customHeight="1">
      <c r="A699" s="22"/>
      <c r="B699" s="22"/>
      <c r="C699" s="22"/>
      <c r="D699" s="22"/>
    </row>
    <row r="700" spans="1:4" ht="12.75" customHeight="1">
      <c r="A700" s="22"/>
      <c r="B700" s="22"/>
      <c r="C700" s="22"/>
      <c r="D700" s="22"/>
    </row>
    <row r="701" spans="1:4" ht="12.75" customHeight="1">
      <c r="A701" s="22"/>
      <c r="B701" s="22"/>
      <c r="C701" s="22"/>
      <c r="D701" s="22"/>
    </row>
    <row r="702" spans="1:4" ht="12.75" customHeight="1">
      <c r="A702" s="22"/>
      <c r="B702" s="22"/>
      <c r="C702" s="22"/>
      <c r="D702" s="22"/>
    </row>
    <row r="703" spans="1:4" ht="12.75" customHeight="1">
      <c r="A703" s="22"/>
      <c r="B703" s="22"/>
      <c r="C703" s="22"/>
      <c r="D703" s="22"/>
    </row>
    <row r="704" spans="1:4" ht="12.75" customHeight="1">
      <c r="A704" s="22"/>
      <c r="B704" s="22"/>
      <c r="C704" s="22"/>
      <c r="D704" s="22"/>
    </row>
    <row r="705" spans="1:4" ht="12.75" customHeight="1">
      <c r="A705" s="22"/>
      <c r="B705" s="22"/>
      <c r="C705" s="22"/>
      <c r="D705" s="22"/>
    </row>
    <row r="706" spans="1:4" ht="12.75" customHeight="1">
      <c r="A706" s="22"/>
      <c r="B706" s="22"/>
      <c r="C706" s="22"/>
      <c r="D706" s="22"/>
    </row>
    <row r="707" spans="1:4" ht="12.75" customHeight="1">
      <c r="A707" s="22"/>
      <c r="B707" s="22"/>
      <c r="C707" s="22"/>
      <c r="D707" s="22"/>
    </row>
    <row r="708" spans="1:4" ht="12.75" customHeight="1">
      <c r="A708" s="22"/>
      <c r="B708" s="22"/>
      <c r="C708" s="22"/>
      <c r="D708" s="22"/>
    </row>
    <row r="709" spans="1:4" ht="12.75" customHeight="1">
      <c r="A709" s="22"/>
      <c r="B709" s="22"/>
      <c r="C709" s="22"/>
      <c r="D709" s="22"/>
    </row>
    <row r="710" spans="1:4" ht="12.75" customHeight="1">
      <c r="A710" s="22"/>
      <c r="B710" s="22"/>
      <c r="C710" s="22"/>
      <c r="D710" s="22"/>
    </row>
    <row r="711" spans="1:4" ht="12.75" customHeight="1">
      <c r="A711" s="22"/>
      <c r="B711" s="22"/>
      <c r="C711" s="22"/>
      <c r="D711" s="22"/>
    </row>
    <row r="712" spans="1:4" ht="12.75" customHeight="1">
      <c r="A712" s="22"/>
      <c r="B712" s="22"/>
      <c r="C712" s="22"/>
      <c r="D712" s="22"/>
    </row>
    <row r="713" spans="1:4" ht="12.75" customHeight="1">
      <c r="A713" s="22"/>
      <c r="B713" s="22"/>
      <c r="C713" s="22"/>
      <c r="D713" s="22"/>
    </row>
    <row r="714" spans="1:4" ht="12.75" customHeight="1">
      <c r="A714" s="22"/>
      <c r="B714" s="22"/>
      <c r="C714" s="22"/>
      <c r="D714" s="22"/>
    </row>
    <row r="715" spans="1:4" ht="12.75" customHeight="1">
      <c r="A715" s="22"/>
      <c r="B715" s="22"/>
      <c r="C715" s="22"/>
      <c r="D715" s="22"/>
    </row>
    <row r="716" spans="1:4" ht="12.75" customHeight="1">
      <c r="A716" s="22"/>
      <c r="B716" s="22"/>
      <c r="C716" s="22"/>
      <c r="D716" s="22"/>
    </row>
    <row r="717" spans="1:4" ht="12.75" customHeight="1">
      <c r="A717" s="22"/>
      <c r="B717" s="22"/>
      <c r="C717" s="22"/>
      <c r="D717" s="22"/>
    </row>
    <row r="718" spans="1:4" ht="12.75" customHeight="1">
      <c r="A718" s="22"/>
      <c r="B718" s="22"/>
      <c r="C718" s="22"/>
      <c r="D718" s="22"/>
    </row>
    <row r="719" spans="1:4" ht="12.75" customHeight="1">
      <c r="A719" s="22"/>
      <c r="B719" s="22"/>
      <c r="C719" s="22"/>
      <c r="D719" s="22"/>
    </row>
    <row r="720" spans="1:4" ht="12.75" customHeight="1">
      <c r="A720" s="22"/>
      <c r="B720" s="22"/>
      <c r="C720" s="22"/>
      <c r="D720" s="22"/>
    </row>
    <row r="721" spans="1:4" ht="12.75" customHeight="1">
      <c r="A721" s="22"/>
      <c r="B721" s="22"/>
      <c r="C721" s="22"/>
      <c r="D721" s="22"/>
    </row>
    <row r="722" spans="1:4" ht="12.75" customHeight="1">
      <c r="A722" s="22"/>
      <c r="B722" s="22"/>
      <c r="C722" s="22"/>
      <c r="D722" s="22"/>
    </row>
    <row r="723" spans="1:4" ht="12.75" customHeight="1">
      <c r="A723" s="22"/>
      <c r="B723" s="22"/>
      <c r="C723" s="22"/>
      <c r="D723" s="22"/>
    </row>
    <row r="724" spans="1:4" ht="12.75" customHeight="1">
      <c r="A724" s="22"/>
      <c r="B724" s="22"/>
      <c r="C724" s="22"/>
      <c r="D724" s="22"/>
    </row>
    <row r="725" spans="1:4" ht="12.75" customHeight="1">
      <c r="A725" s="22"/>
      <c r="B725" s="22"/>
      <c r="C725" s="22"/>
      <c r="D725" s="22"/>
    </row>
    <row r="726" spans="1:4" ht="12.75" customHeight="1">
      <c r="A726" s="22"/>
      <c r="B726" s="22"/>
      <c r="C726" s="22"/>
      <c r="D726" s="22"/>
    </row>
    <row r="727" spans="1:4" ht="12.75" customHeight="1">
      <c r="A727" s="22"/>
      <c r="B727" s="22"/>
      <c r="C727" s="22"/>
      <c r="D727" s="22"/>
    </row>
    <row r="728" spans="1:4" ht="12.75" customHeight="1">
      <c r="A728" s="22"/>
      <c r="B728" s="22"/>
      <c r="C728" s="22"/>
      <c r="D728" s="22"/>
    </row>
    <row r="729" spans="1:4" ht="12.75" customHeight="1">
      <c r="A729" s="22"/>
      <c r="B729" s="22"/>
      <c r="C729" s="22"/>
      <c r="D729" s="22"/>
    </row>
    <row r="730" spans="1:4" ht="12.75" customHeight="1">
      <c r="A730" s="22"/>
      <c r="B730" s="22"/>
      <c r="C730" s="22"/>
      <c r="D730" s="22"/>
    </row>
    <row r="731" spans="1:4" ht="12.75" customHeight="1">
      <c r="A731" s="22"/>
      <c r="B731" s="22"/>
      <c r="C731" s="22"/>
      <c r="D731" s="22"/>
    </row>
    <row r="732" spans="1:4" ht="12.75" customHeight="1">
      <c r="A732" s="22"/>
      <c r="B732" s="22"/>
      <c r="C732" s="22"/>
      <c r="D732" s="22"/>
    </row>
    <row r="733" spans="1:4" ht="12.75" customHeight="1">
      <c r="A733" s="22"/>
      <c r="B733" s="22"/>
      <c r="C733" s="22"/>
      <c r="D733" s="22"/>
    </row>
    <row r="734" spans="1:4" ht="12.75" customHeight="1">
      <c r="A734" s="22"/>
      <c r="B734" s="22"/>
      <c r="C734" s="22"/>
      <c r="D734" s="22"/>
    </row>
    <row r="735" spans="1:4" ht="12.75" customHeight="1">
      <c r="A735" s="22"/>
      <c r="B735" s="22"/>
      <c r="C735" s="22"/>
      <c r="D735" s="22"/>
    </row>
    <row r="736" spans="1:4" ht="12.75" customHeight="1">
      <c r="A736" s="22"/>
      <c r="B736" s="22"/>
      <c r="C736" s="22"/>
      <c r="D736" s="22"/>
    </row>
    <row r="737" spans="1:4" ht="12.75" customHeight="1">
      <c r="A737" s="22"/>
      <c r="B737" s="22"/>
      <c r="C737" s="22"/>
      <c r="D737" s="22"/>
    </row>
    <row r="738" spans="1:4" ht="12.75" customHeight="1">
      <c r="A738" s="22"/>
      <c r="B738" s="22"/>
      <c r="C738" s="22"/>
      <c r="D738" s="22"/>
    </row>
    <row r="739" spans="1:4" ht="12.75" customHeight="1">
      <c r="A739" s="22"/>
      <c r="B739" s="22"/>
      <c r="C739" s="22"/>
      <c r="D739" s="22"/>
    </row>
    <row r="740" spans="1:4" ht="12.75" customHeight="1">
      <c r="A740" s="22"/>
      <c r="B740" s="22"/>
      <c r="C740" s="22"/>
      <c r="D740" s="22"/>
    </row>
    <row r="741" spans="1:4" ht="12.75" customHeight="1">
      <c r="A741" s="22"/>
      <c r="B741" s="22"/>
      <c r="C741" s="22"/>
      <c r="D741" s="22"/>
    </row>
    <row r="742" spans="1:4" ht="12.75" customHeight="1">
      <c r="A742" s="22"/>
      <c r="B742" s="22"/>
      <c r="C742" s="22"/>
      <c r="D742" s="22"/>
    </row>
    <row r="743" spans="1:4" ht="12.75" customHeight="1">
      <c r="A743" s="22"/>
      <c r="B743" s="22"/>
      <c r="C743" s="22"/>
      <c r="D743" s="22"/>
    </row>
    <row r="744" spans="1:4" ht="12.75" customHeight="1">
      <c r="A744" s="22"/>
      <c r="B744" s="22"/>
      <c r="C744" s="22"/>
      <c r="D744" s="22"/>
    </row>
    <row r="745" spans="1:4" ht="12.75" customHeight="1">
      <c r="A745" s="22"/>
      <c r="B745" s="22"/>
      <c r="C745" s="22"/>
      <c r="D745" s="22"/>
    </row>
    <row r="746" spans="1:4" ht="12.75" customHeight="1">
      <c r="A746" s="22"/>
      <c r="B746" s="22"/>
      <c r="C746" s="22"/>
      <c r="D746" s="22"/>
    </row>
    <row r="747" spans="1:4" ht="12.75" customHeight="1">
      <c r="A747" s="22"/>
      <c r="B747" s="22"/>
      <c r="C747" s="22"/>
      <c r="D747" s="22"/>
    </row>
    <row r="748" spans="1:4" ht="12.75" customHeight="1">
      <c r="A748" s="22"/>
      <c r="B748" s="22"/>
      <c r="C748" s="22"/>
      <c r="D748" s="22"/>
    </row>
    <row r="749" spans="1:4" ht="12.75" customHeight="1">
      <c r="A749" s="22"/>
      <c r="B749" s="22"/>
      <c r="C749" s="22"/>
      <c r="D749" s="22"/>
    </row>
    <row r="750" spans="1:4" ht="12.75" customHeight="1">
      <c r="A750" s="22"/>
      <c r="B750" s="22"/>
      <c r="C750" s="22"/>
      <c r="D750" s="22"/>
    </row>
    <row r="751" spans="1:4" ht="12.75" customHeight="1">
      <c r="A751" s="22"/>
      <c r="B751" s="22"/>
      <c r="C751" s="22"/>
      <c r="D751" s="22"/>
    </row>
    <row r="752" spans="1:4" ht="12.75" customHeight="1">
      <c r="A752" s="22"/>
      <c r="B752" s="22"/>
      <c r="C752" s="22"/>
      <c r="D752" s="22"/>
    </row>
    <row r="753" spans="1:4" ht="12.75" customHeight="1">
      <c r="A753" s="22"/>
      <c r="B753" s="22"/>
      <c r="C753" s="22"/>
      <c r="D753" s="22"/>
    </row>
    <row r="754" spans="1:4" ht="12.75" customHeight="1">
      <c r="A754" s="22"/>
      <c r="B754" s="22"/>
      <c r="C754" s="22"/>
      <c r="D754" s="22"/>
    </row>
    <row r="755" spans="1:4" ht="12.75" customHeight="1">
      <c r="A755" s="22"/>
      <c r="B755" s="22"/>
      <c r="C755" s="22"/>
      <c r="D755" s="22"/>
    </row>
    <row r="756" spans="1:4" ht="12.75" customHeight="1">
      <c r="A756" s="22"/>
      <c r="B756" s="22"/>
      <c r="C756" s="22"/>
      <c r="D756" s="22"/>
    </row>
    <row r="757" spans="1:4" ht="12.75" customHeight="1">
      <c r="A757" s="22"/>
      <c r="B757" s="22"/>
      <c r="C757" s="22"/>
      <c r="D757" s="22"/>
    </row>
    <row r="758" spans="1:4" ht="12.75" customHeight="1">
      <c r="A758" s="22"/>
      <c r="B758" s="22"/>
      <c r="C758" s="22"/>
      <c r="D758" s="22"/>
    </row>
    <row r="759" spans="1:4" ht="12.75" customHeight="1">
      <c r="A759" s="22"/>
      <c r="B759" s="22"/>
      <c r="C759" s="22"/>
      <c r="D759" s="22"/>
    </row>
    <row r="760" spans="1:4" ht="12.75" customHeight="1">
      <c r="A760" s="22"/>
      <c r="B760" s="22"/>
      <c r="C760" s="22"/>
      <c r="D760" s="22"/>
    </row>
    <row r="761" spans="1:4" ht="12.75" customHeight="1">
      <c r="A761" s="22"/>
      <c r="B761" s="22"/>
      <c r="C761" s="22"/>
      <c r="D761" s="22"/>
    </row>
    <row r="762" spans="1:4" ht="12.75" customHeight="1">
      <c r="A762" s="22"/>
      <c r="B762" s="22"/>
      <c r="C762" s="22"/>
      <c r="D762" s="22"/>
    </row>
    <row r="763" spans="1:4" ht="12.75" customHeight="1">
      <c r="A763" s="22"/>
      <c r="B763" s="22"/>
      <c r="C763" s="22"/>
      <c r="D763" s="22"/>
    </row>
    <row r="764" spans="1:4" ht="12.75" customHeight="1">
      <c r="A764" s="22"/>
      <c r="B764" s="22"/>
      <c r="C764" s="22"/>
      <c r="D764" s="22"/>
    </row>
    <row r="765" spans="1:4" ht="12.75" customHeight="1">
      <c r="A765" s="22"/>
      <c r="B765" s="22"/>
      <c r="C765" s="22"/>
      <c r="D765" s="22"/>
    </row>
    <row r="766" spans="1:4" ht="12.75" customHeight="1">
      <c r="A766" s="22"/>
      <c r="B766" s="22"/>
      <c r="C766" s="22"/>
      <c r="D766" s="22"/>
    </row>
    <row r="767" spans="1:4" ht="12.75" customHeight="1">
      <c r="A767" s="22"/>
      <c r="B767" s="22"/>
      <c r="C767" s="22"/>
      <c r="D767" s="22"/>
    </row>
    <row r="768" spans="1:4" ht="12.75" customHeight="1">
      <c r="A768" s="22"/>
      <c r="B768" s="22"/>
      <c r="C768" s="22"/>
      <c r="D768" s="22"/>
    </row>
    <row r="769" spans="1:4" ht="12.75" customHeight="1">
      <c r="A769" s="22"/>
      <c r="B769" s="22"/>
      <c r="C769" s="22"/>
      <c r="D769" s="22"/>
    </row>
    <row r="770" spans="1:4" ht="12.75" customHeight="1">
      <c r="A770" s="22"/>
      <c r="B770" s="22"/>
      <c r="C770" s="22"/>
      <c r="D770" s="22"/>
    </row>
    <row r="771" spans="1:4" ht="12.75" customHeight="1">
      <c r="A771" s="22"/>
      <c r="B771" s="22"/>
      <c r="C771" s="22"/>
      <c r="D771" s="22"/>
    </row>
    <row r="772" spans="1:4" ht="12.75" customHeight="1">
      <c r="A772" s="22"/>
      <c r="B772" s="22"/>
      <c r="C772" s="22"/>
      <c r="D772" s="22"/>
    </row>
    <row r="773" spans="1:4" ht="12.75" customHeight="1">
      <c r="A773" s="22"/>
      <c r="B773" s="22"/>
      <c r="C773" s="22"/>
      <c r="D773" s="22"/>
    </row>
    <row r="774" spans="1:4" ht="12.75" customHeight="1">
      <c r="A774" s="22"/>
      <c r="B774" s="22"/>
      <c r="C774" s="22"/>
      <c r="D774" s="22"/>
    </row>
    <row r="775" spans="1:4" ht="12.75" customHeight="1">
      <c r="A775" s="22"/>
      <c r="B775" s="22"/>
      <c r="C775" s="22"/>
      <c r="D775" s="22"/>
    </row>
    <row r="776" spans="1:4" ht="12.75" customHeight="1">
      <c r="A776" s="22"/>
      <c r="B776" s="22"/>
      <c r="C776" s="22"/>
      <c r="D776" s="22"/>
    </row>
    <row r="777" spans="1:4" ht="12.75" customHeight="1">
      <c r="A777" s="22"/>
      <c r="B777" s="22"/>
      <c r="C777" s="22"/>
      <c r="D777" s="22"/>
    </row>
    <row r="778" spans="1:4" ht="12.75" customHeight="1">
      <c r="A778" s="22"/>
      <c r="B778" s="22"/>
      <c r="C778" s="22"/>
      <c r="D778" s="22"/>
    </row>
    <row r="779" spans="1:4" ht="12.75" customHeight="1">
      <c r="A779" s="22"/>
      <c r="B779" s="22"/>
      <c r="C779" s="22"/>
      <c r="D779" s="22"/>
    </row>
    <row r="780" spans="1:4" ht="12.75" customHeight="1">
      <c r="A780" s="22"/>
      <c r="B780" s="22"/>
      <c r="C780" s="22"/>
      <c r="D780" s="22"/>
    </row>
    <row r="781" spans="1:4" ht="12.75" customHeight="1">
      <c r="A781" s="22"/>
      <c r="B781" s="22"/>
      <c r="C781" s="22"/>
      <c r="D781" s="22"/>
    </row>
    <row r="782" spans="1:4" ht="12.75" customHeight="1">
      <c r="A782" s="22"/>
      <c r="B782" s="22"/>
      <c r="C782" s="22"/>
      <c r="D782" s="22"/>
    </row>
    <row r="783" spans="1:4" ht="12.75" customHeight="1">
      <c r="A783" s="22"/>
      <c r="B783" s="22"/>
      <c r="C783" s="22"/>
      <c r="D783" s="22"/>
    </row>
    <row r="784" spans="1:4" ht="12.75" customHeight="1">
      <c r="A784" s="22"/>
      <c r="B784" s="22"/>
      <c r="C784" s="22"/>
      <c r="D784" s="22"/>
    </row>
    <row r="785" spans="1:4" ht="12.75" customHeight="1">
      <c r="A785" s="22"/>
      <c r="B785" s="22"/>
      <c r="C785" s="22"/>
      <c r="D785" s="22"/>
    </row>
    <row r="786" spans="1:4" ht="12.75" customHeight="1">
      <c r="A786" s="22"/>
      <c r="B786" s="22"/>
      <c r="C786" s="22"/>
      <c r="D786" s="22"/>
    </row>
    <row r="787" spans="1:4" ht="12.75" customHeight="1">
      <c r="A787" s="22"/>
      <c r="B787" s="22"/>
      <c r="C787" s="22"/>
      <c r="D787" s="22"/>
    </row>
    <row r="788" spans="1:4" ht="12.75" customHeight="1">
      <c r="A788" s="22"/>
      <c r="B788" s="22"/>
      <c r="C788" s="22"/>
      <c r="D788" s="22"/>
    </row>
    <row r="789" spans="1:4" ht="12.75" customHeight="1">
      <c r="A789" s="22"/>
      <c r="B789" s="22"/>
      <c r="C789" s="22"/>
      <c r="D789" s="22"/>
    </row>
    <row r="790" spans="1:4" ht="12.75" customHeight="1">
      <c r="A790" s="22"/>
      <c r="B790" s="22"/>
      <c r="C790" s="22"/>
      <c r="D790" s="22"/>
    </row>
    <row r="791" spans="1:4" ht="12.75" customHeight="1">
      <c r="A791" s="22"/>
      <c r="B791" s="22"/>
      <c r="C791" s="22"/>
      <c r="D791" s="22"/>
    </row>
    <row r="792" spans="1:4" ht="12.75" customHeight="1">
      <c r="A792" s="22"/>
      <c r="B792" s="22"/>
      <c r="C792" s="22"/>
      <c r="D792" s="22"/>
    </row>
    <row r="793" spans="1:4" ht="12.75" customHeight="1">
      <c r="A793" s="22"/>
      <c r="B793" s="22"/>
      <c r="C793" s="22"/>
      <c r="D793" s="22"/>
    </row>
    <row r="794" spans="1:4" ht="12.75" customHeight="1">
      <c r="A794" s="22"/>
      <c r="B794" s="22"/>
      <c r="C794" s="22"/>
      <c r="D794" s="22"/>
    </row>
    <row r="795" spans="1:4" ht="12.75" customHeight="1">
      <c r="A795" s="22"/>
      <c r="B795" s="22"/>
      <c r="C795" s="22"/>
      <c r="D795" s="22"/>
    </row>
    <row r="796" spans="1:4" ht="12.75" customHeight="1">
      <c r="A796" s="22"/>
      <c r="B796" s="22"/>
      <c r="C796" s="22"/>
      <c r="D796" s="22"/>
    </row>
    <row r="797" spans="1:4" ht="12.75" customHeight="1">
      <c r="A797" s="22"/>
      <c r="B797" s="22"/>
      <c r="C797" s="22"/>
      <c r="D797" s="22"/>
    </row>
    <row r="798" spans="1:4" ht="12.75" customHeight="1">
      <c r="A798" s="22"/>
      <c r="B798" s="22"/>
      <c r="C798" s="22"/>
      <c r="D798" s="22"/>
    </row>
    <row r="799" spans="1:4" ht="12.75" customHeight="1">
      <c r="A799" s="22"/>
      <c r="B799" s="22"/>
      <c r="C799" s="22"/>
      <c r="D799" s="22"/>
    </row>
    <row r="800" spans="1:4" ht="12.75" customHeight="1">
      <c r="A800" s="22"/>
      <c r="B800" s="22"/>
      <c r="C800" s="22"/>
      <c r="D800" s="22"/>
    </row>
    <row r="801" spans="1:4" ht="12.75" customHeight="1">
      <c r="A801" s="22"/>
      <c r="B801" s="22"/>
      <c r="C801" s="22"/>
      <c r="D801" s="22"/>
    </row>
    <row r="802" spans="1:4" ht="12.75" customHeight="1">
      <c r="A802" s="22"/>
      <c r="B802" s="22"/>
      <c r="C802" s="22"/>
      <c r="D802" s="22"/>
    </row>
    <row r="803" spans="1:4" ht="12.75" customHeight="1">
      <c r="A803" s="22"/>
      <c r="B803" s="22"/>
      <c r="C803" s="22"/>
      <c r="D803" s="22"/>
    </row>
    <row r="804" spans="1:4" ht="12.75" customHeight="1">
      <c r="A804" s="22"/>
      <c r="B804" s="22"/>
      <c r="C804" s="22"/>
      <c r="D804" s="22"/>
    </row>
    <row r="805" spans="1:4" ht="12.75" customHeight="1">
      <c r="A805" s="22"/>
      <c r="B805" s="22"/>
      <c r="C805" s="22"/>
      <c r="D805" s="22"/>
    </row>
    <row r="806" spans="1:4" ht="12.75" customHeight="1">
      <c r="A806" s="22"/>
      <c r="B806" s="22"/>
      <c r="C806" s="22"/>
      <c r="D806" s="22"/>
    </row>
    <row r="807" spans="1:4" ht="12.75" customHeight="1">
      <c r="A807" s="22"/>
      <c r="B807" s="22"/>
      <c r="C807" s="22"/>
      <c r="D807" s="22"/>
    </row>
    <row r="808" spans="1:4" ht="12.75" customHeight="1">
      <c r="A808" s="22"/>
      <c r="B808" s="22"/>
      <c r="C808" s="22"/>
      <c r="D808" s="22"/>
    </row>
    <row r="809" spans="1:4" ht="12.75" customHeight="1">
      <c r="A809" s="22"/>
      <c r="B809" s="22"/>
      <c r="C809" s="22"/>
      <c r="D809" s="22"/>
    </row>
    <row r="810" spans="1:4" ht="12.75" customHeight="1">
      <c r="A810" s="22"/>
      <c r="B810" s="22"/>
      <c r="C810" s="22"/>
      <c r="D810" s="22"/>
    </row>
    <row r="811" spans="1:4" ht="12.75" customHeight="1">
      <c r="A811" s="22"/>
      <c r="B811" s="22"/>
      <c r="C811" s="22"/>
      <c r="D811" s="22"/>
    </row>
    <row r="812" spans="1:4" ht="12.75" customHeight="1">
      <c r="A812" s="22"/>
      <c r="B812" s="22"/>
      <c r="C812" s="22"/>
      <c r="D812" s="22"/>
    </row>
    <row r="813" spans="1:4" ht="12.75" customHeight="1">
      <c r="A813" s="22"/>
      <c r="B813" s="22"/>
      <c r="C813" s="22"/>
      <c r="D813" s="22"/>
    </row>
    <row r="814" spans="1:4" ht="12.75" customHeight="1">
      <c r="A814" s="22"/>
      <c r="B814" s="22"/>
      <c r="C814" s="22"/>
      <c r="D814" s="22"/>
    </row>
    <row r="815" spans="1:4" ht="12.75" customHeight="1">
      <c r="A815" s="22"/>
      <c r="B815" s="22"/>
      <c r="C815" s="22"/>
      <c r="D815" s="22"/>
    </row>
    <row r="816" spans="1:4" ht="12.75" customHeight="1">
      <c r="A816" s="22"/>
      <c r="B816" s="22"/>
      <c r="C816" s="22"/>
      <c r="D816" s="22"/>
    </row>
    <row r="817" spans="1:4" ht="12.75" customHeight="1">
      <c r="A817" s="22"/>
      <c r="B817" s="22"/>
      <c r="C817" s="22"/>
      <c r="D817" s="22"/>
    </row>
    <row r="818" spans="1:4" ht="12.75" customHeight="1">
      <c r="A818" s="22"/>
      <c r="B818" s="22"/>
      <c r="C818" s="22"/>
      <c r="D818" s="22"/>
    </row>
    <row r="819" spans="1:4" ht="12.75" customHeight="1">
      <c r="A819" s="22"/>
      <c r="B819" s="22"/>
      <c r="C819" s="22"/>
      <c r="D819" s="22"/>
    </row>
    <row r="820" spans="1:4" ht="12.75" customHeight="1">
      <c r="A820" s="22"/>
      <c r="B820" s="22"/>
      <c r="C820" s="22"/>
      <c r="D820" s="22"/>
    </row>
    <row r="821" spans="1:4" ht="12.75" customHeight="1">
      <c r="A821" s="22"/>
      <c r="B821" s="22"/>
      <c r="C821" s="22"/>
      <c r="D821" s="22"/>
    </row>
    <row r="822" spans="1:4" ht="12.75" customHeight="1">
      <c r="A822" s="22"/>
      <c r="B822" s="22"/>
      <c r="C822" s="22"/>
      <c r="D822" s="22"/>
    </row>
    <row r="823" spans="1:4" ht="12.75" customHeight="1">
      <c r="A823" s="22"/>
      <c r="B823" s="22"/>
      <c r="C823" s="22"/>
      <c r="D823" s="22"/>
    </row>
    <row r="824" spans="1:4" ht="12.75" customHeight="1">
      <c r="A824" s="22"/>
      <c r="B824" s="22"/>
      <c r="C824" s="22"/>
      <c r="D824" s="22"/>
    </row>
    <row r="825" spans="1:4" ht="12.75" customHeight="1">
      <c r="A825" s="22"/>
      <c r="B825" s="22"/>
      <c r="C825" s="22"/>
      <c r="D825" s="22"/>
    </row>
    <row r="826" spans="1:4" ht="12.75" customHeight="1">
      <c r="A826" s="22"/>
      <c r="B826" s="22"/>
      <c r="C826" s="22"/>
      <c r="D826" s="22"/>
    </row>
    <row r="827" spans="1:4" ht="12.75" customHeight="1">
      <c r="A827" s="22"/>
      <c r="B827" s="22"/>
      <c r="C827" s="22"/>
      <c r="D827" s="22"/>
    </row>
    <row r="828" spans="1:4" ht="12.75" customHeight="1">
      <c r="A828" s="22"/>
      <c r="B828" s="22"/>
      <c r="C828" s="22"/>
      <c r="D828" s="22"/>
    </row>
    <row r="829" spans="1:4" ht="12.75" customHeight="1">
      <c r="A829" s="22"/>
      <c r="B829" s="22"/>
      <c r="C829" s="22"/>
      <c r="D829" s="22"/>
    </row>
    <row r="830" spans="1:4" ht="12.75" customHeight="1">
      <c r="A830" s="22"/>
      <c r="B830" s="22"/>
      <c r="C830" s="22"/>
      <c r="D830" s="22"/>
    </row>
    <row r="831" spans="1:4" ht="12.75" customHeight="1">
      <c r="A831" s="22"/>
      <c r="B831" s="22"/>
      <c r="C831" s="22"/>
      <c r="D831" s="22"/>
    </row>
    <row r="832" spans="1:4" ht="12.75" customHeight="1">
      <c r="A832" s="22"/>
      <c r="B832" s="22"/>
      <c r="C832" s="22"/>
      <c r="D832" s="22"/>
    </row>
    <row r="833" spans="1:4" ht="12.75" customHeight="1">
      <c r="A833" s="22"/>
      <c r="B833" s="22"/>
      <c r="C833" s="22"/>
      <c r="D833" s="22"/>
    </row>
    <row r="834" spans="1:4" ht="12.75" customHeight="1">
      <c r="A834" s="22"/>
      <c r="B834" s="22"/>
      <c r="C834" s="22"/>
      <c r="D834" s="22"/>
    </row>
    <row r="835" spans="1:4" ht="12.75" customHeight="1">
      <c r="A835" s="22"/>
      <c r="B835" s="22"/>
      <c r="C835" s="22"/>
      <c r="D835" s="22"/>
    </row>
    <row r="836" spans="1:4" ht="12.75" customHeight="1">
      <c r="A836" s="22"/>
      <c r="B836" s="22"/>
      <c r="C836" s="22"/>
      <c r="D836" s="22"/>
    </row>
    <row r="837" spans="1:4" ht="12.75" customHeight="1">
      <c r="A837" s="22"/>
      <c r="B837" s="22"/>
      <c r="C837" s="22"/>
      <c r="D837" s="22"/>
    </row>
    <row r="838" spans="1:4" ht="12.75" customHeight="1">
      <c r="A838" s="22"/>
      <c r="B838" s="22"/>
      <c r="C838" s="22"/>
      <c r="D838" s="22"/>
    </row>
    <row r="839" spans="1:4" ht="12.75" customHeight="1">
      <c r="A839" s="22"/>
      <c r="B839" s="22"/>
      <c r="C839" s="22"/>
      <c r="D839" s="22"/>
    </row>
    <row r="840" spans="1:4" ht="12.75" customHeight="1">
      <c r="A840" s="22"/>
      <c r="B840" s="22"/>
      <c r="C840" s="22"/>
      <c r="D840" s="22"/>
    </row>
    <row r="841" spans="1:4" ht="12.75" customHeight="1">
      <c r="A841" s="22"/>
      <c r="B841" s="22"/>
      <c r="C841" s="22"/>
      <c r="D841" s="22"/>
    </row>
    <row r="842" spans="1:4" ht="12.75" customHeight="1">
      <c r="A842" s="22"/>
      <c r="B842" s="22"/>
      <c r="C842" s="22"/>
      <c r="D842" s="22"/>
    </row>
    <row r="843" spans="1:4" ht="12.75" customHeight="1">
      <c r="A843" s="22"/>
      <c r="B843" s="22"/>
      <c r="C843" s="22"/>
      <c r="D843" s="22"/>
    </row>
    <row r="844" spans="1:4" ht="12.75" customHeight="1">
      <c r="A844" s="22"/>
      <c r="B844" s="22"/>
      <c r="C844" s="22"/>
      <c r="D844" s="22"/>
    </row>
    <row r="845" spans="1:4" ht="12.75" customHeight="1">
      <c r="A845" s="22"/>
      <c r="B845" s="22"/>
      <c r="C845" s="22"/>
      <c r="D845" s="22"/>
    </row>
    <row r="846" spans="1:4" ht="12.75" customHeight="1">
      <c r="A846" s="22"/>
      <c r="B846" s="22"/>
      <c r="C846" s="22"/>
      <c r="D846" s="22"/>
    </row>
    <row r="847" spans="1:4" ht="12.75" customHeight="1">
      <c r="A847" s="22"/>
      <c r="B847" s="22"/>
      <c r="C847" s="22"/>
      <c r="D847" s="22"/>
    </row>
    <row r="848" spans="1:4" ht="12.75" customHeight="1">
      <c r="A848" s="22"/>
      <c r="B848" s="22"/>
      <c r="C848" s="22"/>
      <c r="D848" s="22"/>
    </row>
    <row r="849" spans="1:4" ht="12.75" customHeight="1">
      <c r="A849" s="22"/>
      <c r="B849" s="22"/>
      <c r="C849" s="22"/>
      <c r="D849" s="22"/>
    </row>
    <row r="850" spans="1:4" ht="12.75" customHeight="1">
      <c r="A850" s="22"/>
      <c r="B850" s="22"/>
      <c r="C850" s="22"/>
      <c r="D850" s="22"/>
    </row>
    <row r="851" spans="1:4" ht="12.75" customHeight="1">
      <c r="A851" s="22"/>
      <c r="B851" s="22"/>
      <c r="C851" s="22"/>
      <c r="D851" s="22"/>
    </row>
    <row r="852" spans="1:4" ht="12.75" customHeight="1">
      <c r="A852" s="22"/>
      <c r="B852" s="22"/>
      <c r="C852" s="22"/>
      <c r="D852" s="22"/>
    </row>
    <row r="853" spans="1:4" ht="12.75" customHeight="1">
      <c r="A853" s="22"/>
      <c r="B853" s="22"/>
      <c r="C853" s="22"/>
      <c r="D853" s="22"/>
    </row>
    <row r="854" spans="1:4" ht="12.75" customHeight="1">
      <c r="A854" s="22"/>
      <c r="B854" s="22"/>
      <c r="C854" s="22"/>
      <c r="D854" s="22"/>
    </row>
    <row r="855" spans="1:4" ht="12.75" customHeight="1">
      <c r="A855" s="22"/>
      <c r="B855" s="22"/>
      <c r="C855" s="22"/>
      <c r="D855" s="22"/>
    </row>
    <row r="856" spans="1:4" ht="12.75" customHeight="1">
      <c r="A856" s="22"/>
      <c r="B856" s="22"/>
      <c r="C856" s="22"/>
      <c r="D856" s="22"/>
    </row>
    <row r="857" spans="1:4" ht="12.75" customHeight="1">
      <c r="A857" s="22"/>
      <c r="B857" s="22"/>
      <c r="C857" s="22"/>
      <c r="D857" s="22"/>
    </row>
    <row r="858" spans="1:4" ht="12.75" customHeight="1">
      <c r="A858" s="22"/>
      <c r="B858" s="22"/>
      <c r="C858" s="22"/>
      <c r="D858" s="22"/>
    </row>
    <row r="859" spans="1:4" ht="12.75" customHeight="1">
      <c r="A859" s="22"/>
      <c r="B859" s="22"/>
      <c r="C859" s="22"/>
      <c r="D859" s="22"/>
    </row>
    <row r="860" spans="1:4" ht="12.75" customHeight="1">
      <c r="A860" s="22"/>
      <c r="B860" s="22"/>
      <c r="C860" s="22"/>
      <c r="D860" s="22"/>
    </row>
    <row r="861" spans="1:4" ht="12.75" customHeight="1">
      <c r="A861" s="22"/>
      <c r="B861" s="22"/>
      <c r="C861" s="22"/>
      <c r="D861" s="22"/>
    </row>
    <row r="862" spans="1:4" ht="12.75" customHeight="1">
      <c r="A862" s="22"/>
      <c r="B862" s="22"/>
      <c r="C862" s="22"/>
      <c r="D862" s="22"/>
    </row>
    <row r="863" spans="1:4" ht="12.75" customHeight="1">
      <c r="A863" s="22"/>
      <c r="B863" s="22"/>
      <c r="C863" s="22"/>
      <c r="D863" s="22"/>
    </row>
    <row r="864" spans="1:4" ht="12.75" customHeight="1">
      <c r="A864" s="22"/>
      <c r="B864" s="22"/>
      <c r="C864" s="22"/>
      <c r="D864" s="22"/>
    </row>
    <row r="865" spans="1:4" ht="12.75" customHeight="1">
      <c r="A865" s="22"/>
      <c r="B865" s="22"/>
      <c r="C865" s="22"/>
      <c r="D865" s="22"/>
    </row>
    <row r="866" spans="1:4" ht="12.75" customHeight="1">
      <c r="A866" s="22"/>
      <c r="B866" s="22"/>
      <c r="C866" s="22"/>
      <c r="D866" s="22"/>
    </row>
    <row r="867" spans="1:4" ht="12.75" customHeight="1">
      <c r="A867" s="22"/>
      <c r="B867" s="22"/>
      <c r="C867" s="22"/>
      <c r="D867" s="22"/>
    </row>
    <row r="868" spans="1:4" ht="12.75" customHeight="1">
      <c r="A868" s="22"/>
      <c r="B868" s="22"/>
      <c r="C868" s="22"/>
      <c r="D868" s="22"/>
    </row>
    <row r="869" spans="1:4" ht="12.75" customHeight="1">
      <c r="A869" s="22"/>
      <c r="B869" s="22"/>
      <c r="C869" s="22"/>
      <c r="D869" s="22"/>
    </row>
    <row r="870" spans="1:4" ht="12.75" customHeight="1">
      <c r="A870" s="22"/>
      <c r="B870" s="22"/>
      <c r="C870" s="22"/>
      <c r="D870" s="22"/>
    </row>
    <row r="871" spans="1:4" ht="12.75" customHeight="1">
      <c r="A871" s="22"/>
      <c r="B871" s="22"/>
      <c r="C871" s="22"/>
      <c r="D871" s="22"/>
    </row>
    <row r="872" spans="1:4" ht="12.75" customHeight="1">
      <c r="A872" s="22"/>
      <c r="B872" s="22"/>
      <c r="C872" s="22"/>
      <c r="D872" s="22"/>
    </row>
    <row r="873" spans="1:4" ht="12.75" customHeight="1">
      <c r="A873" s="22"/>
      <c r="B873" s="22"/>
      <c r="C873" s="22"/>
      <c r="D873" s="22"/>
    </row>
    <row r="874" spans="1:4" ht="12.75" customHeight="1">
      <c r="A874" s="22"/>
      <c r="B874" s="22"/>
      <c r="C874" s="22"/>
      <c r="D874" s="22"/>
    </row>
    <row r="875" spans="1:4" ht="12.75" customHeight="1">
      <c r="A875" s="22"/>
      <c r="B875" s="22"/>
      <c r="C875" s="22"/>
      <c r="D875" s="22"/>
    </row>
    <row r="876" spans="1:4" ht="12.75" customHeight="1">
      <c r="A876" s="22"/>
      <c r="B876" s="22"/>
      <c r="C876" s="22"/>
      <c r="D876" s="22"/>
    </row>
    <row r="877" spans="1:4" ht="12.75" customHeight="1">
      <c r="A877" s="22"/>
      <c r="B877" s="22"/>
      <c r="C877" s="22"/>
      <c r="D877" s="22"/>
    </row>
    <row r="878" spans="1:4" ht="12.75" customHeight="1">
      <c r="A878" s="22"/>
      <c r="B878" s="22"/>
      <c r="C878" s="22"/>
      <c r="D878" s="22"/>
    </row>
    <row r="879" spans="1:4" ht="12.75" customHeight="1">
      <c r="A879" s="22"/>
      <c r="B879" s="22"/>
      <c r="C879" s="22"/>
      <c r="D879" s="22"/>
    </row>
    <row r="880" spans="1:4" ht="12.75" customHeight="1">
      <c r="A880" s="22"/>
      <c r="B880" s="22"/>
      <c r="C880" s="22"/>
      <c r="D880" s="22"/>
    </row>
    <row r="881" spans="1:4" ht="12.75" customHeight="1">
      <c r="A881" s="22"/>
      <c r="B881" s="22"/>
      <c r="C881" s="22"/>
      <c r="D881" s="22"/>
    </row>
    <row r="882" spans="1:4" ht="12.75" customHeight="1">
      <c r="A882" s="22"/>
      <c r="B882" s="22"/>
      <c r="C882" s="22"/>
      <c r="D882" s="22"/>
    </row>
    <row r="883" spans="1:4" ht="12.75" customHeight="1">
      <c r="A883" s="22"/>
      <c r="B883" s="22"/>
      <c r="C883" s="22"/>
      <c r="D883" s="22"/>
    </row>
    <row r="884" spans="1:4" ht="12.75" customHeight="1">
      <c r="A884" s="22"/>
      <c r="B884" s="22"/>
      <c r="C884" s="22"/>
      <c r="D884" s="22"/>
    </row>
    <row r="885" spans="1:4" ht="12.75" customHeight="1">
      <c r="A885" s="22"/>
      <c r="B885" s="22"/>
      <c r="C885" s="22"/>
      <c r="D885" s="22"/>
    </row>
    <row r="886" spans="1:4" ht="12.75" customHeight="1">
      <c r="A886" s="22"/>
      <c r="B886" s="22"/>
      <c r="C886" s="22"/>
      <c r="D886" s="22"/>
    </row>
    <row r="887" spans="1:4" ht="12.75" customHeight="1">
      <c r="A887" s="22"/>
      <c r="B887" s="22"/>
      <c r="C887" s="22"/>
      <c r="D887" s="22"/>
    </row>
    <row r="888" spans="1:4" ht="12.75" customHeight="1">
      <c r="A888" s="22"/>
      <c r="B888" s="22"/>
      <c r="C888" s="22"/>
      <c r="D888" s="22"/>
    </row>
    <row r="889" spans="1:4" ht="12.75" customHeight="1">
      <c r="A889" s="22"/>
      <c r="B889" s="22"/>
      <c r="C889" s="22"/>
      <c r="D889" s="22"/>
    </row>
    <row r="890" spans="1:4" ht="12.75" customHeight="1">
      <c r="A890" s="22"/>
      <c r="B890" s="22"/>
      <c r="C890" s="22"/>
      <c r="D890" s="22"/>
    </row>
    <row r="891" spans="1:4" ht="12.75" customHeight="1">
      <c r="A891" s="22"/>
      <c r="B891" s="22"/>
      <c r="C891" s="22"/>
      <c r="D891" s="22"/>
    </row>
    <row r="892" spans="1:4" ht="12.75" customHeight="1">
      <c r="A892" s="22"/>
      <c r="B892" s="22"/>
      <c r="C892" s="22"/>
      <c r="D892" s="22"/>
    </row>
    <row r="893" spans="1:4" ht="12.75" customHeight="1">
      <c r="A893" s="22"/>
      <c r="B893" s="22"/>
      <c r="C893" s="22"/>
      <c r="D893" s="22"/>
    </row>
    <row r="894" spans="1:4" ht="12.75" customHeight="1">
      <c r="A894" s="22"/>
      <c r="B894" s="22"/>
      <c r="C894" s="22"/>
      <c r="D894" s="22"/>
    </row>
    <row r="895" spans="1:4" ht="12.75" customHeight="1">
      <c r="A895" s="22"/>
      <c r="B895" s="22"/>
      <c r="C895" s="22"/>
      <c r="D895" s="22"/>
    </row>
    <row r="896" spans="1:4" ht="12.75" customHeight="1">
      <c r="A896" s="22"/>
      <c r="B896" s="22"/>
      <c r="C896" s="22"/>
      <c r="D896" s="22"/>
    </row>
    <row r="897" spans="1:4" ht="12.75" customHeight="1">
      <c r="A897" s="22"/>
      <c r="B897" s="22"/>
      <c r="C897" s="22"/>
      <c r="D897" s="22"/>
    </row>
    <row r="898" spans="1:4" ht="12.75" customHeight="1">
      <c r="A898" s="22"/>
      <c r="B898" s="22"/>
      <c r="C898" s="22"/>
      <c r="D898" s="22"/>
    </row>
    <row r="899" spans="1:4" ht="12.75" customHeight="1">
      <c r="A899" s="22"/>
      <c r="B899" s="22"/>
      <c r="C899" s="22"/>
      <c r="D899" s="22"/>
    </row>
    <row r="900" spans="1:4" ht="12.75" customHeight="1">
      <c r="A900" s="22"/>
      <c r="B900" s="22"/>
      <c r="C900" s="22"/>
      <c r="D900" s="22"/>
    </row>
    <row r="901" spans="1:4" ht="12.75" customHeight="1">
      <c r="A901" s="22"/>
      <c r="B901" s="22"/>
      <c r="C901" s="22"/>
      <c r="D901" s="22"/>
    </row>
    <row r="902" spans="1:4" ht="12.75" customHeight="1">
      <c r="A902" s="22"/>
      <c r="B902" s="22"/>
      <c r="C902" s="22"/>
      <c r="D902" s="22"/>
    </row>
    <row r="903" spans="1:4" ht="12.75" customHeight="1">
      <c r="A903" s="22"/>
      <c r="B903" s="22"/>
      <c r="C903" s="22"/>
      <c r="D903" s="22"/>
    </row>
    <row r="904" spans="1:4" ht="12.75" customHeight="1">
      <c r="A904" s="22"/>
      <c r="B904" s="22"/>
      <c r="C904" s="22"/>
      <c r="D904" s="22"/>
    </row>
    <row r="905" spans="1:4" ht="12.75" customHeight="1">
      <c r="A905" s="22"/>
      <c r="B905" s="22"/>
      <c r="C905" s="22"/>
      <c r="D905" s="22"/>
    </row>
    <row r="906" spans="1:4" ht="12.75" customHeight="1">
      <c r="A906" s="22"/>
      <c r="B906" s="22"/>
      <c r="C906" s="22"/>
      <c r="D906" s="22"/>
    </row>
    <row r="907" spans="1:4" ht="12.75" customHeight="1">
      <c r="A907" s="22"/>
      <c r="B907" s="22"/>
      <c r="C907" s="22"/>
      <c r="D907" s="22"/>
    </row>
    <row r="908" spans="1:4" ht="12.75" customHeight="1">
      <c r="A908" s="22"/>
      <c r="B908" s="22"/>
      <c r="C908" s="22"/>
      <c r="D908" s="22"/>
    </row>
    <row r="909" spans="1:4" ht="12.75" customHeight="1">
      <c r="A909" s="22"/>
      <c r="B909" s="22"/>
      <c r="C909" s="22"/>
      <c r="D909" s="22"/>
    </row>
    <row r="910" spans="1:4" ht="12.75" customHeight="1">
      <c r="A910" s="22"/>
      <c r="B910" s="22"/>
      <c r="C910" s="22"/>
      <c r="D910" s="22"/>
    </row>
    <row r="911" spans="1:4" ht="12.75" customHeight="1">
      <c r="A911" s="22"/>
      <c r="B911" s="22"/>
      <c r="C911" s="22"/>
      <c r="D911" s="22"/>
    </row>
    <row r="912" spans="1:4" ht="12.75" customHeight="1">
      <c r="A912" s="22"/>
      <c r="B912" s="22"/>
      <c r="C912" s="22"/>
      <c r="D912" s="22"/>
    </row>
    <row r="913" spans="1:4" ht="12.75" customHeight="1">
      <c r="A913" s="22"/>
      <c r="B913" s="22"/>
      <c r="C913" s="22"/>
      <c r="D913" s="22"/>
    </row>
    <row r="914" spans="1:4" ht="12.75" customHeight="1">
      <c r="A914" s="22"/>
      <c r="B914" s="22"/>
      <c r="C914" s="22"/>
      <c r="D914" s="22"/>
    </row>
    <row r="915" spans="1:4" ht="12.75" customHeight="1">
      <c r="A915" s="22"/>
      <c r="B915" s="22"/>
      <c r="C915" s="22"/>
      <c r="D915" s="22"/>
    </row>
    <row r="916" spans="1:4" ht="12.75" customHeight="1">
      <c r="A916" s="22"/>
      <c r="B916" s="22"/>
      <c r="C916" s="22"/>
      <c r="D916" s="22"/>
    </row>
    <row r="917" spans="1:4" ht="12.75" customHeight="1">
      <c r="A917" s="22"/>
      <c r="B917" s="22"/>
      <c r="C917" s="22"/>
      <c r="D917" s="22"/>
    </row>
    <row r="918" spans="1:4" ht="12.75" customHeight="1">
      <c r="A918" s="22"/>
      <c r="B918" s="22"/>
      <c r="C918" s="22"/>
      <c r="D918" s="22"/>
    </row>
    <row r="919" spans="1:4" ht="12.75" customHeight="1">
      <c r="A919" s="22"/>
      <c r="B919" s="22"/>
      <c r="C919" s="22"/>
      <c r="D919" s="22"/>
    </row>
    <row r="920" spans="1:4" ht="12.75" customHeight="1">
      <c r="A920" s="22"/>
      <c r="B920" s="22"/>
      <c r="C920" s="22"/>
      <c r="D920" s="22"/>
    </row>
    <row r="921" spans="1:4" ht="12.75" customHeight="1">
      <c r="A921" s="22"/>
      <c r="B921" s="22"/>
      <c r="C921" s="22"/>
      <c r="D921" s="22"/>
    </row>
    <row r="922" spans="1:4" ht="12.75" customHeight="1">
      <c r="A922" s="22"/>
      <c r="B922" s="22"/>
      <c r="C922" s="22"/>
      <c r="D922" s="22"/>
    </row>
    <row r="923" spans="1:4" ht="12.75" customHeight="1">
      <c r="A923" s="22"/>
      <c r="B923" s="22"/>
      <c r="C923" s="22"/>
      <c r="D923" s="22"/>
    </row>
    <row r="924" spans="1:4" ht="12.75" customHeight="1">
      <c r="A924" s="22"/>
      <c r="B924" s="22"/>
      <c r="C924" s="22"/>
      <c r="D924" s="22"/>
    </row>
    <row r="925" spans="1:4" ht="12.75" customHeight="1">
      <c r="A925" s="22"/>
      <c r="B925" s="22"/>
      <c r="C925" s="22"/>
      <c r="D925" s="22"/>
    </row>
    <row r="926" spans="1:4" ht="12.75" customHeight="1">
      <c r="A926" s="22"/>
      <c r="B926" s="22"/>
      <c r="C926" s="22"/>
      <c r="D926" s="22"/>
    </row>
    <row r="927" spans="1:4" ht="12.75" customHeight="1">
      <c r="A927" s="22"/>
      <c r="B927" s="22"/>
      <c r="C927" s="22"/>
      <c r="D927" s="22"/>
    </row>
    <row r="928" spans="1:4" ht="12.75" customHeight="1">
      <c r="A928" s="22"/>
      <c r="B928" s="22"/>
      <c r="C928" s="22"/>
      <c r="D928" s="22"/>
    </row>
    <row r="929" spans="1:4" ht="12.75" customHeight="1">
      <c r="A929" s="22"/>
      <c r="B929" s="22"/>
      <c r="C929" s="22"/>
      <c r="D929" s="22"/>
    </row>
    <row r="930" spans="1:4" ht="12.75" customHeight="1">
      <c r="A930" s="22"/>
      <c r="B930" s="22"/>
      <c r="C930" s="22"/>
      <c r="D930" s="22"/>
    </row>
    <row r="931" spans="1:4" ht="12.75" customHeight="1">
      <c r="A931" s="22"/>
      <c r="B931" s="22"/>
      <c r="C931" s="22"/>
      <c r="D931" s="22"/>
    </row>
    <row r="932" spans="1:4" ht="12.75" customHeight="1">
      <c r="A932" s="22"/>
      <c r="B932" s="22"/>
      <c r="C932" s="22"/>
      <c r="D932" s="22"/>
    </row>
    <row r="933" spans="1:4" ht="12.75" customHeight="1">
      <c r="A933" s="22"/>
      <c r="B933" s="22"/>
      <c r="C933" s="22"/>
      <c r="D933" s="22"/>
    </row>
    <row r="934" spans="1:4" ht="12.75" customHeight="1">
      <c r="A934" s="22"/>
      <c r="B934" s="22"/>
      <c r="C934" s="22"/>
      <c r="D934" s="22"/>
    </row>
    <row r="935" spans="1:4" ht="12.75" customHeight="1">
      <c r="A935" s="22"/>
      <c r="B935" s="22"/>
      <c r="C935" s="22"/>
      <c r="D935" s="22"/>
    </row>
    <row r="936" spans="1:4" ht="12.75" customHeight="1">
      <c r="A936" s="22"/>
      <c r="B936" s="22"/>
      <c r="C936" s="22"/>
      <c r="D936" s="22"/>
    </row>
    <row r="937" spans="1:4" ht="12.75" customHeight="1">
      <c r="A937" s="22"/>
      <c r="B937" s="22"/>
      <c r="C937" s="22"/>
      <c r="D937" s="22"/>
    </row>
    <row r="938" spans="1:4" ht="12.75" customHeight="1">
      <c r="A938" s="22"/>
      <c r="B938" s="22"/>
      <c r="C938" s="22"/>
      <c r="D938" s="22"/>
    </row>
    <row r="939" spans="1:4" ht="12.75" customHeight="1">
      <c r="A939" s="22"/>
      <c r="B939" s="22"/>
      <c r="C939" s="22"/>
      <c r="D939" s="22"/>
    </row>
    <row r="940" spans="1:4" ht="12.75" customHeight="1">
      <c r="A940" s="22"/>
      <c r="B940" s="22"/>
      <c r="C940" s="22"/>
      <c r="D940" s="22"/>
    </row>
    <row r="941" spans="1:4" ht="12.75" customHeight="1">
      <c r="A941" s="22"/>
      <c r="B941" s="22"/>
      <c r="C941" s="22"/>
      <c r="D941" s="22"/>
    </row>
    <row r="942" spans="1:4" ht="12.75" customHeight="1">
      <c r="A942" s="22"/>
      <c r="B942" s="22"/>
      <c r="C942" s="22"/>
      <c r="D942" s="22"/>
    </row>
    <row r="943" spans="1:4" ht="12.75" customHeight="1">
      <c r="A943" s="22"/>
      <c r="B943" s="22"/>
      <c r="C943" s="22"/>
      <c r="D943" s="22"/>
    </row>
    <row r="944" spans="1:4" ht="12.75" customHeight="1">
      <c r="A944" s="22"/>
      <c r="B944" s="22"/>
      <c r="C944" s="22"/>
      <c r="D944" s="22"/>
    </row>
    <row r="945" spans="1:4" ht="12.75" customHeight="1">
      <c r="A945" s="22"/>
      <c r="B945" s="22"/>
      <c r="C945" s="22"/>
      <c r="D945" s="22"/>
    </row>
    <row r="946" spans="1:4" ht="12.75" customHeight="1">
      <c r="A946" s="22"/>
      <c r="B946" s="22"/>
      <c r="C946" s="22"/>
      <c r="D946" s="22"/>
    </row>
    <row r="947" spans="1:4" ht="12.75" customHeight="1">
      <c r="A947" s="22"/>
      <c r="B947" s="22"/>
      <c r="C947" s="22"/>
      <c r="D947" s="22"/>
    </row>
    <row r="948" spans="1:4" ht="12.75" customHeight="1">
      <c r="A948" s="22"/>
      <c r="B948" s="22"/>
      <c r="C948" s="22"/>
      <c r="D948" s="22"/>
    </row>
    <row r="949" spans="1:4" ht="12.75" customHeight="1">
      <c r="A949" s="22"/>
      <c r="B949" s="22"/>
      <c r="C949" s="22"/>
      <c r="D949" s="22"/>
    </row>
    <row r="950" spans="1:4" ht="12.75" customHeight="1">
      <c r="A950" s="22"/>
      <c r="B950" s="22"/>
      <c r="C950" s="22"/>
      <c r="D950" s="22"/>
    </row>
    <row r="951" spans="1:4" ht="12.75" customHeight="1">
      <c r="A951" s="22"/>
      <c r="B951" s="22"/>
      <c r="C951" s="22"/>
      <c r="D951" s="22"/>
    </row>
    <row r="952" spans="1:4" ht="12.75" customHeight="1">
      <c r="A952" s="22"/>
      <c r="B952" s="22"/>
      <c r="C952" s="22"/>
      <c r="D952" s="22"/>
    </row>
    <row r="953" spans="1:4" ht="12.75" customHeight="1">
      <c r="A953" s="22"/>
      <c r="B953" s="22"/>
      <c r="C953" s="22"/>
      <c r="D953" s="22"/>
    </row>
    <row r="954" spans="1:4" ht="12.75" customHeight="1">
      <c r="A954" s="22"/>
      <c r="B954" s="22"/>
      <c r="C954" s="22"/>
      <c r="D954" s="22"/>
    </row>
    <row r="955" spans="1:4" ht="12.75" customHeight="1">
      <c r="A955" s="22"/>
      <c r="B955" s="22"/>
      <c r="C955" s="22"/>
      <c r="D955" s="22"/>
    </row>
    <row r="956" spans="1:4" ht="12.75" customHeight="1">
      <c r="A956" s="22"/>
      <c r="B956" s="22"/>
      <c r="C956" s="22"/>
      <c r="D956" s="22"/>
    </row>
    <row r="957" spans="1:4" ht="12.75" customHeight="1">
      <c r="A957" s="22"/>
      <c r="B957" s="22"/>
      <c r="C957" s="22"/>
      <c r="D957" s="22"/>
    </row>
    <row r="958" spans="1:4" ht="12.75" customHeight="1">
      <c r="A958" s="22"/>
      <c r="B958" s="22"/>
      <c r="C958" s="22"/>
      <c r="D958" s="22"/>
    </row>
    <row r="959" spans="1:4" ht="12.75" customHeight="1">
      <c r="A959" s="22"/>
      <c r="B959" s="22"/>
      <c r="C959" s="22"/>
      <c r="D959" s="22"/>
    </row>
    <row r="960" spans="1:4" ht="12.75" customHeight="1">
      <c r="A960" s="22"/>
      <c r="B960" s="22"/>
      <c r="C960" s="22"/>
      <c r="D960" s="22"/>
    </row>
    <row r="961" spans="1:4" ht="12.75" customHeight="1">
      <c r="A961" s="22"/>
      <c r="B961" s="22"/>
      <c r="C961" s="22"/>
      <c r="D961" s="22"/>
    </row>
    <row r="962" spans="1:4" ht="12.75" customHeight="1">
      <c r="A962" s="22"/>
      <c r="B962" s="22"/>
      <c r="C962" s="22"/>
      <c r="D962" s="22"/>
    </row>
    <row r="963" spans="1:4" ht="12.75" customHeight="1">
      <c r="A963" s="22"/>
      <c r="B963" s="22"/>
      <c r="C963" s="22"/>
      <c r="D963" s="22"/>
    </row>
    <row r="964" spans="1:4" ht="12.75" customHeight="1">
      <c r="A964" s="22"/>
      <c r="B964" s="22"/>
      <c r="C964" s="22"/>
      <c r="D964" s="22"/>
    </row>
    <row r="965" spans="1:4" ht="12.75" customHeight="1">
      <c r="A965" s="22"/>
      <c r="B965" s="22"/>
      <c r="C965" s="22"/>
      <c r="D965" s="22"/>
    </row>
    <row r="966" spans="1:4" ht="12.75" customHeight="1">
      <c r="A966" s="22"/>
      <c r="B966" s="22"/>
      <c r="C966" s="22"/>
      <c r="D966" s="22"/>
    </row>
    <row r="967" spans="1:4" ht="12.75" customHeight="1">
      <c r="A967" s="22"/>
      <c r="B967" s="22"/>
      <c r="C967" s="22"/>
      <c r="D967" s="22"/>
    </row>
    <row r="968" spans="1:4" ht="12.75" customHeight="1">
      <c r="A968" s="22"/>
      <c r="B968" s="22"/>
      <c r="C968" s="22"/>
      <c r="D968" s="22"/>
    </row>
    <row r="969" spans="1:4" ht="12.75" customHeight="1">
      <c r="A969" s="22"/>
      <c r="B969" s="22"/>
      <c r="C969" s="22"/>
      <c r="D969" s="22"/>
    </row>
    <row r="970" spans="1:4" ht="12.75" customHeight="1">
      <c r="A970" s="22"/>
      <c r="B970" s="22"/>
      <c r="C970" s="22"/>
      <c r="D970" s="22"/>
    </row>
    <row r="971" spans="1:4" ht="12.75" customHeight="1">
      <c r="A971" s="22"/>
      <c r="B971" s="22"/>
      <c r="C971" s="22"/>
      <c r="D971" s="22"/>
    </row>
    <row r="972" spans="1:4" ht="12.75" customHeight="1">
      <c r="A972" s="22"/>
      <c r="B972" s="22"/>
      <c r="C972" s="22"/>
      <c r="D972" s="22"/>
    </row>
    <row r="973" spans="1:4" ht="12.75" customHeight="1">
      <c r="A973" s="22"/>
      <c r="B973" s="22"/>
      <c r="C973" s="22"/>
      <c r="D973" s="22"/>
    </row>
    <row r="974" spans="1:4" ht="12.75" customHeight="1">
      <c r="A974" s="22"/>
      <c r="B974" s="22"/>
      <c r="C974" s="22"/>
      <c r="D974" s="22"/>
    </row>
    <row r="975" spans="1:4" ht="12.75" customHeight="1">
      <c r="A975" s="22"/>
      <c r="B975" s="22"/>
      <c r="C975" s="22"/>
      <c r="D975" s="22"/>
    </row>
    <row r="976" spans="1:4" ht="12.75" customHeight="1">
      <c r="A976" s="22"/>
      <c r="B976" s="22"/>
      <c r="C976" s="22"/>
      <c r="D976" s="22"/>
    </row>
    <row r="977" spans="1:4" ht="12.75" customHeight="1">
      <c r="A977" s="22"/>
      <c r="B977" s="22"/>
      <c r="C977" s="22"/>
      <c r="D977" s="22"/>
    </row>
    <row r="978" spans="1:4" ht="12.75" customHeight="1">
      <c r="A978" s="22"/>
      <c r="B978" s="22"/>
      <c r="C978" s="22"/>
      <c r="D978" s="22"/>
    </row>
    <row r="979" spans="1:4" ht="12.75" customHeight="1">
      <c r="A979" s="22"/>
      <c r="B979" s="22"/>
      <c r="C979" s="22"/>
      <c r="D979" s="22"/>
    </row>
    <row r="980" spans="1:4" ht="12.75" customHeight="1">
      <c r="A980" s="22"/>
      <c r="B980" s="22"/>
      <c r="C980" s="22"/>
      <c r="D980" s="22"/>
    </row>
    <row r="981" spans="1:4" ht="12.75" customHeight="1">
      <c r="A981" s="22"/>
      <c r="B981" s="22"/>
      <c r="C981" s="22"/>
      <c r="D981" s="22"/>
    </row>
    <row r="982" spans="1:4" ht="12.75" customHeight="1">
      <c r="A982" s="22"/>
      <c r="B982" s="22"/>
      <c r="C982" s="22"/>
      <c r="D982" s="22"/>
    </row>
    <row r="983" spans="1:4" ht="12.75" customHeight="1">
      <c r="A983" s="22"/>
      <c r="B983" s="22"/>
      <c r="C983" s="22"/>
      <c r="D983" s="22"/>
    </row>
    <row r="984" spans="1:4" ht="12.75" customHeight="1">
      <c r="A984" s="22"/>
      <c r="B984" s="22"/>
      <c r="C984" s="22"/>
      <c r="D984" s="22"/>
    </row>
    <row r="985" spans="1:4" ht="12.75" customHeight="1">
      <c r="A985" s="22"/>
      <c r="B985" s="22"/>
      <c r="C985" s="22"/>
      <c r="D985" s="22"/>
    </row>
    <row r="986" spans="1:4" ht="12.75" customHeight="1">
      <c r="A986" s="22"/>
      <c r="B986" s="22"/>
      <c r="C986" s="22"/>
      <c r="D986" s="22"/>
    </row>
    <row r="987" spans="1:4" ht="12.75" customHeight="1">
      <c r="A987" s="22"/>
      <c r="B987" s="22"/>
      <c r="C987" s="22"/>
      <c r="D987" s="22"/>
    </row>
    <row r="988" spans="1:4" ht="12.75" customHeight="1">
      <c r="A988" s="22"/>
      <c r="B988" s="22"/>
      <c r="C988" s="22"/>
      <c r="D988" s="22"/>
    </row>
    <row r="989" spans="1:4" ht="12.75" customHeight="1">
      <c r="A989" s="22"/>
      <c r="B989" s="22"/>
      <c r="C989" s="22"/>
      <c r="D989" s="22"/>
    </row>
    <row r="990" spans="1:4" ht="12.75" customHeight="1">
      <c r="A990" s="22"/>
      <c r="B990" s="22"/>
      <c r="C990" s="22"/>
      <c r="D990" s="22"/>
    </row>
    <row r="991" spans="1:4" ht="12.75" customHeight="1">
      <c r="A991" s="22"/>
      <c r="B991" s="22"/>
      <c r="C991" s="22"/>
      <c r="D991" s="22"/>
    </row>
    <row r="992" spans="1:4" ht="12.75" customHeight="1">
      <c r="A992" s="22"/>
      <c r="B992" s="22"/>
      <c r="C992" s="22"/>
      <c r="D992" s="22"/>
    </row>
    <row r="993" spans="1:4" ht="12.75" customHeight="1">
      <c r="A993" s="22"/>
      <c r="B993" s="22"/>
      <c r="C993" s="22"/>
      <c r="D993" s="22"/>
    </row>
    <row r="994" spans="1:4" ht="12.75" customHeight="1">
      <c r="A994" s="22"/>
      <c r="B994" s="22"/>
      <c r="C994" s="22"/>
      <c r="D994" s="22"/>
    </row>
    <row r="995" spans="1:4" ht="12.75" customHeight="1">
      <c r="A995" s="22"/>
      <c r="B995" s="22"/>
      <c r="C995" s="22"/>
      <c r="D995" s="22"/>
    </row>
    <row r="996" spans="1:4" ht="12.75" customHeight="1">
      <c r="A996" s="22"/>
      <c r="B996" s="22"/>
      <c r="C996" s="22"/>
      <c r="D996" s="22"/>
    </row>
    <row r="997" spans="1:4" ht="12.75" customHeight="1">
      <c r="A997" s="22"/>
      <c r="B997" s="22"/>
      <c r="C997" s="22"/>
      <c r="D997" s="22"/>
    </row>
    <row r="998" spans="1:4" ht="12.75" customHeight="1">
      <c r="A998" s="22"/>
      <c r="B998" s="22"/>
      <c r="C998" s="22"/>
      <c r="D998" s="22"/>
    </row>
    <row r="999" spans="1:4" ht="12.75" customHeight="1">
      <c r="A999" s="22"/>
      <c r="B999" s="22"/>
      <c r="C999" s="22"/>
      <c r="D999" s="22"/>
    </row>
    <row r="1000" spans="1:4" ht="12.75" customHeight="1">
      <c r="A1000" s="22"/>
      <c r="B1000" s="22"/>
      <c r="C1000" s="22"/>
      <c r="D1000" s="22"/>
    </row>
    <row r="1001" spans="1:4" ht="12.75" customHeight="1">
      <c r="A1001" s="22"/>
      <c r="B1001" s="22"/>
      <c r="C1001" s="22"/>
      <c r="D1001" s="22"/>
    </row>
    <row r="1002" spans="1:4" ht="12.75" customHeight="1">
      <c r="A1002" s="22"/>
      <c r="B1002" s="22"/>
      <c r="C1002" s="22"/>
      <c r="D1002" s="22"/>
    </row>
    <row r="1003" spans="1:4" ht="12.75" customHeight="1">
      <c r="A1003" s="22"/>
      <c r="B1003" s="22"/>
      <c r="C1003" s="22"/>
      <c r="D1003" s="22"/>
    </row>
    <row r="1004" spans="1:4" ht="12.75" customHeight="1">
      <c r="A1004" s="22"/>
      <c r="B1004" s="22"/>
      <c r="C1004" s="22"/>
      <c r="D1004" s="22"/>
    </row>
    <row r="1005" spans="1:4" ht="12.75" customHeight="1">
      <c r="A1005" s="22"/>
      <c r="B1005" s="22"/>
      <c r="C1005" s="22"/>
      <c r="D1005" s="22"/>
    </row>
    <row r="1006" spans="1:4" ht="12.75" customHeight="1">
      <c r="A1006" s="22"/>
      <c r="B1006" s="22"/>
      <c r="C1006" s="22"/>
      <c r="D1006" s="22"/>
    </row>
    <row r="1007" spans="1:4" ht="12.75" customHeight="1">
      <c r="A1007" s="22"/>
      <c r="B1007" s="22"/>
      <c r="C1007" s="22"/>
      <c r="D1007" s="22"/>
    </row>
    <row r="1008" spans="1:4" ht="12.75" customHeight="1">
      <c r="A1008" s="22"/>
      <c r="B1008" s="22"/>
      <c r="C1008" s="22"/>
      <c r="D1008" s="22"/>
    </row>
    <row r="1009" spans="1:4" ht="12.75" customHeight="1">
      <c r="A1009" s="22"/>
      <c r="B1009" s="22"/>
      <c r="C1009" s="22"/>
      <c r="D1009" s="22"/>
    </row>
    <row r="1010" spans="1:4" ht="12.75" customHeight="1">
      <c r="A1010" s="22"/>
      <c r="B1010" s="22"/>
      <c r="C1010" s="22"/>
      <c r="D1010" s="22"/>
    </row>
    <row r="1011" spans="1:4" ht="12.75" customHeight="1">
      <c r="A1011" s="22"/>
      <c r="B1011" s="22"/>
      <c r="C1011" s="22"/>
      <c r="D1011" s="22"/>
    </row>
    <row r="1012" spans="1:4" ht="12.75" customHeight="1">
      <c r="A1012" s="22"/>
      <c r="B1012" s="22"/>
      <c r="C1012" s="22"/>
      <c r="D1012" s="22"/>
    </row>
    <row r="1013" spans="1:4" ht="12.75" customHeight="1">
      <c r="A1013" s="22"/>
      <c r="B1013" s="22"/>
      <c r="C1013" s="22"/>
      <c r="D1013" s="22"/>
    </row>
    <row r="1014" spans="1:4" ht="12.75" customHeight="1">
      <c r="A1014" s="22"/>
      <c r="B1014" s="22"/>
      <c r="C1014" s="22"/>
      <c r="D1014" s="22"/>
    </row>
    <row r="1015" spans="1:4" ht="12.75" customHeight="1">
      <c r="A1015" s="22"/>
      <c r="B1015" s="22"/>
      <c r="C1015" s="22"/>
      <c r="D1015" s="22"/>
    </row>
    <row r="1016" spans="1:4" ht="12.75" customHeight="1">
      <c r="A1016" s="22"/>
      <c r="B1016" s="22"/>
      <c r="C1016" s="22"/>
      <c r="D1016" s="22"/>
    </row>
    <row r="1017" spans="1:4" ht="12.75" customHeight="1">
      <c r="A1017" s="22"/>
      <c r="B1017" s="22"/>
      <c r="C1017" s="22"/>
      <c r="D1017" s="22"/>
    </row>
    <row r="1018" spans="1:4" ht="12.75" customHeight="1">
      <c r="A1018" s="22"/>
      <c r="B1018" s="22"/>
      <c r="C1018" s="22"/>
      <c r="D1018" s="22"/>
    </row>
    <row r="1019" spans="1:4" ht="12.75" customHeight="1">
      <c r="A1019" s="22"/>
      <c r="B1019" s="22"/>
      <c r="C1019" s="22"/>
      <c r="D1019" s="22"/>
    </row>
    <row r="1020" spans="1:4" ht="12.75" customHeight="1">
      <c r="A1020" s="22"/>
      <c r="B1020" s="22"/>
      <c r="C1020" s="22"/>
      <c r="D1020" s="22"/>
    </row>
    <row r="1021" spans="1:4" ht="12.75" customHeight="1">
      <c r="A1021" s="22"/>
      <c r="B1021" s="22"/>
      <c r="C1021" s="22"/>
      <c r="D1021" s="22"/>
    </row>
    <row r="1022" spans="1:4" ht="12.75" customHeight="1">
      <c r="A1022" s="22"/>
      <c r="B1022" s="22"/>
      <c r="C1022" s="22"/>
      <c r="D1022" s="22"/>
    </row>
    <row r="1023" spans="1:4" ht="12.75" customHeight="1">
      <c r="A1023" s="22"/>
      <c r="B1023" s="22"/>
      <c r="C1023" s="22"/>
      <c r="D1023" s="22"/>
    </row>
  </sheetData>
  <mergeCells count="3">
    <mergeCell ref="A6:D6"/>
    <mergeCell ref="A8:D8"/>
    <mergeCell ref="A13:D13"/>
  </mergeCells>
  <pageMargins left="0.7" right="0.7" top="0.75" bottom="0.75" header="0" footer="0"/>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2BF8B-77CE-46EC-9418-F037DACB1753}">
  <dimension ref="A1"/>
  <sheetViews>
    <sheetView workbookViewId="0">
      <selection activeCell="E6" sqref="E6"/>
    </sheetView>
  </sheetViews>
  <sheetFormatPr defaultRowHeight="13.8"/>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C3B07F8724AB64799A6786E14B80CEE" ma:contentTypeVersion="18" ma:contentTypeDescription="Create a new document." ma:contentTypeScope="" ma:versionID="36554f1417070c885eec697191a4a218">
  <xsd:schema xmlns:xsd="http://www.w3.org/2001/XMLSchema" xmlns:xs="http://www.w3.org/2001/XMLSchema" xmlns:p="http://schemas.microsoft.com/office/2006/metadata/properties" xmlns:ns2="24f24ae2-3cf6-4b35-b751-689285a5b18b" xmlns:ns3="469c2687-3c75-4a4b-ba1c-5f013cf06c9c" targetNamespace="http://schemas.microsoft.com/office/2006/metadata/properties" ma:root="true" ma:fieldsID="70f3471295f880830419e0cb74f30703" ns2:_="" ns3:_="">
    <xsd:import namespace="24f24ae2-3cf6-4b35-b751-689285a5b18b"/>
    <xsd:import namespace="469c2687-3c75-4a4b-ba1c-5f013cf06c9c"/>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DateTaken" minOccurs="0"/>
                <xsd:element ref="ns2:MediaServiceGenerationTime" minOccurs="0"/>
                <xsd:element ref="ns2:MediaServiceEventHashCode" minOccurs="0"/>
                <xsd:element ref="ns3:SharedWithUsers" minOccurs="0"/>
                <xsd:element ref="ns3:SharedWithDetails" minOccurs="0"/>
                <xsd:element ref="ns2:MediaServiceAutoKeyPoints" minOccurs="0"/>
                <xsd:element ref="ns2:MediaServiceKeyPoints" minOccurs="0"/>
                <xsd:element ref="ns2:MediaServiceSearchProperties" minOccurs="0"/>
                <xsd:element ref="ns2:MediaLengthInSeconds" minOccurs="0"/>
                <xsd:element ref="ns2:lcf76f155ced4ddcb4097134ff3c332f" minOccurs="0"/>
                <xsd:element ref="ns3:TaxCatchAll" minOccurs="0"/>
                <xsd:element ref="ns2:MediaServiceObjectDetectorVersion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4f24ae2-3cf6-4b35-b751-689285a5b18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OCR" ma:index="11" nillable="true" ma:displayName="MediaServiceOCR"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d6c21206-e962-4e70-b7c6-9737299e2fc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69c2687-3c75-4a4b-ba1c-5f013cf06c9c"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343ac311-95c8-46c6-9870-487676ebc63f}" ma:internalName="TaxCatchAll" ma:showField="CatchAllData" ma:web="469c2687-3c75-4a4b-ba1c-5f013cf06c9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24f24ae2-3cf6-4b35-b751-689285a5b18b">
      <Terms xmlns="http://schemas.microsoft.com/office/infopath/2007/PartnerControls"/>
    </lcf76f155ced4ddcb4097134ff3c332f>
    <TaxCatchAll xmlns="469c2687-3c75-4a4b-ba1c-5f013cf06c9c"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6A21611-9453-414B-9980-E3EC49E9A8F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4f24ae2-3cf6-4b35-b751-689285a5b18b"/>
    <ds:schemaRef ds:uri="469c2687-3c75-4a4b-ba1c-5f013cf06c9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B848056-D234-47DE-A0D0-9F31EFDE533C}">
  <ds:schemaRefs>
    <ds:schemaRef ds:uri="http://schemas.microsoft.com/office/2006/metadata/properties"/>
    <ds:schemaRef ds:uri="http://schemas.microsoft.com/office/infopath/2007/PartnerControls"/>
    <ds:schemaRef ds:uri="24f24ae2-3cf6-4b35-b751-689285a5b18b"/>
    <ds:schemaRef ds:uri="469c2687-3c75-4a4b-ba1c-5f013cf06c9c"/>
  </ds:schemaRefs>
</ds:datastoreItem>
</file>

<file path=customXml/itemProps3.xml><?xml version="1.0" encoding="utf-8"?>
<ds:datastoreItem xmlns:ds="http://schemas.openxmlformats.org/officeDocument/2006/customXml" ds:itemID="{FE1798CA-DC87-4329-8FEC-D119A5F243B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Document Title</vt:lpstr>
      <vt:lpstr>Notice-Landscape</vt:lpstr>
      <vt:lpstr>Guideline</vt:lpstr>
      <vt:lpstr>Questionnaire</vt:lpstr>
      <vt:lpstr>Scoring</vt:lpstr>
      <vt:lpstr>Administrative Appendix</vt:lpstr>
      <vt:lpstr>Sheet1</vt:lpstr>
      <vt:lpstr>'Administrative Appendix'!Print_Area</vt:lpstr>
      <vt:lpstr>'Document Title'!Print_Area</vt:lpstr>
      <vt:lpstr>'Notice-Landscape'!Print_Area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Tim Hardy-Lenik</dc:creator>
  <cp:keywords/>
  <dc:description/>
  <cp:lastModifiedBy>Sannah Sibaya</cp:lastModifiedBy>
  <cp:revision/>
  <dcterms:created xsi:type="dcterms:W3CDTF">2022-11-16T15:46:12Z</dcterms:created>
  <dcterms:modified xsi:type="dcterms:W3CDTF">2026-05-29T15:34:43Z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9378a34-61cb-4d5e-a70c-1712827e012a_Enabled">
    <vt:lpwstr>true</vt:lpwstr>
  </property>
  <property fmtid="{D5CDD505-2E9C-101B-9397-08002B2CF9AE}" pid="3" name="MSIP_Label_49378a34-61cb-4d5e-a70c-1712827e012a_SetDate">
    <vt:lpwstr>2022-11-18T10:44:52Z</vt:lpwstr>
  </property>
  <property fmtid="{D5CDD505-2E9C-101B-9397-08002B2CF9AE}" pid="4" name="MSIP_Label_49378a34-61cb-4d5e-a70c-1712827e012a_Method">
    <vt:lpwstr>Standard</vt:lpwstr>
  </property>
  <property fmtid="{D5CDD505-2E9C-101B-9397-08002B2CF9AE}" pid="5" name="MSIP_Label_49378a34-61cb-4d5e-a70c-1712827e012a_Name">
    <vt:lpwstr>Medium Impact</vt:lpwstr>
  </property>
  <property fmtid="{D5CDD505-2E9C-101B-9397-08002B2CF9AE}" pid="6" name="MSIP_Label_49378a34-61cb-4d5e-a70c-1712827e012a_SiteId">
    <vt:lpwstr>194a267b-82ba-4fa6-b6b9-f95966ab3815</vt:lpwstr>
  </property>
  <property fmtid="{D5CDD505-2E9C-101B-9397-08002B2CF9AE}" pid="7" name="MSIP_Label_49378a34-61cb-4d5e-a70c-1712827e012a_ActionId">
    <vt:lpwstr>133ed1e6-2d80-4cd7-b4ed-dd46f3f53242</vt:lpwstr>
  </property>
  <property fmtid="{D5CDD505-2E9C-101B-9397-08002B2CF9AE}" pid="8" name="MSIP_Label_49378a34-61cb-4d5e-a70c-1712827e012a_ContentBits">
    <vt:lpwstr>0</vt:lpwstr>
  </property>
  <property fmtid="{D5CDD505-2E9C-101B-9397-08002B2CF9AE}" pid="9" name="MediaServiceImageTags">
    <vt:lpwstr/>
  </property>
  <property fmtid="{D5CDD505-2E9C-101B-9397-08002B2CF9AE}" pid="10" name="ContentTypeId">
    <vt:lpwstr>0x010100EC3B07F8724AB64799A6786E14B80CEE</vt:lpwstr>
  </property>
</Properties>
</file>