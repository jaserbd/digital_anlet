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tmf365-my.sharepoint.com/personal/apope_tmforum_org/Documents/Projects/ANP/ANLET/"/>
    </mc:Choice>
  </mc:AlternateContent>
  <xr:revisionPtr revIDLastSave="404" documentId="8_{A5C3C2F7-6F67-456E-BAF5-0F6C4132E406}" xr6:coauthVersionLast="47" xr6:coauthVersionMax="47" xr10:uidLastSave="{AFC452E3-3A5C-4304-A786-5CD2F4CAE565}"/>
  <bookViews>
    <workbookView xWindow="-110" yWindow="-110" windowWidth="19420" windowHeight="10300" firstSheet="1" activeTab="5" xr2:uid="{D4738C6B-B68F-4FA2-9666-A97E0B15AE51}"/>
  </bookViews>
  <sheets>
    <sheet name="Document Title" sheetId="8" r:id="rId1"/>
    <sheet name="Legal Notice" sheetId="9" r:id="rId2"/>
    <sheet name="Guideline" sheetId="3" r:id="rId3"/>
    <sheet name="Questionnaire" sheetId="1" r:id="rId4"/>
    <sheet name="Scoring" sheetId="2" r:id="rId5"/>
    <sheet name="Acknowledgements" sheetId="5" r:id="rId6"/>
  </sheets>
  <definedNames>
    <definedName name="_xlnm.Print_Area" localSheetId="1">'Legal Notice'!$A$1:$A$27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2" l="1"/>
  <c r="P8" i="2" s="1"/>
  <c r="O9" i="2"/>
  <c r="P9" i="2" s="1"/>
  <c r="O10" i="2"/>
  <c r="P10" i="2" s="1"/>
  <c r="O11" i="2"/>
  <c r="O12" i="2"/>
  <c r="P12" i="2" s="1"/>
  <c r="O3" i="2"/>
  <c r="K6" i="2"/>
  <c r="O6" i="2" s="1"/>
  <c r="K7" i="2"/>
  <c r="O7" i="2" s="1"/>
  <c r="P7" i="2" s="1"/>
  <c r="K8" i="2"/>
  <c r="K9" i="2"/>
  <c r="K10" i="2"/>
  <c r="K11" i="2"/>
  <c r="K12" i="2"/>
  <c r="K5" i="2"/>
  <c r="O5" i="2" s="1"/>
  <c r="L3" i="2"/>
  <c r="K3" i="2"/>
  <c r="O2" i="2" s="1"/>
  <c r="J3" i="2"/>
  <c r="L2" i="2" s="1"/>
  <c r="J12" i="2" l="1"/>
  <c r="L12" i="2" s="1"/>
  <c r="M12" i="2" s="1"/>
  <c r="J8" i="2"/>
  <c r="L8" i="2" s="1"/>
  <c r="M8" i="2" s="1"/>
  <c r="J9" i="2"/>
  <c r="L9" i="2" s="1"/>
  <c r="M9" i="2" s="1"/>
  <c r="J10" i="2"/>
  <c r="L10" i="2" s="1"/>
  <c r="M10" i="2" s="1"/>
  <c r="J11" i="2"/>
  <c r="L11" i="2" s="1"/>
  <c r="J7" i="2"/>
  <c r="L7" i="2" s="1"/>
  <c r="M7" i="2" s="1"/>
  <c r="J6" i="2"/>
  <c r="L6" i="2" s="1"/>
  <c r="J5" i="2"/>
  <c r="C48" i="3"/>
  <c r="C45" i="3"/>
  <c r="C41" i="3"/>
  <c r="C37" i="3"/>
  <c r="C33" i="3"/>
  <c r="C29" i="3"/>
  <c r="C25" i="3"/>
  <c r="C20" i="3"/>
  <c r="L5" i="2" l="1"/>
  <c r="M5" i="2" s="1"/>
  <c r="M6" i="2"/>
  <c r="M11" i="2" l="1"/>
  <c r="N5" i="2"/>
  <c r="P5" i="2"/>
  <c r="P6" i="2"/>
  <c r="P11" i="2"/>
  <c r="Q5" i="2" l="1"/>
  <c r="R5" i="2" s="1"/>
</calcChain>
</file>

<file path=xl/sharedStrings.xml><?xml version="1.0" encoding="utf-8"?>
<sst xmlns="http://schemas.openxmlformats.org/spreadsheetml/2006/main" count="247" uniqueCount="179">
  <si>
    <t>High-Value Scenario</t>
  </si>
  <si>
    <t>Cognitive Activity (IAADE)</t>
  </si>
  <si>
    <t>Service Capability</t>
  </si>
  <si>
    <t>Weight</t>
  </si>
  <si>
    <t>Question</t>
  </si>
  <si>
    <t>Option A</t>
  </si>
  <si>
    <t>Option B</t>
  </si>
  <si>
    <t>Option C</t>
  </si>
  <si>
    <t>Option D</t>
  </si>
  <si>
    <t>Sub-scenarios Network Function Deployment - Core</t>
  </si>
  <si>
    <t>Interpretating on question</t>
  </si>
  <si>
    <t>Understanding of selecting the option</t>
  </si>
  <si>
    <t>Private Cloud 5GC with Full CNF Stack</t>
  </si>
  <si>
    <t>Intent</t>
  </si>
  <si>
    <t>Intent Translation &amp; Fulfilment</t>
  </si>
  <si>
    <t>How does the System support the translation of Intents into Design &amp; Deployment related  policies  and evaluates the Fulfillment of intent. e.g.  the tasks of evaluating Network Function deployment fulfilment information (e.g. satisfied or not).</t>
  </si>
  <si>
    <t>Intent configuration and evaluation are entirely manually entered and confirmed based on human expertise.</t>
  </si>
  <si>
    <t>A</t>
  </si>
  <si>
    <t>Awareness</t>
  </si>
  <si>
    <t xml:space="preserve">Data collection </t>
  </si>
  <si>
    <t>How does the System support data collection and translates it to inputs to a specific integrated network delivery plan?</t>
  </si>
  <si>
    <t xml:space="preserve">The System automatically collects data and translates it into inputs to a specific network delivery plan, without human intervention. </t>
  </si>
  <si>
    <t xml:space="preserve">The System automatically collects data and translates it into inputs to a specific network delivery plan, based on manually defined rules. </t>
  </si>
  <si>
    <t>Data is manually collected and translated it into input for a specific network delivery plan, based on human expertise</t>
  </si>
  <si>
    <t>Analysis</t>
  </si>
  <si>
    <t>Data analysis</t>
  </si>
  <si>
    <t>How does the System support data analysis of inputs to a specific integrated network delivery plan to ensure data completeness and readiness?</t>
  </si>
  <si>
    <t>Virtualized resource Feasibility check analysis</t>
  </si>
  <si>
    <t>How does the System support feasibility check analysis to verify there is enough available virtualized resource for the Network Function?</t>
  </si>
  <si>
    <t>The System performs feasibility check analysis using AI Models, without human intervention.</t>
  </si>
  <si>
    <t>The System performs feasibility check analysis, based on pre-defined rules</t>
  </si>
  <si>
    <t>Feasibility check analysis is performed based on human expertise</t>
  </si>
  <si>
    <t>(e.g. ensure the configuration and network connection, including Network Function configuration and transport network configuration are correct).</t>
  </si>
  <si>
    <t>The System generates the specific integrated network delivery plan using AI Models, without human intervention</t>
  </si>
  <si>
    <t>The System generates the specific integrated network delivery plan, based on pre-defined rules</t>
  </si>
  <si>
    <t>The generation of the  specific integrated network delivery plan is based on human expertise</t>
  </si>
  <si>
    <t>Decision</t>
  </si>
  <si>
    <t xml:space="preserve">Evaluation &amp; decision-making </t>
  </si>
  <si>
    <t>How does the System support the evaluation &amp; decision-making of the specific integrated network delivery plan and Network Function (e.g. parameters configuration data &amp; virtualized resource information) ?</t>
  </si>
  <si>
    <t>The System evaluates and decides on the specific integrated network delivery plan to be deployed using AI Models, without human intervention</t>
  </si>
  <si>
    <t xml:space="preserve">The System evaluates and decides on the specific integrated network delivery plan to be deployed based on predefined rules </t>
  </si>
  <si>
    <t>The evaluation and decision making on the specific integrated network delivery plan to be deployed is based on human expertise</t>
  </si>
  <si>
    <t>Execution</t>
  </si>
  <si>
    <t>Deployment</t>
  </si>
  <si>
    <t>How does the System support the deployment of specific Network Function ?</t>
  </si>
  <si>
    <t>(e.g.: deploying the Network Function based on determined VNF package and configuring the Network Function based on determined data).</t>
  </si>
  <si>
    <t>The System automatically executes deployment, without human intervention</t>
  </si>
  <si>
    <t>Deployment of new network elements is done manually</t>
  </si>
  <si>
    <t>Implementation Verification</t>
  </si>
  <si>
    <t xml:space="preserve">How does the System verify and confirm the implementation results? </t>
  </si>
  <si>
    <t>The System automatically verifies Network Function Deployment status and implementation results, without Human intervention</t>
  </si>
  <si>
    <t>The System verifies Network Function Deployment status and implementation results using pre-defined rules</t>
  </si>
  <si>
    <t xml:space="preserve">Verification of Network Function Deployment status and implementation results is performed entirely by human </t>
  </si>
  <si>
    <t>Note: 1) The questionnaire is intended for pilot use and will serve as input for future standardization efforts. 2) It is subject to change as the pilot progresses.</t>
  </si>
  <si>
    <t>Compensated score</t>
  </si>
  <si>
    <t>Potential Solutions Deployment Generation</t>
  </si>
  <si>
    <t>How does the System support the generation of the specific integrated network delivery plan to deploy the Network Function, including the analysis of best deployment time?</t>
  </si>
  <si>
    <t>Note: Automatic formula calculation. Do not modify it.</t>
  </si>
  <si>
    <t>I. Introduction</t>
  </si>
  <si>
    <t>The scope of this questionnaire is to assess the autonomy of Network Functions Deployment, applicable for Core network domain</t>
  </si>
  <si>
    <t xml:space="preserve">The assessment is process-based and intended to be vendor and technology agnostic </t>
  </si>
  <si>
    <t>Dynamically Programable Rules: implies that the system uses rules that can be adjusted or modified in real-time based on changing conditions or requirements</t>
  </si>
  <si>
    <t>The questionnaire is based on the principles described in 3GPP TS 28.100 &amp; IG1252</t>
  </si>
  <si>
    <t>It is recommended to have the participation of relevant SMEs to complete the assessment (Experts from Design and Deployment teams as well as automation experts)</t>
  </si>
  <si>
    <t>Each question is answered by selecting one of four options, A-D, option A being the highest level of autonomy and option D being the lowest</t>
  </si>
  <si>
    <t>Options A to D: They adopt a common approach reflecting S, P/S &amp; P. They cover increasing levels of autonomy characteristics across the Options. Therefore, they should not include any reference to KEI/System accuracy</t>
  </si>
  <si>
    <t>More detailed guidelines per question are provided in the guideline section below</t>
  </si>
  <si>
    <t>Only 1 sub-scenario was considered for now. More sub-scenarios will be included based on further testing and feedback from mobile operators</t>
  </si>
  <si>
    <t>III. Guideline for Answering ANL questionnaire</t>
  </si>
  <si>
    <t>Answering Guideline</t>
  </si>
  <si>
    <r>
      <t>"</t>
    </r>
    <r>
      <rPr>
        <i/>
        <sz val="10"/>
        <color rgb="FF215967"/>
        <rFont val="Calibri"/>
        <family val="2"/>
      </rPr>
      <t>The role of intent in autonomous networks is to communicate requirements, goals, constraints, and preferences to an autonomous system. This knowledge enables the system to evaluate the state of the controlled infrastructure and the utility of actions. It enables a level of autonomy where the system can adapt its behavior and generate new solutions instead of just following human-defined recipes and policies</t>
    </r>
    <r>
      <rPr>
        <sz val="10"/>
        <color rgb="FF000000"/>
        <rFont val="Calibri"/>
        <family val="2"/>
      </rPr>
      <t>." IG 1253 Intent in autonomous networks</t>
    </r>
  </si>
  <si>
    <t>(B) Design &amp; Deployment Intent is processed based on pre-defined rules, guided by a Person. Intent fulfilment is verified by a Person.</t>
  </si>
  <si>
    <t>(C) Design &amp; Deployment Intent is processed using templates and guided workflows. Intent fulfillment is verified by a person.</t>
  </si>
  <si>
    <t>(D) Intent configuration and evaluation are entirely manually entered and confirmed based on human expertise.</t>
  </si>
  <si>
    <t>Note: LLD design schema, network delivery plan, network element initialization data, network element parameter data (interface, IP, protocol, etc.)</t>
  </si>
  <si>
    <t>and link it to deployment date and time, as defined in the Intent.</t>
  </si>
  <si>
    <t>Collected data should include data from external system(s), e.g., the NFVI resources available to deploy the new NF instance(s), data related to e.g. RAN, transport network. The Core Network management system may have to contact other management system(s) and ask for such data.</t>
  </si>
  <si>
    <t>(A) The collection of input data is automatically collected by the system  and requires no human intervention to collect Design schemas and other data .</t>
  </si>
  <si>
    <t>(B) Some level of regular manual intervention to the system is required to collect data</t>
  </si>
  <si>
    <t>(C) Commands or other input to the system is required each time data is collected</t>
  </si>
  <si>
    <t>(A) AI based model correlates &amp; validates multiple data sources automatically, to validate all required data is present</t>
  </si>
  <si>
    <t>(B) Dynamically Programmable Rules/ML model correlates &amp; validates multiple data sources automatically, to validate all required data is present</t>
  </si>
  <si>
    <t>(C) Run Book Automation is present to correlates &amp; validates multiple data sources automatically, to validate all required data is present</t>
  </si>
  <si>
    <t>(D) Manual correlation of multiple data sources</t>
  </si>
  <si>
    <t>(A) AI based models are able to  run checks over the Inventory and in parallel to the systems by interrogating it with no human intervention and its able to adjust in case its found differences between Inventory data and Live system Data without Human intervention</t>
  </si>
  <si>
    <t>(B) Dynamically Programmable Rules/ML models are able to  run checks over the Inventory and in parallel to the systems by interrogating it with no human intervention and its able to adjust in case its found differences between Inventory data and Live system Data and may require  Human validation</t>
  </si>
  <si>
    <t>(C) Checks are done via Run Book Automations requires further Human validation</t>
  </si>
  <si>
    <t>(D) Feasibility check analysis is performed fully manually based on human expertise</t>
  </si>
  <si>
    <t>(A) Solution generation is performed by the system using AI Models without manual assistance or intervention</t>
  </si>
  <si>
    <t>(B) Solution generation is performed by the system using Dynamically Programmable Rules/ML models without manual assistance and may require human to validate the outcomes</t>
  </si>
  <si>
    <t>(C) Some solution options are generated by the system and additional solution options are generated by a person</t>
  </si>
  <si>
    <t>(D) All solution options are generated by a person</t>
  </si>
  <si>
    <t>(A) The system evaluates and decides the solution to be implemented using AI Models (may be only one possible solution in some cases, but its the optimal)</t>
  </si>
  <si>
    <t>(C) Human-guided Automation: a person selects and/or approves the solution to be implemented in the execution task</t>
  </si>
  <si>
    <t>(D) Fully manual evaluation and decision-making by a person</t>
  </si>
  <si>
    <t>(A) The System automatically executes deployment, without human intervention</t>
  </si>
  <si>
    <t>(B) Human uses the System to execute  deployment instructions remotely.</t>
  </si>
  <si>
    <t>(C) Deployment of new network elements is done manually</t>
  </si>
  <si>
    <t>(A) The System automatically verifies Network Function Deployment status and implementation results, without Human intervention</t>
  </si>
  <si>
    <t>(B) The System verifies Network Function Deployment status and implementation results using Dynamically Programmable Rules/ML rules and may require Human confirmation</t>
  </si>
  <si>
    <t>(C) The System verifies Network Function Deployment status and implementation results using pre-defined rules</t>
  </si>
  <si>
    <t xml:space="preserve">Core Network Deployment Questionnaire </t>
  </si>
  <si>
    <t>Maturity Level: Alpha</t>
  </si>
  <si>
    <t>Release Status: Pre-production</t>
  </si>
  <si>
    <t>Version 1.0.0</t>
  </si>
  <si>
    <t>IPR Mode: RAND</t>
  </si>
  <si>
    <t>Member</t>
  </si>
  <si>
    <t>Company</t>
  </si>
  <si>
    <t>Role*</t>
  </si>
  <si>
    <t>Kevin McDonnell</t>
  </si>
  <si>
    <t>Huawei</t>
  </si>
  <si>
    <t>Project Chair</t>
  </si>
  <si>
    <t>Pedro Garcia Parra</t>
  </si>
  <si>
    <t>Telefónica</t>
  </si>
  <si>
    <t>Project Co-Chair</t>
  </si>
  <si>
    <t xml:space="preserve">Fernando Camacho </t>
  </si>
  <si>
    <t>Dinis Diogo</t>
  </si>
  <si>
    <t>Ericsson</t>
  </si>
  <si>
    <t>Author</t>
  </si>
  <si>
    <t>Jorgen Holmstrom</t>
  </si>
  <si>
    <t>Co-Author</t>
  </si>
  <si>
    <t>Tony Salim</t>
  </si>
  <si>
    <t>Reviewer</t>
  </si>
  <si>
    <t>David Condon</t>
  </si>
  <si>
    <t>Asser EL NAHAS</t>
  </si>
  <si>
    <t>Orange Group</t>
  </si>
  <si>
    <t>Key Contributor</t>
  </si>
  <si>
    <t>Esa Vesterinen</t>
  </si>
  <si>
    <t>Detecon</t>
  </si>
  <si>
    <t>Jacek Hanusik</t>
  </si>
  <si>
    <t>Sam Keys-Toyer</t>
  </si>
  <si>
    <t>*Selected from: Project Chair, Project Co-Chair, Author, Editor, Key Contributor, Additional Input, Reviewer</t>
  </si>
  <si>
    <t>Notice</t>
  </si>
  <si>
    <t xml:space="preserve">Direct inquiries to the TM Forum office: </t>
  </si>
  <si>
    <t>Design &amp; Deployment Intent is processed based on pre-defined rules, guided by a Person.
Intent fulfilment is verified by a Person.</t>
  </si>
  <si>
    <t>Design &amp; Deployment Intent is processed using templates and guided workflows.
Intent fulfillment is verified by a person.</t>
  </si>
  <si>
    <t>How does the System support the deployment of specific Network Function ?
(e.g.: deploying the Network Function based on determined VNF package and configuring the Network Function based on determined data).</t>
  </si>
  <si>
    <t>Network Function Deployment - Core</t>
  </si>
  <si>
    <t>Network Function Deployment- Core</t>
  </si>
  <si>
    <t>How does the System support the generation of the specific integrated network delivery plan to deploy the Network Function, including the analysis of best deployment time?(e.g. ensure the configuration and network connection, including Network Function configuration and transport network configuration are correct).</t>
  </si>
  <si>
    <t>Data analysis to ensure completeness is performed based on human expertise</t>
  </si>
  <si>
    <t>II. Sub-scenarios Network Functions - Core</t>
  </si>
  <si>
    <t>(D) Verification of Network Function Deployment status and implementation results is performed entirely by human
Note: Implementation verification was considered reaching its top score "A" at 4, due to the complexity of "post implementation verification". Same was agreed for Change Management</t>
  </si>
  <si>
    <t>Human uses the System to execute deployment instructions remotely.</t>
  </si>
  <si>
    <t>1. Private Cloud 5GC with Full CNF Stack: This sub-scenario supports deployment of Network Functions for Enterprise-grade 5G with strict SLA</t>
  </si>
  <si>
    <t>(A) The System automatically generates Design &amp; Deployment (e.g. Network Function, date &amp; time) policy actions based on Deployment intent, entered/updated by a Person. The System evaluates intent fulfillment based on implementation results.</t>
  </si>
  <si>
    <t xml:space="preserve">e.g.: network resource, such as IP address, port, and backup resource availability … </t>
  </si>
  <si>
    <t>(B) The system evaluates and decides the solution to be implemented using Dynamically Programmable Rules/ML Models and mare require human validation in case of multiple options/solutions are targeted</t>
  </si>
  <si>
    <t>The System automatically generates Design &amp; Deployment (e.g. Network Function, date &amp; time) policy actions based on Deployment intent, entered/updated by a Person. The System evaluates intent fulfillment based on implementation results.</t>
  </si>
  <si>
    <t>Other NF Core sub-scenario</t>
  </si>
  <si>
    <t xml:space="preserve">How does the System support data collection and translates it to inputs to a specific integrated network delivery plan?
Note: LLD design schema, network delivery plan, network element initialization data, network element parameter data (interface, IP, protocol, etc.) </t>
  </si>
  <si>
    <t xml:space="preserve">How does the System support data collection and translates it to inputs to a specific integrated network delivery plan?
Note: LLD design schema, network delivery plan, network element initialization data, network element parameter data (interface, IP, protocol, etc.) 
</t>
  </si>
  <si>
    <t xml:space="preserve">How does the System support data analysis of inputs to a specific integrated network delivery plan to ensure data completeness and readiness?
e.g.: network resource, such as IP address, port, and backup resource availability … </t>
  </si>
  <si>
    <t>Sub-score</t>
  </si>
  <si>
    <t>Original score</t>
  </si>
  <si>
    <t>Sub-scenarios Core Network Deployment</t>
  </si>
  <si>
    <t>Scoring Method : Average</t>
  </si>
  <si>
    <t>Overal Score</t>
  </si>
  <si>
    <t>The System analyses the data to ensure completeness and readiness, using AI Models, without human intervention.</t>
  </si>
  <si>
    <t>The System analyses the data to ensure completeness and readiness, based on pre-defined rules.</t>
  </si>
  <si>
    <t>How does the System support the generation of the specific integrated network delivery plan to deploy the Network Function, including the analysis of best deployment time?
(e.g. ensure the configuration and network connection, including Network Function configuration and transport network configuration are correct).</t>
  </si>
  <si>
    <t>How does the System support the evaluation &amp; decision-making of the specific integrated network delivery plan and Network Function (e.g. parameters configuration data &amp; virtualized resource information) including the best deployment time?</t>
  </si>
  <si>
    <t>The System analyses the data to ensure completeness and readiness using Dynamically Programmable Rules or ML and may require Human validation.</t>
  </si>
  <si>
    <t>The System performs feasibility check analysis using Dynamically Programmable Rules or ML and may require Human validation.</t>
  </si>
  <si>
    <t>The System generates the specific integrated network delivery plan using Dynamically Programmable Rules or ML, and may require Human confirmation</t>
  </si>
  <si>
    <t>The System automatically evaluates and decides on the specific integrated network delivery plan to be deployed using Dynamically Programmable Rules or ML, and may require Human confirmation</t>
  </si>
  <si>
    <t>The System verifies Network Function Deployment status and implementation results using Dynamically Programmable Rules or ML rules and may require Human confirmation</t>
  </si>
  <si>
    <t>TM Forum Guidebook</t>
  </si>
  <si>
    <t xml:space="preserve">This document provides details of the TM Forum Autonomous Networks Questionaires in Excel format. </t>
  </si>
  <si>
    <t>Team Approved Date: 23-Jan-2026</t>
  </si>
  <si>
    <t>Approval Status:  Team Approved</t>
  </si>
  <si>
    <r>
      <t>ã</t>
    </r>
    <r>
      <rPr>
        <sz val="9"/>
        <color theme="1"/>
        <rFont val="Aptos Narrow"/>
        <family val="2"/>
        <scheme val="minor"/>
      </rPr>
      <t>TM Forum 2026. All Rights Reserved.</t>
    </r>
  </si>
  <si>
    <t>GB1522B</t>
  </si>
  <si>
    <t>Copyright © TM Forum 2026. All Rights Reserved.</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</si>
  <si>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</si>
  <si>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The limited permissions granted above are perpetual and will not be revoked by TM FORUM or its successors or assigns.</t>
  </si>
  <si>
    <t>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t>
  </si>
  <si>
    <t>100 Enterprise Drive
Suite 304, #1649
Rockaway, NJ 07866 USA
Tel No. +1 862 227 1648
TM Forum Web Page: www.tmforum.org</t>
  </si>
  <si>
    <t>©TM Forum 2026.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</si>
</sst>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Aptos Narrow"/>
      <family val="2"/>
      <scheme val="minor"/>
    </font>
    <font>
      <b/>
      <sz val="10"/>
      <color rgb="FF000000"/>
      <name val="Calibri"/>
      <family val="2"/>
    </font>
    <font>
      <b/>
      <sz val="10"/>
      <name val="Calibri"/>
      <family val="2"/>
    </font>
    <font>
      <sz val="10"/>
      <name val="Calibri"/>
      <family val="2"/>
    </font>
    <font>
      <sz val="10"/>
      <color rgb="FF000000"/>
      <name val="Calibri"/>
      <family val="2"/>
    </font>
    <font>
      <sz val="11"/>
      <color rgb="FF000000"/>
      <name val="Calibri"/>
      <family val="2"/>
    </font>
    <font>
      <b/>
      <sz val="10"/>
      <color rgb="FF000000"/>
      <name val="Arial"/>
      <family val="2"/>
    </font>
    <font>
      <b/>
      <sz val="11"/>
      <color rgb="FF000000"/>
      <name val="Arial"/>
      <family val="2"/>
    </font>
    <font>
      <sz val="10"/>
      <name val="Arial"/>
      <family val="2"/>
    </font>
    <font>
      <sz val="11"/>
      <name val="Calibri"/>
      <family val="2"/>
    </font>
    <font>
      <b/>
      <sz val="12"/>
      <color rgb="FF000000"/>
      <name val="Calibri"/>
      <family val="2"/>
    </font>
    <font>
      <b/>
      <sz val="12"/>
      <color rgb="FF000000"/>
      <name val="Arial"/>
      <family val="2"/>
    </font>
    <font>
      <i/>
      <sz val="10"/>
      <color rgb="FF215967"/>
      <name val="Calibri"/>
      <family val="2"/>
    </font>
    <font>
      <b/>
      <sz val="14"/>
      <color rgb="FF404040"/>
      <name val="Arial"/>
      <family val="2"/>
    </font>
    <font>
      <sz val="11"/>
      <color rgb="FF000000"/>
      <name val="Arial"/>
      <family val="2"/>
    </font>
    <font>
      <i/>
      <sz val="11"/>
      <color rgb="FF172B4D"/>
      <name val="Arial"/>
      <family val="2"/>
    </font>
    <font>
      <sz val="11"/>
      <color theme="1"/>
      <name val="Aptos Narrow"/>
      <family val="2"/>
      <scheme val="minor"/>
    </font>
    <font>
      <b/>
      <sz val="28"/>
      <color rgb="FFE0121D"/>
      <name val="Georgia"/>
      <family val="1"/>
    </font>
    <font>
      <sz val="10"/>
      <color theme="1"/>
      <name val="Symbol"/>
      <family val="1"/>
      <charset val="2"/>
    </font>
    <font>
      <sz val="9"/>
      <color theme="1"/>
      <name val="Aptos Narrow"/>
      <family val="2"/>
      <scheme val="minor"/>
    </font>
    <font>
      <b/>
      <sz val="11"/>
      <color rgb="FF000000"/>
      <name val="Calibri"/>
      <family val="2"/>
    </font>
    <font>
      <sz val="11"/>
      <color theme="1"/>
      <name val="Calibri"/>
      <family val="2"/>
    </font>
    <font>
      <sz val="9"/>
      <name val="Calibri"/>
      <family val="2"/>
    </font>
    <font>
      <b/>
      <sz val="11"/>
      <color theme="1"/>
      <name val="Calibri"/>
      <family val="2"/>
    </font>
    <font>
      <sz val="8"/>
      <name val="Segoe UI"/>
      <family val="2"/>
    </font>
    <font>
      <u/>
      <sz val="11"/>
      <color theme="10"/>
      <name val="Aptos Narrow"/>
      <family val="2"/>
      <scheme val="minor"/>
    </font>
    <font>
      <b/>
      <sz val="28"/>
      <color rgb="FFC00000"/>
      <name val="Aptos"/>
      <family val="2"/>
    </font>
    <font>
      <b/>
      <sz val="32"/>
      <color rgb="FF404040"/>
      <name val="Aptos"/>
      <family val="2"/>
    </font>
    <font>
      <b/>
      <sz val="11"/>
      <color theme="1"/>
      <name val="Aptos"/>
      <family val="2"/>
    </font>
    <font>
      <b/>
      <sz val="32"/>
      <color rgb="FF404040"/>
      <name val="Aptos Narrow"/>
      <family val="2"/>
      <charset val="134"/>
      <scheme val="minor"/>
    </font>
    <font>
      <i/>
      <sz val="18"/>
      <color rgb="FF404040"/>
      <name val="Aptos"/>
      <family val="2"/>
    </font>
    <font>
      <sz val="16"/>
      <color rgb="FF404040"/>
      <name val="Aptos Narrow"/>
      <family val="2"/>
      <charset val="134"/>
      <scheme val="minor"/>
    </font>
    <font>
      <b/>
      <sz val="18"/>
      <color rgb="FF404040"/>
      <name val="Aptos Narrow"/>
      <family val="2"/>
      <charset val="134"/>
      <scheme val="minor"/>
    </font>
    <font>
      <b/>
      <sz val="18"/>
      <color rgb="FF404040"/>
      <name val="Aptos Display"/>
      <family val="2"/>
      <scheme val="major"/>
    </font>
    <font>
      <sz val="20"/>
      <color rgb="FFC00000"/>
      <name val="Aptos"/>
      <family val="2"/>
    </font>
    <font>
      <sz val="20"/>
      <color theme="1"/>
      <name val="Aptos"/>
      <family val="2"/>
    </font>
    <font>
      <sz val="12"/>
      <color rgb="FF000000"/>
      <name val="Aptos"/>
      <family val="2"/>
    </font>
    <font>
      <sz val="12"/>
      <color theme="1"/>
      <name val="Aptos"/>
      <family val="2"/>
    </font>
  </fonts>
  <fills count="14">
    <fill>
      <patternFill patternType="none"/>
    </fill>
    <fill>
      <patternFill patternType="gray125"/>
    </fill>
    <fill>
      <patternFill patternType="solid">
        <fgColor rgb="FFB7DEE8"/>
        <bgColor rgb="FF000000"/>
      </patternFill>
    </fill>
    <fill>
      <patternFill patternType="solid">
        <fgColor rgb="FFFDE9D9"/>
        <bgColor rgb="FF000000"/>
      </patternFill>
    </fill>
    <fill>
      <patternFill patternType="solid">
        <fgColor rgb="FFDAEEF3"/>
        <bgColor rgb="FF000000"/>
      </patternFill>
    </fill>
    <fill>
      <patternFill patternType="solid">
        <fgColor rgb="FFE4DFEC"/>
        <bgColor rgb="FF000000"/>
      </patternFill>
    </fill>
    <fill>
      <patternFill patternType="solid">
        <fgColor rgb="FFFFFFFF"/>
        <bgColor rgb="FF000000"/>
      </patternFill>
    </fill>
    <fill>
      <patternFill patternType="solid">
        <fgColor rgb="FFF2F2F2"/>
        <bgColor rgb="FF000000"/>
      </patternFill>
    </fill>
    <fill>
      <patternFill patternType="solid">
        <fgColor rgb="FFFDFAD9"/>
        <bgColor rgb="FF000000"/>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4" tint="0.79998168889431442"/>
        <bgColor rgb="FF000000"/>
      </patternFill>
    </fill>
    <fill>
      <patternFill patternType="solid">
        <fgColor theme="4" tint="0.79998168889431442"/>
        <bgColor indexed="64"/>
      </patternFill>
    </fill>
    <fill>
      <patternFill patternType="solid">
        <fgColor theme="5" tint="0.79998168889431442"/>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right/>
      <top/>
      <bottom style="thin">
        <color indexed="64"/>
      </bottom>
      <diagonal/>
    </border>
  </borders>
  <cellStyleXfs count="10">
    <xf numFmtId="0" fontId="0" fillId="0" borderId="0"/>
    <xf numFmtId="0" fontId="16" fillId="0" borderId="0">
      <alignment vertical="top"/>
    </xf>
    <xf numFmtId="0" fontId="16" fillId="0" borderId="0"/>
    <xf numFmtId="0" fontId="8" fillId="0" borderId="0"/>
    <xf numFmtId="0" fontId="16" fillId="0" borderId="0"/>
    <xf numFmtId="0" fontId="16" fillId="0" borderId="0">
      <alignment vertical="top"/>
    </xf>
    <xf numFmtId="0" fontId="16" fillId="0" borderId="0"/>
    <xf numFmtId="0" fontId="16" fillId="0" borderId="0"/>
    <xf numFmtId="0" fontId="16" fillId="0" borderId="0">
      <alignment vertical="center"/>
    </xf>
    <xf numFmtId="0" fontId="25" fillId="0" borderId="0" applyNumberFormat="0" applyFill="0" applyBorder="0" applyAlignment="0" applyProtection="0"/>
  </cellStyleXfs>
  <cellXfs count="218">
    <xf numFmtId="0" fontId="0" fillId="0" borderId="0" xfId="0"/>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0" borderId="0" xfId="0" applyFont="1"/>
    <xf numFmtId="0" fontId="4" fillId="6" borderId="6"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0" borderId="1" xfId="0" applyFont="1" applyBorder="1" applyAlignment="1">
      <alignment horizontal="center" vertical="center"/>
    </xf>
    <xf numFmtId="9" fontId="3" fillId="0" borderId="1" xfId="0" applyNumberFormat="1" applyFont="1" applyBorder="1" applyAlignment="1">
      <alignment horizontal="center" vertical="center" wrapText="1"/>
    </xf>
    <xf numFmtId="0" fontId="5" fillId="0" borderId="0" xfId="0" applyFont="1"/>
    <xf numFmtId="0" fontId="3" fillId="0" borderId="0" xfId="0" applyFont="1" applyAlignment="1">
      <alignment horizontal="left" wrapText="1"/>
    </xf>
    <xf numFmtId="9" fontId="5" fillId="0" borderId="0" xfId="0" applyNumberFormat="1" applyFont="1" applyAlignment="1">
      <alignment horizontal="center" vertical="center"/>
    </xf>
    <xf numFmtId="0" fontId="5" fillId="0" borderId="0" xfId="0" applyFont="1" applyAlignment="1">
      <alignment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4" fillId="0" borderId="29" xfId="0" applyFont="1" applyBorder="1" applyAlignment="1">
      <alignment horizontal="left" vertical="center" wrapText="1"/>
    </xf>
    <xf numFmtId="0" fontId="4" fillId="0" borderId="21" xfId="0" applyFont="1" applyBorder="1" applyAlignment="1">
      <alignment horizontal="left" vertical="center" wrapText="1"/>
    </xf>
    <xf numFmtId="0" fontId="4" fillId="0" borderId="30" xfId="0" applyFont="1" applyBorder="1" applyAlignment="1">
      <alignment horizontal="left" vertical="center" wrapText="1"/>
    </xf>
    <xf numFmtId="0" fontId="4" fillId="6" borderId="5" xfId="0" applyFont="1" applyFill="1" applyBorder="1" applyAlignment="1">
      <alignment horizontal="left" vertical="center" wrapText="1"/>
    </xf>
    <xf numFmtId="0" fontId="3" fillId="0" borderId="29" xfId="0" applyFont="1" applyBorder="1" applyAlignment="1">
      <alignment horizontal="left" vertical="center" wrapText="1"/>
    </xf>
    <xf numFmtId="0" fontId="3" fillId="0" borderId="21" xfId="0" applyFont="1" applyBorder="1" applyAlignment="1">
      <alignment horizontal="left" vertical="center" wrapText="1"/>
    </xf>
    <xf numFmtId="0" fontId="3" fillId="0" borderId="30" xfId="0" applyFont="1" applyBorder="1" applyAlignment="1">
      <alignment horizontal="left" vertical="center" wrapText="1"/>
    </xf>
    <xf numFmtId="0" fontId="14" fillId="0" borderId="0" xfId="0" applyFont="1"/>
    <xf numFmtId="0" fontId="7" fillId="0" borderId="0" xfId="0" applyFont="1"/>
    <xf numFmtId="0" fontId="14" fillId="0" borderId="0" xfId="0" applyFont="1" applyAlignment="1">
      <alignment wrapText="1"/>
    </xf>
    <xf numFmtId="0" fontId="7" fillId="0" borderId="1" xfId="0" applyFont="1" applyBorder="1"/>
    <xf numFmtId="0" fontId="14" fillId="0" borderId="1" xfId="0" applyFont="1" applyBorder="1"/>
    <xf numFmtId="0" fontId="15" fillId="0" borderId="0" xfId="0" applyFont="1"/>
    <xf numFmtId="9" fontId="3" fillId="6" borderId="4"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9" fontId="3" fillId="0" borderId="4" xfId="0" applyNumberFormat="1" applyFont="1" applyBorder="1" applyAlignment="1">
      <alignment horizontal="center" vertical="center" wrapText="1"/>
    </xf>
    <xf numFmtId="0" fontId="18" fillId="0" borderId="0" xfId="3" applyFont="1" applyAlignment="1">
      <alignment horizontal="left"/>
    </xf>
    <xf numFmtId="0" fontId="8" fillId="0" borderId="0" xfId="3"/>
    <xf numFmtId="0" fontId="1" fillId="2" borderId="51" xfId="0" applyFont="1" applyFill="1" applyBorder="1" applyAlignment="1">
      <alignment horizontal="center" vertical="center" wrapText="1"/>
    </xf>
    <xf numFmtId="0" fontId="6" fillId="2" borderId="39"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4" fillId="8" borderId="13" xfId="0" applyFont="1" applyFill="1" applyBorder="1" applyAlignment="1">
      <alignment horizontal="left" vertical="center" wrapText="1"/>
    </xf>
    <xf numFmtId="9" fontId="4" fillId="6" borderId="25" xfId="0" applyNumberFormat="1" applyFont="1" applyFill="1" applyBorder="1" applyAlignment="1">
      <alignment horizontal="center" vertical="center" wrapText="1"/>
    </xf>
    <xf numFmtId="0" fontId="4" fillId="6" borderId="26" xfId="0" applyFont="1" applyFill="1" applyBorder="1" applyAlignment="1">
      <alignment horizontal="left" vertical="center" wrapText="1"/>
    </xf>
    <xf numFmtId="0" fontId="4" fillId="8" borderId="22" xfId="0" applyFont="1" applyFill="1" applyBorder="1" applyAlignment="1">
      <alignment horizontal="center" vertical="center" wrapText="1"/>
    </xf>
    <xf numFmtId="0" fontId="4" fillId="8" borderId="4" xfId="0" applyFont="1" applyFill="1" applyBorder="1" applyAlignment="1">
      <alignment horizontal="left" vertical="center" wrapText="1"/>
    </xf>
    <xf numFmtId="9" fontId="4" fillId="6" borderId="4" xfId="0" applyNumberFormat="1" applyFont="1" applyFill="1" applyBorder="1" applyAlignment="1">
      <alignment horizontal="center" vertical="center" wrapText="1"/>
    </xf>
    <xf numFmtId="0" fontId="4" fillId="6" borderId="23" xfId="0" applyFont="1" applyFill="1" applyBorder="1" applyAlignment="1">
      <alignment horizontal="left" vertical="center" wrapText="1"/>
    </xf>
    <xf numFmtId="0" fontId="4" fillId="8" borderId="1" xfId="0" applyFont="1" applyFill="1" applyBorder="1" applyAlignment="1">
      <alignment horizontal="left" vertical="center" wrapText="1"/>
    </xf>
    <xf numFmtId="9" fontId="4" fillId="6" borderId="7" xfId="0" applyNumberFormat="1" applyFont="1" applyFill="1" applyBorder="1" applyAlignment="1">
      <alignment horizontal="center" vertical="center" wrapText="1"/>
    </xf>
    <xf numFmtId="0" fontId="4" fillId="6" borderId="2" xfId="0" applyFont="1" applyFill="1" applyBorder="1" applyAlignment="1">
      <alignment horizontal="left" vertical="center" wrapText="1"/>
    </xf>
    <xf numFmtId="0" fontId="3" fillId="8" borderId="28" xfId="0" applyFont="1" applyFill="1" applyBorder="1" applyAlignment="1">
      <alignment horizontal="center" vertical="center" wrapText="1"/>
    </xf>
    <xf numFmtId="0" fontId="4" fillId="8" borderId="31" xfId="0" applyFont="1" applyFill="1" applyBorder="1" applyAlignment="1">
      <alignment horizontal="left" vertical="center" wrapText="1"/>
    </xf>
    <xf numFmtId="9" fontId="4" fillId="6" borderId="32" xfId="0" applyNumberFormat="1" applyFont="1" applyFill="1" applyBorder="1" applyAlignment="1">
      <alignment horizontal="center" vertical="center" wrapText="1"/>
    </xf>
    <xf numFmtId="0" fontId="4" fillId="6" borderId="33" xfId="0" applyFont="1" applyFill="1" applyBorder="1" applyAlignment="1">
      <alignment horizontal="left" vertical="center" wrapText="1"/>
    </xf>
    <xf numFmtId="0" fontId="21" fillId="0" borderId="0" xfId="0" applyFont="1"/>
    <xf numFmtId="0" fontId="4" fillId="10"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9" borderId="1" xfId="0" applyFont="1" applyFill="1" applyBorder="1" applyAlignment="1">
      <alignment horizontal="center" vertical="center"/>
    </xf>
    <xf numFmtId="0" fontId="22" fillId="9" borderId="4"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9" fillId="10" borderId="1" xfId="0" applyFont="1" applyFill="1" applyBorder="1" applyAlignment="1">
      <alignment horizontal="center" vertical="center"/>
    </xf>
    <xf numFmtId="0" fontId="3" fillId="10" borderId="1" xfId="0" applyFont="1" applyFill="1" applyBorder="1" applyAlignment="1">
      <alignment horizontal="center" vertical="center"/>
    </xf>
    <xf numFmtId="0" fontId="22" fillId="11" borderId="4"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9" fillId="12" borderId="1" xfId="0" applyFont="1" applyFill="1" applyBorder="1" applyAlignment="1">
      <alignment horizontal="center" vertical="center"/>
    </xf>
    <xf numFmtId="0" fontId="3" fillId="12" borderId="1" xfId="0" applyFont="1" applyFill="1" applyBorder="1" applyAlignment="1">
      <alignment horizontal="center" vertical="center"/>
    </xf>
    <xf numFmtId="0" fontId="22" fillId="11" borderId="23" xfId="0" applyFont="1" applyFill="1" applyBorder="1" applyAlignment="1">
      <alignment horizontal="center" vertical="center" wrapText="1"/>
    </xf>
    <xf numFmtId="0" fontId="3" fillId="6" borderId="6" xfId="0" applyFont="1" applyFill="1" applyBorder="1" applyAlignment="1">
      <alignment horizontal="left" vertical="center" wrapText="1"/>
    </xf>
    <xf numFmtId="0" fontId="3" fillId="6" borderId="4" xfId="0" applyFont="1" applyFill="1" applyBorder="1" applyAlignment="1">
      <alignment horizontal="left" vertical="center" wrapText="1"/>
    </xf>
    <xf numFmtId="0" fontId="3" fillId="0" borderId="34" xfId="0" applyFont="1" applyBorder="1" applyAlignment="1">
      <alignment horizontal="left" vertical="center" wrapText="1"/>
    </xf>
    <xf numFmtId="0" fontId="2"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9" fontId="3" fillId="4" borderId="1" xfId="0" applyNumberFormat="1" applyFont="1" applyFill="1" applyBorder="1" applyAlignment="1">
      <alignment horizontal="center" vertical="center" wrapText="1"/>
    </xf>
    <xf numFmtId="0" fontId="3" fillId="0" borderId="4" xfId="0" applyFont="1" applyBorder="1" applyAlignment="1">
      <alignment horizontal="left" wrapText="1"/>
    </xf>
    <xf numFmtId="0" fontId="3" fillId="0" borderId="4" xfId="0" applyFont="1" applyBorder="1" applyAlignment="1">
      <alignment horizontal="left" vertical="center" wrapText="1"/>
    </xf>
    <xf numFmtId="0" fontId="3" fillId="0" borderId="0" xfId="0" applyFont="1" applyAlignment="1">
      <alignment horizontal="left" vertical="center" wrapText="1"/>
    </xf>
    <xf numFmtId="0" fontId="3" fillId="0" borderId="4" xfId="0" applyFont="1" applyBorder="1" applyAlignment="1">
      <alignment horizontal="center" vertical="center"/>
    </xf>
    <xf numFmtId="0" fontId="3" fillId="0" borderId="4" xfId="0" applyFont="1" applyBorder="1" applyAlignment="1">
      <alignment horizontal="left" vertical="center"/>
    </xf>
    <xf numFmtId="0" fontId="3" fillId="7" borderId="4" xfId="0" applyFont="1" applyFill="1" applyBorder="1" applyAlignment="1">
      <alignment horizontal="left" vertical="center" wrapText="1"/>
    </xf>
    <xf numFmtId="0" fontId="3" fillId="0" borderId="1" xfId="0" applyFont="1" applyBorder="1" applyAlignment="1">
      <alignment horizontal="left" vertical="center" wrapText="1"/>
    </xf>
    <xf numFmtId="0" fontId="3" fillId="6"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3" borderId="7" xfId="0" applyFont="1" applyFill="1" applyBorder="1" applyAlignment="1">
      <alignment horizontal="center" vertical="center" wrapText="1"/>
    </xf>
    <xf numFmtId="0" fontId="3" fillId="0" borderId="0" xfId="0" applyFont="1" applyAlignment="1">
      <alignment horizontal="center" wrapText="1"/>
    </xf>
    <xf numFmtId="9" fontId="3" fillId="0" borderId="0" xfId="0" applyNumberFormat="1" applyFont="1" applyAlignment="1">
      <alignment horizontal="center" vertical="center" wrapText="1"/>
    </xf>
    <xf numFmtId="0" fontId="9" fillId="0" borderId="0" xfId="0" applyFont="1" applyAlignment="1">
      <alignment horizontal="left" vertical="center" indent="1"/>
    </xf>
    <xf numFmtId="0" fontId="3" fillId="0" borderId="0" xfId="0" applyFont="1"/>
    <xf numFmtId="0" fontId="3" fillId="6" borderId="0" xfId="0" applyFont="1" applyFill="1"/>
    <xf numFmtId="0" fontId="3" fillId="0" borderId="0" xfId="0" applyFont="1" applyAlignment="1">
      <alignment horizontal="left" vertical="center"/>
    </xf>
    <xf numFmtId="0" fontId="24" fillId="0" borderId="0" xfId="0" applyFont="1" applyAlignment="1">
      <alignment vertical="center"/>
    </xf>
    <xf numFmtId="0" fontId="24" fillId="0" borderId="0" xfId="0" applyFont="1" applyAlignment="1">
      <alignment horizontal="left" vertical="center" indent="1"/>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4" fillId="0" borderId="0" xfId="0" applyFont="1"/>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0" fillId="2" borderId="37" xfId="0" applyFont="1" applyFill="1" applyBorder="1" applyAlignment="1">
      <alignment horizontal="center" vertical="center" wrapText="1"/>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49" xfId="0" applyFont="1" applyBorder="1" applyAlignment="1">
      <alignment vertical="center" wrapText="1"/>
    </xf>
    <xf numFmtId="0" fontId="5" fillId="0" borderId="41" xfId="0" applyFont="1" applyBorder="1" applyAlignment="1">
      <alignment vertical="center" wrapText="1"/>
    </xf>
    <xf numFmtId="0" fontId="5" fillId="0" borderId="0" xfId="0" applyFont="1" applyAlignment="1">
      <alignment vertical="center" wrapText="1"/>
    </xf>
    <xf numFmtId="0" fontId="5" fillId="0" borderId="8" xfId="0" applyFont="1" applyBorder="1" applyAlignment="1">
      <alignment vertical="center" wrapText="1"/>
    </xf>
    <xf numFmtId="0" fontId="9" fillId="0" borderId="41" xfId="0" applyFont="1" applyBorder="1" applyAlignment="1">
      <alignment vertical="center" wrapText="1"/>
    </xf>
    <xf numFmtId="0" fontId="9" fillId="0" borderId="0" xfId="0" applyFont="1" applyAlignment="1">
      <alignment vertical="center" wrapText="1"/>
    </xf>
    <xf numFmtId="0" fontId="9" fillId="0" borderId="8" xfId="0" applyFont="1" applyBorder="1" applyAlignment="1">
      <alignment vertical="center" wrapText="1"/>
    </xf>
    <xf numFmtId="0" fontId="5" fillId="0" borderId="42" xfId="0" applyFont="1" applyBorder="1" applyAlignment="1">
      <alignment vertical="center" wrapText="1"/>
    </xf>
    <xf numFmtId="0" fontId="5" fillId="0" borderId="43" xfId="0" applyFont="1" applyBorder="1" applyAlignment="1">
      <alignment vertical="center" wrapText="1"/>
    </xf>
    <xf numFmtId="0" fontId="5" fillId="0" borderId="50" xfId="0" applyFont="1" applyBorder="1" applyAlignment="1">
      <alignment vertical="center" wrapText="1"/>
    </xf>
    <xf numFmtId="0" fontId="5" fillId="0" borderId="15" xfId="0" applyFont="1" applyBorder="1" applyAlignment="1">
      <alignment wrapText="1"/>
    </xf>
    <xf numFmtId="0" fontId="5" fillId="0" borderId="16" xfId="0" applyFont="1" applyBorder="1" applyAlignment="1">
      <alignment wrapText="1"/>
    </xf>
    <xf numFmtId="0" fontId="5" fillId="0" borderId="49" xfId="0" applyFont="1" applyBorder="1" applyAlignment="1">
      <alignment wrapText="1"/>
    </xf>
    <xf numFmtId="0" fontId="9" fillId="0" borderId="41" xfId="0" applyFont="1" applyBorder="1" applyAlignment="1">
      <alignment wrapText="1"/>
    </xf>
    <xf numFmtId="0" fontId="9" fillId="0" borderId="0" xfId="0" applyFont="1" applyAlignment="1">
      <alignment wrapText="1"/>
    </xf>
    <xf numFmtId="0" fontId="9" fillId="0" borderId="8" xfId="0" applyFont="1" applyBorder="1" applyAlignment="1">
      <alignment wrapText="1"/>
    </xf>
    <xf numFmtId="0" fontId="9" fillId="0" borderId="41" xfId="0" applyFont="1" applyBorder="1" applyAlignment="1">
      <alignment horizontal="left" wrapText="1"/>
    </xf>
    <xf numFmtId="0" fontId="9" fillId="0" borderId="0" xfId="0" applyFont="1" applyAlignment="1">
      <alignment horizontal="left" wrapText="1"/>
    </xf>
    <xf numFmtId="0" fontId="9" fillId="0" borderId="8" xfId="0" applyFont="1" applyBorder="1" applyAlignment="1">
      <alignment horizontal="left" wrapText="1"/>
    </xf>
    <xf numFmtId="0" fontId="9" fillId="0" borderId="42" xfId="0" applyFont="1" applyBorder="1" applyAlignment="1">
      <alignment horizontal="left" wrapText="1"/>
    </xf>
    <xf numFmtId="0" fontId="9" fillId="0" borderId="43" xfId="0" applyFont="1" applyBorder="1" applyAlignment="1">
      <alignment horizontal="left" wrapText="1"/>
    </xf>
    <xf numFmtId="0" fontId="9" fillId="0" borderId="50" xfId="0" applyFont="1" applyBorder="1" applyAlignment="1">
      <alignment horizontal="left" wrapText="1"/>
    </xf>
    <xf numFmtId="0" fontId="4" fillId="6" borderId="4"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6" borderId="6" xfId="0" applyFont="1" applyFill="1" applyBorder="1" applyAlignment="1">
      <alignment horizontal="left" vertical="center" wrapText="1"/>
    </xf>
    <xf numFmtId="0" fontId="4" fillId="0" borderId="8" xfId="0" applyFont="1" applyBorder="1"/>
    <xf numFmtId="0" fontId="4" fillId="4" borderId="22" xfId="0" applyFont="1" applyFill="1" applyBorder="1" applyAlignment="1">
      <alignment horizontal="left" vertical="center" wrapText="1"/>
    </xf>
    <xf numFmtId="0" fontId="4" fillId="4" borderId="11" xfId="0" applyFont="1" applyFill="1" applyBorder="1" applyAlignment="1">
      <alignment horizontal="left" vertical="center" wrapText="1"/>
    </xf>
    <xf numFmtId="0" fontId="4" fillId="4" borderId="12" xfId="0" applyFont="1" applyFill="1" applyBorder="1" applyAlignment="1">
      <alignment horizontal="left" vertical="center" wrapText="1"/>
    </xf>
    <xf numFmtId="0" fontId="1" fillId="6" borderId="44" xfId="0" applyFont="1" applyFill="1" applyBorder="1" applyAlignment="1">
      <alignment horizontal="center" vertical="center" wrapText="1"/>
    </xf>
    <xf numFmtId="0" fontId="1" fillId="6" borderId="20" xfId="0" applyFont="1" applyFill="1" applyBorder="1" applyAlignment="1">
      <alignment horizontal="center" vertical="center" wrapText="1"/>
    </xf>
    <xf numFmtId="0" fontId="1" fillId="6" borderId="40"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1" fillId="0" borderId="44"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38" xfId="0" applyFont="1" applyBorder="1" applyAlignment="1">
      <alignment horizontal="center" vertical="center" wrapText="1"/>
    </xf>
    <xf numFmtId="0" fontId="3" fillId="4" borderId="22" xfId="0" applyFont="1" applyFill="1" applyBorder="1" applyAlignment="1">
      <alignment horizontal="left" vertical="center" wrapText="1"/>
    </xf>
    <xf numFmtId="0" fontId="3" fillId="4" borderId="11" xfId="0" applyFont="1" applyFill="1" applyBorder="1" applyAlignment="1">
      <alignment horizontal="left" vertical="center" wrapText="1"/>
    </xf>
    <xf numFmtId="0" fontId="3" fillId="4" borderId="35" xfId="0" applyFont="1" applyFill="1" applyBorder="1" applyAlignment="1">
      <alignment horizontal="left" vertical="center" wrapText="1"/>
    </xf>
    <xf numFmtId="0" fontId="3" fillId="6" borderId="4" xfId="0" applyFont="1" applyFill="1" applyBorder="1" applyAlignment="1">
      <alignment horizontal="left" vertical="center" wrapText="1"/>
    </xf>
    <xf numFmtId="0" fontId="3" fillId="6" borderId="5" xfId="0" applyFont="1" applyFill="1" applyBorder="1" applyAlignment="1">
      <alignment horizontal="left" vertical="center" wrapText="1"/>
    </xf>
    <xf numFmtId="0" fontId="3" fillId="6" borderId="36" xfId="0" applyFont="1" applyFill="1" applyBorder="1" applyAlignment="1">
      <alignment horizontal="left" vertical="center" wrapText="1"/>
    </xf>
    <xf numFmtId="0" fontId="4" fillId="0" borderId="0" xfId="0" applyFont="1" applyAlignment="1">
      <alignment horizontal="left"/>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8" borderId="19" xfId="0" applyFont="1" applyFill="1" applyBorder="1" applyAlignment="1">
      <alignment horizontal="center" vertical="center" wrapText="1"/>
    </xf>
    <xf numFmtId="0" fontId="4" fillId="8" borderId="20" xfId="0" applyFont="1" applyFill="1" applyBorder="1" applyAlignment="1">
      <alignment horizontal="center" vertical="center" wrapText="1"/>
    </xf>
    <xf numFmtId="0" fontId="4" fillId="8" borderId="38" xfId="0" applyFont="1" applyFill="1" applyBorder="1" applyAlignment="1">
      <alignment horizontal="center" vertical="center" wrapText="1"/>
    </xf>
    <xf numFmtId="164" fontId="5" fillId="10" borderId="1" xfId="0" applyNumberFormat="1" applyFont="1" applyFill="1" applyBorder="1" applyAlignment="1">
      <alignment horizontal="center" vertical="center"/>
    </xf>
    <xf numFmtId="0" fontId="3" fillId="8" borderId="22"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4" fillId="8" borderId="22" xfId="0" applyFont="1" applyFill="1" applyBorder="1" applyAlignment="1">
      <alignment horizontal="center" vertical="center" wrapText="1"/>
    </xf>
    <xf numFmtId="0" fontId="4" fillId="8" borderId="35" xfId="0" applyFont="1" applyFill="1" applyBorder="1" applyAlignment="1">
      <alignment horizontal="center" vertical="center" wrapText="1"/>
    </xf>
    <xf numFmtId="0" fontId="20" fillId="2" borderId="8"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20" fillId="2" borderId="11"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20" fillId="2" borderId="52" xfId="0" applyFont="1" applyFill="1" applyBorder="1" applyAlignment="1">
      <alignment horizontal="center" vertical="center" wrapText="1"/>
    </xf>
    <xf numFmtId="0" fontId="20" fillId="2" borderId="24" xfId="0" applyFont="1" applyFill="1" applyBorder="1" applyAlignment="1">
      <alignment horizontal="center" vertical="center" wrapText="1"/>
    </xf>
    <xf numFmtId="0" fontId="9" fillId="3" borderId="53" xfId="0" applyFont="1" applyFill="1" applyBorder="1" applyAlignment="1">
      <alignment horizontal="center" vertical="center"/>
    </xf>
    <xf numFmtId="0" fontId="9" fillId="3" borderId="54" xfId="0" applyFont="1" applyFill="1" applyBorder="1" applyAlignment="1">
      <alignment horizontal="center" vertical="center"/>
    </xf>
    <xf numFmtId="0" fontId="23" fillId="13" borderId="1" xfId="0" applyFont="1" applyFill="1" applyBorder="1" applyAlignment="1">
      <alignment horizontal="center" vertical="center" wrapText="1"/>
    </xf>
    <xf numFmtId="0" fontId="23" fillId="13" borderId="1" xfId="0" applyFont="1" applyFill="1" applyBorder="1" applyAlignment="1">
      <alignment horizontal="center" vertical="center"/>
    </xf>
    <xf numFmtId="164" fontId="5" fillId="12" borderId="2" xfId="0" applyNumberFormat="1" applyFont="1" applyFill="1" applyBorder="1" applyAlignment="1">
      <alignment horizontal="center" vertical="center"/>
    </xf>
    <xf numFmtId="0" fontId="9" fillId="3" borderId="2"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7" xfId="0" applyFont="1" applyFill="1" applyBorder="1" applyAlignment="1">
      <alignment horizontal="center" vertical="center"/>
    </xf>
    <xf numFmtId="0" fontId="22" fillId="3" borderId="4" xfId="0" applyFont="1" applyFill="1" applyBorder="1" applyAlignment="1">
      <alignment horizontal="center" vertical="center" wrapText="1"/>
    </xf>
    <xf numFmtId="0" fontId="22" fillId="3" borderId="6"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9" fillId="11" borderId="4" xfId="0" applyFont="1" applyFill="1" applyBorder="1" applyAlignment="1">
      <alignment horizontal="center" vertical="center" wrapText="1"/>
    </xf>
    <xf numFmtId="0" fontId="9" fillId="11" borderId="6"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22" fillId="9" borderId="3" xfId="0" applyFont="1" applyFill="1" applyBorder="1" applyAlignment="1">
      <alignment horizontal="center" vertical="center" wrapText="1"/>
    </xf>
    <xf numFmtId="0" fontId="22" fillId="9" borderId="7" xfId="0" applyFont="1" applyFill="1" applyBorder="1" applyAlignment="1">
      <alignment horizontal="center" vertical="center" wrapText="1"/>
    </xf>
    <xf numFmtId="9" fontId="22" fillId="9" borderId="2" xfId="0" applyNumberFormat="1" applyFont="1" applyFill="1" applyBorder="1" applyAlignment="1">
      <alignment horizontal="center" vertical="center" wrapText="1"/>
    </xf>
    <xf numFmtId="9" fontId="22" fillId="9" borderId="3" xfId="0" applyNumberFormat="1" applyFont="1" applyFill="1" applyBorder="1" applyAlignment="1">
      <alignment horizontal="center" vertical="center" wrapText="1"/>
    </xf>
    <xf numFmtId="9" fontId="22" fillId="9" borderId="7" xfId="0" applyNumberFormat="1" applyFont="1" applyFill="1" applyBorder="1" applyAlignment="1">
      <alignment horizontal="center" vertical="center" wrapText="1"/>
    </xf>
    <xf numFmtId="0" fontId="22" fillId="11" borderId="2" xfId="0" applyFont="1" applyFill="1" applyBorder="1" applyAlignment="1">
      <alignment horizontal="center" vertical="center" wrapText="1"/>
    </xf>
    <xf numFmtId="0" fontId="22" fillId="11" borderId="3" xfId="0" applyFont="1" applyFill="1" applyBorder="1" applyAlignment="1">
      <alignment horizontal="center" vertical="center" wrapText="1"/>
    </xf>
    <xf numFmtId="9" fontId="22" fillId="11" borderId="2" xfId="0" applyNumberFormat="1" applyFont="1" applyFill="1" applyBorder="1" applyAlignment="1">
      <alignment horizontal="center" vertical="center" wrapText="1"/>
    </xf>
    <xf numFmtId="9" fontId="22" fillId="11" borderId="3" xfId="0" applyNumberFormat="1" applyFont="1" applyFill="1" applyBorder="1" applyAlignment="1">
      <alignment horizontal="center" vertical="center" wrapText="1"/>
    </xf>
    <xf numFmtId="0" fontId="14" fillId="0" borderId="0" xfId="0" applyFont="1"/>
    <xf numFmtId="0" fontId="7" fillId="0" borderId="0" xfId="0" applyFont="1"/>
    <xf numFmtId="0" fontId="0" fillId="0" borderId="0" xfId="5" applyFont="1">
      <alignment vertical="top"/>
    </xf>
    <xf numFmtId="0" fontId="0" fillId="0" borderId="0" xfId="6" applyFont="1"/>
    <xf numFmtId="0" fontId="26" fillId="0" borderId="0" xfId="7" applyFont="1" applyAlignment="1">
      <alignment vertical="center" wrapText="1"/>
    </xf>
    <xf numFmtId="0" fontId="17" fillId="0" borderId="0" xfId="7" applyFont="1" applyAlignment="1">
      <alignment vertical="center" wrapText="1"/>
    </xf>
    <xf numFmtId="0" fontId="27" fillId="0" borderId="0" xfId="7" applyFont="1" applyAlignment="1">
      <alignment horizontal="left" vertical="top" wrapText="1"/>
    </xf>
    <xf numFmtId="0" fontId="28" fillId="0" borderId="0" xfId="6" applyFont="1"/>
    <xf numFmtId="0" fontId="29" fillId="0" borderId="0" xfId="7" applyFont="1" applyAlignment="1">
      <alignment wrapText="1"/>
    </xf>
    <xf numFmtId="0" fontId="30" fillId="0" borderId="0" xfId="7" applyFont="1"/>
    <xf numFmtId="0" fontId="31" fillId="0" borderId="0" xfId="7" applyFont="1" applyAlignment="1">
      <alignment wrapText="1"/>
    </xf>
    <xf numFmtId="0" fontId="32" fillId="0" borderId="0" xfId="7" applyFont="1"/>
    <xf numFmtId="0" fontId="13" fillId="0" borderId="45" xfId="6" applyFont="1" applyBorder="1" applyAlignment="1">
      <alignment horizontal="left" vertical="center" wrapText="1"/>
    </xf>
    <xf numFmtId="0" fontId="13" fillId="0" borderId="46" xfId="6" applyFont="1" applyBorder="1" applyAlignment="1">
      <alignment horizontal="left" vertical="center" wrapText="1"/>
    </xf>
    <xf numFmtId="0" fontId="13" fillId="0" borderId="47" xfId="6" applyFont="1" applyBorder="1" applyAlignment="1">
      <alignment horizontal="left" vertical="center" wrapText="1"/>
    </xf>
    <xf numFmtId="0" fontId="13" fillId="0" borderId="48" xfId="6" applyFont="1" applyBorder="1" applyAlignment="1">
      <alignment horizontal="left" vertical="center" wrapText="1"/>
    </xf>
    <xf numFmtId="0" fontId="0" fillId="0" borderId="0" xfId="7" applyFont="1"/>
    <xf numFmtId="0" fontId="33" fillId="0" borderId="0" xfId="7" applyFont="1"/>
    <xf numFmtId="0" fontId="34" fillId="0" borderId="0" xfId="2" applyFont="1" applyAlignment="1">
      <alignment vertical="center"/>
    </xf>
    <xf numFmtId="0" fontId="35" fillId="0" borderId="0" xfId="8" applyFont="1" applyAlignment="1">
      <alignment vertical="top"/>
    </xf>
    <xf numFmtId="0" fontId="36" fillId="0" borderId="0" xfId="2" applyFont="1" applyAlignment="1">
      <alignment vertical="center" wrapText="1"/>
    </xf>
    <xf numFmtId="0" fontId="37" fillId="0" borderId="0" xfId="8" applyFont="1" applyAlignment="1">
      <alignment vertical="top"/>
    </xf>
    <xf numFmtId="0" fontId="37" fillId="0" borderId="0" xfId="2" applyFont="1" applyAlignment="1">
      <alignment vertical="center" wrapText="1"/>
    </xf>
    <xf numFmtId="0" fontId="37" fillId="0" borderId="0" xfId="9" applyFont="1" applyAlignment="1">
      <alignment vertical="center" wrapText="1"/>
    </xf>
    <xf numFmtId="0" fontId="37" fillId="0" borderId="0" xfId="2" applyFont="1" applyAlignment="1">
      <alignment vertical="center" wrapText="1"/>
    </xf>
    <xf numFmtId="0" fontId="37" fillId="0" borderId="0" xfId="8" applyFont="1" applyAlignment="1">
      <alignment vertical="center" wrapText="1"/>
    </xf>
    <xf numFmtId="0" fontId="37" fillId="0" borderId="0" xfId="2" applyFont="1" applyAlignment="1">
      <alignment wrapText="1"/>
    </xf>
  </cellXfs>
  <cellStyles count="10">
    <cellStyle name="Hyperlink 3" xfId="9" xr:uid="{A9F04EC6-2E66-46CA-8B0B-288C299D17AE}"/>
    <cellStyle name="Normal" xfId="0" builtinId="0"/>
    <cellStyle name="Normal 10" xfId="2" xr:uid="{7F93BDFE-9A00-4C9A-868E-EA64F0614AD1}"/>
    <cellStyle name="Normal 10 2" xfId="7" xr:uid="{AC2D67D4-3659-45EB-834E-1E1ACC8B44AE}"/>
    <cellStyle name="Normal 2" xfId="8" xr:uid="{5D23A3E2-AD79-46C3-A7C0-593AB029C749}"/>
    <cellStyle name="Normal 2 2" xfId="3" xr:uid="{F353F7ED-9E41-49AB-BCED-19EDF6D8D455}"/>
    <cellStyle name="Normal 21" xfId="1" xr:uid="{F642DC93-5FC2-4B00-A58C-26C2332A0A00}"/>
    <cellStyle name="Normal 21 2" xfId="5" xr:uid="{CB837C0D-E2EE-4CBF-B025-BDE05B5DF365}"/>
    <cellStyle name="Normal 3" xfId="4" xr:uid="{E0253B7A-1457-4E8B-9BB8-FDA4AEABF481}"/>
    <cellStyle name="Normal 5" xfId="6" xr:uid="{3756CDA7-F7F8-4E0D-9D26-6E6C30649F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3619500</xdr:colOff>
      <xdr:row>0</xdr:row>
      <xdr:rowOff>0</xdr:rowOff>
    </xdr:from>
    <xdr:to>
      <xdr:col>3</xdr:col>
      <xdr:colOff>349250</xdr:colOff>
      <xdr:row>4</xdr:row>
      <xdr:rowOff>237730</xdr:rowOff>
    </xdr:to>
    <xdr:pic>
      <xdr:nvPicPr>
        <xdr:cNvPr id="2" name="Picture 1" descr="A black background with red and blue text&#10;&#10;AI-generated content may be incorrect.">
          <a:extLst>
            <a:ext uri="{FF2B5EF4-FFF2-40B4-BE49-F238E27FC236}">
              <a16:creationId xmlns:a16="http://schemas.microsoft.com/office/drawing/2014/main" id="{7E100371-C84F-4366-A3CF-65A819670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8750" y="0"/>
          <a:ext cx="1422400" cy="974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78</xdr:row>
      <xdr:rowOff>123825</xdr:rowOff>
    </xdr:from>
    <xdr:ext cx="7867650" cy="781050"/>
    <xdr:pic>
      <xdr:nvPicPr>
        <xdr:cNvPr id="2" name="image1.png">
          <a:extLst>
            <a:ext uri="{FF2B5EF4-FFF2-40B4-BE49-F238E27FC236}">
              <a16:creationId xmlns:a16="http://schemas.microsoft.com/office/drawing/2014/main" id="{AEFC5728-2DB7-40F1-A3C7-E5F82C560210}"/>
            </a:ext>
          </a:extLst>
        </xdr:cNvPr>
        <xdr:cNvPicPr preferRelativeResize="0"/>
      </xdr:nvPicPr>
      <xdr:blipFill>
        <a:blip xmlns:r="http://schemas.openxmlformats.org/officeDocument/2006/relationships" r:embed="rId1" cstate="print"/>
        <a:stretch>
          <a:fillRect/>
        </a:stretch>
      </xdr:blipFill>
      <xdr:spPr>
        <a:xfrm>
          <a:off x="28575" y="18881725"/>
          <a:ext cx="7867650" cy="781050"/>
        </a:xfrm>
        <a:prstGeom prst="rect">
          <a:avLst/>
        </a:prstGeom>
        <a:noFill/>
      </xdr:spPr>
    </xdr:pic>
    <xdr:clientData fLocksWithSheet="0"/>
  </xdr:oneCellAnchor>
  <xdr:oneCellAnchor>
    <xdr:from>
      <xdr:col>0</xdr:col>
      <xdr:colOff>28575</xdr:colOff>
      <xdr:row>74</xdr:row>
      <xdr:rowOff>123825</xdr:rowOff>
    </xdr:from>
    <xdr:ext cx="7867650" cy="781050"/>
    <xdr:pic>
      <xdr:nvPicPr>
        <xdr:cNvPr id="3" name="image1.png">
          <a:extLst>
            <a:ext uri="{FF2B5EF4-FFF2-40B4-BE49-F238E27FC236}">
              <a16:creationId xmlns:a16="http://schemas.microsoft.com/office/drawing/2014/main" id="{FCAFE562-E483-4612-8A95-821EC3E95CBC}"/>
            </a:ext>
          </a:extLst>
        </xdr:cNvPr>
        <xdr:cNvPicPr preferRelativeResize="0"/>
      </xdr:nvPicPr>
      <xdr:blipFill>
        <a:blip xmlns:r="http://schemas.openxmlformats.org/officeDocument/2006/relationships" r:embed="rId1" cstate="print"/>
        <a:stretch>
          <a:fillRect/>
        </a:stretch>
      </xdr:blipFill>
      <xdr:spPr>
        <a:xfrm>
          <a:off x="28575" y="18068925"/>
          <a:ext cx="7867650" cy="781050"/>
        </a:xfrm>
        <a:prstGeom prst="rect">
          <a:avLst/>
        </a:prstGeom>
        <a:noFill/>
      </xdr:spPr>
    </xdr:pic>
    <xdr:clientData fLocksWithSheet="0"/>
  </xdr:oneCellAnchor>
  <xdr:oneCellAnchor>
    <xdr:from>
      <xdr:col>0</xdr:col>
      <xdr:colOff>28575</xdr:colOff>
      <xdr:row>75</xdr:row>
      <xdr:rowOff>123825</xdr:rowOff>
    </xdr:from>
    <xdr:ext cx="7867650" cy="781050"/>
    <xdr:pic>
      <xdr:nvPicPr>
        <xdr:cNvPr id="4" name="image1.png">
          <a:extLst>
            <a:ext uri="{FF2B5EF4-FFF2-40B4-BE49-F238E27FC236}">
              <a16:creationId xmlns:a16="http://schemas.microsoft.com/office/drawing/2014/main" id="{18491ADC-BCEB-4216-8D8B-ADEDA949E2AA}"/>
            </a:ext>
          </a:extLst>
        </xdr:cNvPr>
        <xdr:cNvPicPr preferRelativeResize="0"/>
      </xdr:nvPicPr>
      <xdr:blipFill>
        <a:blip xmlns:r="http://schemas.openxmlformats.org/officeDocument/2006/relationships" r:embed="rId1" cstate="print"/>
        <a:stretch>
          <a:fillRect/>
        </a:stretch>
      </xdr:blipFill>
      <xdr:spPr>
        <a:xfrm>
          <a:off x="28575" y="18272125"/>
          <a:ext cx="7867650" cy="781050"/>
        </a:xfrm>
        <a:prstGeom prst="rect">
          <a:avLst/>
        </a:prstGeom>
        <a:noFill/>
      </xdr:spPr>
    </xdr:pic>
    <xdr:clientData fLocksWithSheet="0"/>
  </xdr:oneCellAnchor>
  <xdr:oneCellAnchor>
    <xdr:from>
      <xdr:col>0</xdr:col>
      <xdr:colOff>28575</xdr:colOff>
      <xdr:row>75</xdr:row>
      <xdr:rowOff>123825</xdr:rowOff>
    </xdr:from>
    <xdr:ext cx="7867650" cy="781050"/>
    <xdr:pic>
      <xdr:nvPicPr>
        <xdr:cNvPr id="5" name="image1.png">
          <a:extLst>
            <a:ext uri="{FF2B5EF4-FFF2-40B4-BE49-F238E27FC236}">
              <a16:creationId xmlns:a16="http://schemas.microsoft.com/office/drawing/2014/main" id="{48A28FBD-EEB7-4556-A2EE-F6028B8F5EBA}"/>
            </a:ext>
          </a:extLst>
        </xdr:cNvPr>
        <xdr:cNvPicPr preferRelativeResize="0"/>
      </xdr:nvPicPr>
      <xdr:blipFill>
        <a:blip xmlns:r="http://schemas.openxmlformats.org/officeDocument/2006/relationships" r:embed="rId1" cstate="print"/>
        <a:stretch>
          <a:fillRect/>
        </a:stretch>
      </xdr:blipFill>
      <xdr:spPr>
        <a:xfrm>
          <a:off x="28575" y="18272125"/>
          <a:ext cx="7867650" cy="781050"/>
        </a:xfrm>
        <a:prstGeom prst="rect">
          <a:avLst/>
        </a:prstGeom>
        <a:noFill/>
      </xdr:spPr>
    </xdr:pic>
    <xdr:clientData fLocksWithSheet="0"/>
  </xdr:oneCellAnchor>
  <xdr:twoCellAnchor editAs="oneCell">
    <xdr:from>
      <xdr:col>0</xdr:col>
      <xdr:colOff>6029325</xdr:colOff>
      <xdr:row>0</xdr:row>
      <xdr:rowOff>0</xdr:rowOff>
    </xdr:from>
    <xdr:to>
      <xdr:col>0</xdr:col>
      <xdr:colOff>7454900</xdr:colOff>
      <xdr:row>5</xdr:row>
      <xdr:rowOff>2780</xdr:rowOff>
    </xdr:to>
    <xdr:pic>
      <xdr:nvPicPr>
        <xdr:cNvPr id="6" name="Picture 5" descr="A black background with red and blue text&#10;&#10;AI-generated content may be incorrect.">
          <a:extLst>
            <a:ext uri="{FF2B5EF4-FFF2-40B4-BE49-F238E27FC236}">
              <a16:creationId xmlns:a16="http://schemas.microsoft.com/office/drawing/2014/main" id="{31582D04-0BF9-459F-9D4B-268692467F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29325" y="0"/>
          <a:ext cx="1425575" cy="10187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19368</xdr:colOff>
      <xdr:row>19</xdr:row>
      <xdr:rowOff>16667</xdr:rowOff>
    </xdr:from>
    <xdr:to>
      <xdr:col>5</xdr:col>
      <xdr:colOff>336021</xdr:colOff>
      <xdr:row>23</xdr:row>
      <xdr:rowOff>190499</xdr:rowOff>
    </xdr:to>
    <xdr:sp macro="" textlink="">
      <xdr:nvSpPr>
        <xdr:cNvPr id="2" name="Right Brace 1">
          <a:extLst>
            <a:ext uri="{FF2B5EF4-FFF2-40B4-BE49-F238E27FC236}">
              <a16:creationId xmlns:a16="http://schemas.microsoft.com/office/drawing/2014/main" id="{C1CC0B77-23B8-4544-9948-3745C3534CB1}"/>
            </a:ext>
          </a:extLst>
        </xdr:cNvPr>
        <xdr:cNvSpPr/>
      </xdr:nvSpPr>
      <xdr:spPr>
        <a:xfrm>
          <a:off x="14021118" y="5636417"/>
          <a:ext cx="316653" cy="1364457"/>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8846503</xdr:colOff>
      <xdr:row>23</xdr:row>
      <xdr:rowOff>189601</xdr:rowOff>
    </xdr:from>
    <xdr:to>
      <xdr:col>5</xdr:col>
      <xdr:colOff>325438</xdr:colOff>
      <xdr:row>28</xdr:row>
      <xdr:rowOff>0</xdr:rowOff>
    </xdr:to>
    <xdr:sp macro="" textlink="">
      <xdr:nvSpPr>
        <xdr:cNvPr id="3" name="Right Brace 2">
          <a:extLst>
            <a:ext uri="{FF2B5EF4-FFF2-40B4-BE49-F238E27FC236}">
              <a16:creationId xmlns:a16="http://schemas.microsoft.com/office/drawing/2014/main" id="{CE43109D-66DA-422B-A78A-DF3C88A30448}"/>
            </a:ext>
          </a:extLst>
        </xdr:cNvPr>
        <xdr:cNvSpPr/>
      </xdr:nvSpPr>
      <xdr:spPr>
        <a:xfrm>
          <a:off x="13999528" y="6999976"/>
          <a:ext cx="327660" cy="2267849"/>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6245</xdr:colOff>
      <xdr:row>28</xdr:row>
      <xdr:rowOff>3861</xdr:rowOff>
    </xdr:from>
    <xdr:to>
      <xdr:col>5</xdr:col>
      <xdr:colOff>342371</xdr:colOff>
      <xdr:row>39</xdr:row>
      <xdr:rowOff>304799</xdr:rowOff>
    </xdr:to>
    <xdr:sp macro="" textlink="">
      <xdr:nvSpPr>
        <xdr:cNvPr id="4" name="Right Brace 3">
          <a:extLst>
            <a:ext uri="{FF2B5EF4-FFF2-40B4-BE49-F238E27FC236}">
              <a16:creationId xmlns:a16="http://schemas.microsoft.com/office/drawing/2014/main" id="{532589FB-81A1-4FA8-8AAB-0A6F4632A2E4}"/>
            </a:ext>
          </a:extLst>
        </xdr:cNvPr>
        <xdr:cNvSpPr/>
      </xdr:nvSpPr>
      <xdr:spPr>
        <a:xfrm>
          <a:off x="14007995" y="8557311"/>
          <a:ext cx="336126" cy="3529913"/>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38100</xdr:colOff>
      <xdr:row>40</xdr:row>
      <xdr:rowOff>19050</xdr:rowOff>
    </xdr:from>
    <xdr:to>
      <xdr:col>5</xdr:col>
      <xdr:colOff>331788</xdr:colOff>
      <xdr:row>43</xdr:row>
      <xdr:rowOff>295274</xdr:rowOff>
    </xdr:to>
    <xdr:sp macro="" textlink="">
      <xdr:nvSpPr>
        <xdr:cNvPr id="5" name="Right Brace 4">
          <a:extLst>
            <a:ext uri="{FF2B5EF4-FFF2-40B4-BE49-F238E27FC236}">
              <a16:creationId xmlns:a16="http://schemas.microsoft.com/office/drawing/2014/main" id="{EBD26AEF-158C-4058-AFAA-E855C39FD321}"/>
            </a:ext>
          </a:extLst>
        </xdr:cNvPr>
        <xdr:cNvSpPr/>
      </xdr:nvSpPr>
      <xdr:spPr>
        <a:xfrm>
          <a:off x="14039850" y="12115800"/>
          <a:ext cx="293688" cy="1219199"/>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8843963</xdr:colOff>
      <xdr:row>44</xdr:row>
      <xdr:rowOff>5078</xdr:rowOff>
    </xdr:from>
    <xdr:to>
      <xdr:col>5</xdr:col>
      <xdr:colOff>350838</xdr:colOff>
      <xdr:row>51</xdr:row>
      <xdr:rowOff>9524</xdr:rowOff>
    </xdr:to>
    <xdr:sp macro="" textlink="">
      <xdr:nvSpPr>
        <xdr:cNvPr id="6" name="Right Brace 5">
          <a:extLst>
            <a:ext uri="{FF2B5EF4-FFF2-40B4-BE49-F238E27FC236}">
              <a16:creationId xmlns:a16="http://schemas.microsoft.com/office/drawing/2014/main" id="{D9C9F355-0E4D-48B9-96CA-43D7E389A147}"/>
            </a:ext>
          </a:extLst>
        </xdr:cNvPr>
        <xdr:cNvSpPr/>
      </xdr:nvSpPr>
      <xdr:spPr>
        <a:xfrm>
          <a:off x="13996988" y="13359128"/>
          <a:ext cx="355600" cy="2680971"/>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5</xdr:col>
      <xdr:colOff>369680</xdr:colOff>
      <xdr:row>20</xdr:row>
      <xdr:rowOff>7143</xdr:rowOff>
    </xdr:from>
    <xdr:to>
      <xdr:col>11</xdr:col>
      <xdr:colOff>319428</xdr:colOff>
      <xdr:row>21</xdr:row>
      <xdr:rowOff>158198</xdr:rowOff>
    </xdr:to>
    <xdr:pic>
      <xdr:nvPicPr>
        <xdr:cNvPr id="7" name="Picture 6">
          <a:extLst>
            <a:ext uri="{FF2B5EF4-FFF2-40B4-BE49-F238E27FC236}">
              <a16:creationId xmlns:a16="http://schemas.microsoft.com/office/drawing/2014/main" id="{C648BF82-FF75-4059-8512-AAB16DCED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71430" y="6112668"/>
          <a:ext cx="3607348" cy="474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361003</xdr:colOff>
      <xdr:row>46</xdr:row>
      <xdr:rowOff>144962</xdr:rowOff>
    </xdr:from>
    <xdr:to>
      <xdr:col>11</xdr:col>
      <xdr:colOff>297839</xdr:colOff>
      <xdr:row>48</xdr:row>
      <xdr:rowOff>14052</xdr:rowOff>
    </xdr:to>
    <xdr:pic>
      <xdr:nvPicPr>
        <xdr:cNvPr id="8" name="Picture 7">
          <a:extLst>
            <a:ext uri="{FF2B5EF4-FFF2-40B4-BE49-F238E27FC236}">
              <a16:creationId xmlns:a16="http://schemas.microsoft.com/office/drawing/2014/main" id="{83E3848D-BDC4-4067-B8D0-D34EF91214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62753" y="14432462"/>
          <a:ext cx="3594436" cy="49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312739</xdr:colOff>
      <xdr:row>8</xdr:row>
      <xdr:rowOff>45380</xdr:rowOff>
    </xdr:from>
    <xdr:to>
      <xdr:col>11</xdr:col>
      <xdr:colOff>247894</xdr:colOff>
      <xdr:row>13</xdr:row>
      <xdr:rowOff>67421</xdr:rowOff>
    </xdr:to>
    <xdr:pic>
      <xdr:nvPicPr>
        <xdr:cNvPr id="9" name="Picture 8">
          <a:extLst>
            <a:ext uri="{FF2B5EF4-FFF2-40B4-BE49-F238E27FC236}">
              <a16:creationId xmlns:a16="http://schemas.microsoft.com/office/drawing/2014/main" id="{A1A6DA45-CD54-4FE2-9234-0DB306401E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14489" y="2331380"/>
          <a:ext cx="3592755" cy="1374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225320</xdr:colOff>
      <xdr:row>1</xdr:row>
      <xdr:rowOff>28575</xdr:rowOff>
    </xdr:from>
    <xdr:to>
      <xdr:col>11</xdr:col>
      <xdr:colOff>323850</xdr:colOff>
      <xdr:row>7</xdr:row>
      <xdr:rowOff>186859</xdr:rowOff>
    </xdr:to>
    <xdr:pic>
      <xdr:nvPicPr>
        <xdr:cNvPr id="10" name="Picture 9">
          <a:extLst>
            <a:ext uri="{FF2B5EF4-FFF2-40B4-BE49-F238E27FC236}">
              <a16:creationId xmlns:a16="http://schemas.microsoft.com/office/drawing/2014/main" id="{9069B737-F509-497D-BD72-4B37E47A7643}"/>
            </a:ext>
          </a:extLst>
        </xdr:cNvPr>
        <xdr:cNvPicPr>
          <a:picLocks noChangeAspect="1"/>
        </xdr:cNvPicPr>
      </xdr:nvPicPr>
      <xdr:blipFill>
        <a:blip xmlns:r="http://schemas.openxmlformats.org/officeDocument/2006/relationships" r:embed="rId4"/>
        <a:stretch>
          <a:fillRect/>
        </a:stretch>
      </xdr:blipFill>
      <xdr:spPr>
        <a:xfrm>
          <a:off x="14227070" y="228600"/>
          <a:ext cx="3756130" cy="1929934"/>
        </a:xfrm>
        <a:prstGeom prst="rect">
          <a:avLst/>
        </a:prstGeom>
      </xdr:spPr>
    </xdr:pic>
    <xdr:clientData/>
  </xdr:twoCellAnchor>
  <xdr:twoCellAnchor editAs="oneCell">
    <xdr:from>
      <xdr:col>5</xdr:col>
      <xdr:colOff>347029</xdr:colOff>
      <xdr:row>25</xdr:row>
      <xdr:rowOff>383823</xdr:rowOff>
    </xdr:from>
    <xdr:to>
      <xdr:col>11</xdr:col>
      <xdr:colOff>291485</xdr:colOff>
      <xdr:row>27</xdr:row>
      <xdr:rowOff>240948</xdr:rowOff>
    </xdr:to>
    <xdr:pic>
      <xdr:nvPicPr>
        <xdr:cNvPr id="11" name="Picture 10">
          <a:extLst>
            <a:ext uri="{FF2B5EF4-FFF2-40B4-BE49-F238E27FC236}">
              <a16:creationId xmlns:a16="http://schemas.microsoft.com/office/drawing/2014/main" id="{BF7FBA6D-83FF-43EA-91D9-9981B28430F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348779" y="7870473"/>
          <a:ext cx="3602056"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360999</xdr:colOff>
      <xdr:row>32</xdr:row>
      <xdr:rowOff>180128</xdr:rowOff>
    </xdr:from>
    <xdr:to>
      <xdr:col>11</xdr:col>
      <xdr:colOff>305455</xdr:colOff>
      <xdr:row>34</xdr:row>
      <xdr:rowOff>91228</xdr:rowOff>
    </xdr:to>
    <xdr:pic>
      <xdr:nvPicPr>
        <xdr:cNvPr id="12" name="Picture 11">
          <a:extLst>
            <a:ext uri="{FF2B5EF4-FFF2-40B4-BE49-F238E27FC236}">
              <a16:creationId xmlns:a16="http://schemas.microsoft.com/office/drawing/2014/main" id="{ABBE6720-6FF0-4F38-9D54-B9616D89FD6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362749" y="10295678"/>
          <a:ext cx="3602056"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371475</xdr:colOff>
      <xdr:row>40</xdr:row>
      <xdr:rowOff>266700</xdr:rowOff>
    </xdr:from>
    <xdr:to>
      <xdr:col>11</xdr:col>
      <xdr:colOff>335491</xdr:colOff>
      <xdr:row>42</xdr:row>
      <xdr:rowOff>252331</xdr:rowOff>
    </xdr:to>
    <xdr:pic>
      <xdr:nvPicPr>
        <xdr:cNvPr id="13" name="Picture 15">
          <a:extLst>
            <a:ext uri="{FF2B5EF4-FFF2-40B4-BE49-F238E27FC236}">
              <a16:creationId xmlns:a16="http://schemas.microsoft.com/office/drawing/2014/main" id="{3DB45A0B-A989-40BC-AD08-7FE180328EE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373225" y="12668250"/>
          <a:ext cx="3621616" cy="614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tmforum.org/IPRPolicy/11525/home.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D05C-614F-4D6A-AE35-335BABA2BD92}">
  <sheetPr>
    <tabColor rgb="FF999999"/>
  </sheetPr>
  <dimension ref="B4:C25"/>
  <sheetViews>
    <sheetView topLeftCell="A13" zoomScaleNormal="100" workbookViewId="0">
      <selection activeCell="C15" sqref="C15"/>
    </sheetView>
  </sheetViews>
  <sheetFormatPr defaultColWidth="8.7265625" defaultRowHeight="14.5" x14ac:dyDescent="0.35"/>
  <cols>
    <col min="1" max="1" width="3.453125" style="194" customWidth="1"/>
    <col min="2" max="2" width="74.26953125" style="194" customWidth="1"/>
    <col min="3" max="3" width="67.1796875" style="194" customWidth="1"/>
    <col min="4" max="16384" width="8.7265625" style="194"/>
  </cols>
  <sheetData>
    <row r="4" spans="2:3" x14ac:dyDescent="0.35">
      <c r="B4" s="193"/>
    </row>
    <row r="5" spans="2:3" ht="37" x14ac:dyDescent="0.35">
      <c r="B5" s="195" t="s">
        <v>167</v>
      </c>
    </row>
    <row r="6" spans="2:3" ht="35" x14ac:dyDescent="0.35">
      <c r="B6" s="196"/>
    </row>
    <row r="7" spans="2:3" s="198" customFormat="1" ht="42.5" x14ac:dyDescent="0.35">
      <c r="B7" s="197" t="s">
        <v>101</v>
      </c>
      <c r="C7" s="197"/>
    </row>
    <row r="8" spans="2:3" ht="41" x14ac:dyDescent="0.7">
      <c r="B8" s="199"/>
    </row>
    <row r="9" spans="2:3" ht="23.5" x14ac:dyDescent="0.55000000000000004">
      <c r="B9" s="200" t="s">
        <v>168</v>
      </c>
    </row>
    <row r="10" spans="2:3" ht="21" x14ac:dyDescent="0.4">
      <c r="B10" s="201"/>
    </row>
    <row r="11" spans="2:3" ht="23" x14ac:dyDescent="0.4">
      <c r="B11" s="202"/>
    </row>
    <row r="12" spans="2:3" ht="23" x14ac:dyDescent="0.4">
      <c r="B12" s="202"/>
    </row>
    <row r="13" spans="2:3" ht="23" x14ac:dyDescent="0.4">
      <c r="B13" s="202"/>
    </row>
    <row r="14" spans="2:3" ht="23" x14ac:dyDescent="0.4">
      <c r="B14" s="202"/>
    </row>
    <row r="15" spans="2:3" ht="23" x14ac:dyDescent="0.4">
      <c r="B15" s="202"/>
    </row>
    <row r="16" spans="2:3" ht="23.5" x14ac:dyDescent="0.55000000000000004">
      <c r="B16" s="208" t="s">
        <v>172</v>
      </c>
    </row>
    <row r="17" spans="2:3" ht="23" x14ac:dyDescent="0.4">
      <c r="B17" s="202"/>
    </row>
    <row r="19" spans="2:3" ht="6.65" customHeight="1" thickBot="1" x14ac:dyDescent="0.45">
      <c r="B19" s="202"/>
    </row>
    <row r="20" spans="2:3" ht="18.5" thickBot="1" x14ac:dyDescent="0.4">
      <c r="B20" s="203" t="s">
        <v>102</v>
      </c>
      <c r="C20" s="204" t="s">
        <v>169</v>
      </c>
    </row>
    <row r="21" spans="2:3" ht="18.5" thickBot="1" x14ac:dyDescent="0.4">
      <c r="B21" s="203" t="s">
        <v>103</v>
      </c>
      <c r="C21" s="204" t="s">
        <v>170</v>
      </c>
    </row>
    <row r="22" spans="2:3" ht="18.5" thickBot="1" x14ac:dyDescent="0.4">
      <c r="B22" s="205" t="s">
        <v>104</v>
      </c>
      <c r="C22" s="206" t="s">
        <v>105</v>
      </c>
    </row>
    <row r="23" spans="2:3" ht="23" x14ac:dyDescent="0.4">
      <c r="B23" s="202"/>
    </row>
    <row r="24" spans="2:3" x14ac:dyDescent="0.35">
      <c r="B24" s="207"/>
    </row>
    <row r="25" spans="2:3" s="34" customFormat="1" ht="13" x14ac:dyDescent="0.3">
      <c r="B25" s="33" t="s">
        <v>171</v>
      </c>
    </row>
  </sheetData>
  <mergeCells count="1">
    <mergeCell ref="B7:C7"/>
  </mergeCells>
  <pageMargins left="0.2" right="0.45" top="0.75" bottom="0.5" header="0.3" footer="0.3"/>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E8FCC-78A5-4AB3-8508-53A2C5C4EAD7}">
  <sheetPr>
    <tabColor rgb="FF999999"/>
  </sheetPr>
  <dimension ref="A6:A32"/>
  <sheetViews>
    <sheetView topLeftCell="A11" zoomScaleNormal="100" workbookViewId="0">
      <selection activeCell="A23" sqref="A23"/>
    </sheetView>
  </sheetViews>
  <sheetFormatPr defaultColWidth="9.1796875" defaultRowHeight="16" x14ac:dyDescent="0.4"/>
  <cols>
    <col min="1" max="1" width="109.7265625" style="217" customWidth="1"/>
    <col min="2" max="16384" width="9.1796875" style="212"/>
  </cols>
  <sheetData>
    <row r="6" spans="1:1" s="210" customFormat="1" ht="26" x14ac:dyDescent="0.35">
      <c r="A6" s="209" t="s">
        <v>132</v>
      </c>
    </row>
    <row r="7" spans="1:1" x14ac:dyDescent="0.35">
      <c r="A7" s="211" t="s">
        <v>173</v>
      </c>
    </row>
    <row r="8" spans="1:1" x14ac:dyDescent="0.35">
      <c r="A8" s="213"/>
    </row>
    <row r="9" spans="1:1" ht="148.5" customHeight="1" x14ac:dyDescent="0.35">
      <c r="A9" s="214" t="s">
        <v>174</v>
      </c>
    </row>
    <row r="10" spans="1:1" ht="41.15" customHeight="1" x14ac:dyDescent="0.35">
      <c r="A10" s="211" t="s">
        <v>175</v>
      </c>
    </row>
    <row r="11" spans="1:1" x14ac:dyDescent="0.35">
      <c r="A11" s="211"/>
    </row>
    <row r="12" spans="1:1" ht="77.5" customHeight="1" x14ac:dyDescent="0.35">
      <c r="A12" s="211" t="s">
        <v>176</v>
      </c>
    </row>
    <row r="13" spans="1:1" x14ac:dyDescent="0.35">
      <c r="A13" s="211"/>
    </row>
    <row r="14" spans="1:1" x14ac:dyDescent="0.35">
      <c r="A14" s="213" t="s">
        <v>133</v>
      </c>
    </row>
    <row r="15" spans="1:1" x14ac:dyDescent="0.35">
      <c r="A15" s="215" t="s">
        <v>177</v>
      </c>
    </row>
    <row r="16" spans="1:1" x14ac:dyDescent="0.35">
      <c r="A16" s="216"/>
    </row>
    <row r="17" spans="1:1" x14ac:dyDescent="0.35">
      <c r="A17" s="216"/>
    </row>
    <row r="18" spans="1:1" x14ac:dyDescent="0.35">
      <c r="A18" s="216"/>
    </row>
    <row r="19" spans="1:1" x14ac:dyDescent="0.35">
      <c r="A19" s="216"/>
    </row>
    <row r="20" spans="1:1" x14ac:dyDescent="0.35">
      <c r="A20" s="216"/>
    </row>
    <row r="27" spans="1:1" x14ac:dyDescent="0.4">
      <c r="A27" s="217" t="s">
        <v>178</v>
      </c>
    </row>
    <row r="32" spans="1:1" x14ac:dyDescent="0.35">
      <c r="A32" s="212"/>
    </row>
  </sheetData>
  <mergeCells count="1">
    <mergeCell ref="A15:A20"/>
  </mergeCells>
  <hyperlinks>
    <hyperlink ref="A9" r:id="rId1" display="http://www.tmforum.org/IPRPolicy/11525/home.html" xr:uid="{FC6DD950-BA8C-4E44-A0B7-0FC803918D97}"/>
  </hyperlinks>
  <pageMargins left="0.25" right="0.25" top="0.75" bottom="0.75" header="0.3" footer="0.3"/>
  <pageSetup orientation="portrait" horizontalDpi="4294967293" verticalDpi="4294967293"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B798-D3B5-408E-9EDE-0F8CA659742E}">
  <dimension ref="A1:E56"/>
  <sheetViews>
    <sheetView topLeftCell="A23" zoomScale="80" zoomScaleNormal="80" workbookViewId="0">
      <selection activeCell="C48" sqref="C48:E51"/>
    </sheetView>
  </sheetViews>
  <sheetFormatPr defaultRowHeight="14.5" x14ac:dyDescent="0.35"/>
  <cols>
    <col min="1" max="1" width="2.6328125" customWidth="1"/>
    <col min="2" max="2" width="10.6328125" customWidth="1"/>
    <col min="3" max="3" width="16.54296875" customWidth="1"/>
    <col min="4" max="4" width="48.90625" customWidth="1"/>
    <col min="5" max="5" width="132.6328125" customWidth="1"/>
  </cols>
  <sheetData>
    <row r="1" spans="1:5" ht="15" thickBot="1" x14ac:dyDescent="0.4">
      <c r="A1" s="93"/>
      <c r="B1" s="93"/>
      <c r="C1" s="4"/>
      <c r="D1" s="4"/>
      <c r="E1" s="4"/>
    </row>
    <row r="2" spans="1:5" ht="16.25" customHeight="1" thickBot="1" x14ac:dyDescent="0.4">
      <c r="A2" s="13"/>
      <c r="B2" s="94" t="s">
        <v>58</v>
      </c>
      <c r="C2" s="95"/>
      <c r="D2" s="95"/>
      <c r="E2" s="96"/>
    </row>
    <row r="3" spans="1:5" ht="25.25" customHeight="1" x14ac:dyDescent="0.35">
      <c r="A3" s="13"/>
      <c r="B3" s="97" t="s">
        <v>59</v>
      </c>
      <c r="C3" s="98"/>
      <c r="D3" s="98"/>
      <c r="E3" s="99"/>
    </row>
    <row r="4" spans="1:5" ht="25.25" customHeight="1" x14ac:dyDescent="0.35">
      <c r="A4" s="13"/>
      <c r="B4" s="100" t="s">
        <v>60</v>
      </c>
      <c r="C4" s="101"/>
      <c r="D4" s="101"/>
      <c r="E4" s="102"/>
    </row>
    <row r="5" spans="1:5" ht="25.25" customHeight="1" x14ac:dyDescent="0.35">
      <c r="A5" s="13"/>
      <c r="B5" s="100" t="s">
        <v>61</v>
      </c>
      <c r="C5" s="101"/>
      <c r="D5" s="101"/>
      <c r="E5" s="102"/>
    </row>
    <row r="6" spans="1:5" ht="25.25" customHeight="1" x14ac:dyDescent="0.35">
      <c r="A6" s="13"/>
      <c r="B6" s="100" t="s">
        <v>62</v>
      </c>
      <c r="C6" s="101"/>
      <c r="D6" s="101"/>
      <c r="E6" s="102"/>
    </row>
    <row r="7" spans="1:5" ht="25.25" customHeight="1" x14ac:dyDescent="0.35">
      <c r="A7" s="13"/>
      <c r="B7" s="103" t="s">
        <v>63</v>
      </c>
      <c r="C7" s="104"/>
      <c r="D7" s="104"/>
      <c r="E7" s="105"/>
    </row>
    <row r="8" spans="1:5" ht="25.25" customHeight="1" x14ac:dyDescent="0.35">
      <c r="A8" s="13"/>
      <c r="B8" s="103" t="s">
        <v>64</v>
      </c>
      <c r="C8" s="104"/>
      <c r="D8" s="104"/>
      <c r="E8" s="105"/>
    </row>
    <row r="9" spans="1:5" ht="25.25" customHeight="1" x14ac:dyDescent="0.35">
      <c r="A9" s="13"/>
      <c r="B9" s="103" t="s">
        <v>65</v>
      </c>
      <c r="C9" s="104"/>
      <c r="D9" s="104"/>
      <c r="E9" s="105"/>
    </row>
    <row r="10" spans="1:5" ht="25.25" customHeight="1" thickBot="1" x14ac:dyDescent="0.4">
      <c r="A10" s="13"/>
      <c r="B10" s="106" t="s">
        <v>66</v>
      </c>
      <c r="C10" s="107"/>
      <c r="D10" s="107"/>
      <c r="E10" s="108"/>
    </row>
    <row r="11" spans="1:5" ht="15" thickBot="1" x14ac:dyDescent="0.4">
      <c r="A11" s="13"/>
      <c r="B11" s="13"/>
      <c r="C11" s="13"/>
      <c r="D11" s="13"/>
      <c r="E11" s="13"/>
    </row>
    <row r="12" spans="1:5" ht="16" thickBot="1" x14ac:dyDescent="0.4">
      <c r="A12" s="13"/>
      <c r="B12" s="94" t="s">
        <v>141</v>
      </c>
      <c r="C12" s="95"/>
      <c r="D12" s="95"/>
      <c r="E12" s="96"/>
    </row>
    <row r="13" spans="1:5" ht="25.25" customHeight="1" x14ac:dyDescent="0.35">
      <c r="A13" s="13"/>
      <c r="B13" s="109" t="s">
        <v>67</v>
      </c>
      <c r="C13" s="110"/>
      <c r="D13" s="110"/>
      <c r="E13" s="111"/>
    </row>
    <row r="14" spans="1:5" ht="25.25" customHeight="1" x14ac:dyDescent="0.35">
      <c r="A14" s="13"/>
      <c r="B14" s="112" t="s">
        <v>144</v>
      </c>
      <c r="C14" s="113"/>
      <c r="D14" s="113"/>
      <c r="E14" s="114"/>
    </row>
    <row r="15" spans="1:5" x14ac:dyDescent="0.35">
      <c r="A15" s="13"/>
      <c r="B15" s="115"/>
      <c r="C15" s="116"/>
      <c r="D15" s="116"/>
      <c r="E15" s="117"/>
    </row>
    <row r="16" spans="1:5" ht="15" thickBot="1" x14ac:dyDescent="0.4">
      <c r="A16" s="13"/>
      <c r="B16" s="118"/>
      <c r="C16" s="119"/>
      <c r="D16" s="119"/>
      <c r="E16" s="120"/>
    </row>
    <row r="17" spans="1:5" ht="15" thickBot="1" x14ac:dyDescent="0.4">
      <c r="A17" s="93"/>
      <c r="B17" s="93"/>
      <c r="C17" s="4"/>
      <c r="D17" s="4"/>
      <c r="E17" s="4"/>
    </row>
    <row r="18" spans="1:5" ht="22.5" customHeight="1" thickBot="1" x14ac:dyDescent="0.4">
      <c r="A18" s="4"/>
      <c r="B18" s="36"/>
      <c r="C18" s="90" t="s">
        <v>68</v>
      </c>
      <c r="D18" s="91"/>
      <c r="E18" s="92"/>
    </row>
    <row r="19" spans="1:5" ht="39" x14ac:dyDescent="0.35">
      <c r="A19" s="4"/>
      <c r="B19" s="35" t="s">
        <v>1</v>
      </c>
      <c r="C19" s="14" t="s">
        <v>2</v>
      </c>
      <c r="D19" s="15" t="s">
        <v>4</v>
      </c>
      <c r="E19" s="16" t="s">
        <v>69</v>
      </c>
    </row>
    <row r="20" spans="1:5" ht="39" x14ac:dyDescent="0.35">
      <c r="A20" s="124"/>
      <c r="B20" s="128" t="s">
        <v>13</v>
      </c>
      <c r="C20" s="125" t="str">
        <f>Questionnaire!C4</f>
        <v>Intent Translation &amp; Fulfilment</v>
      </c>
      <c r="D20" s="121" t="s">
        <v>15</v>
      </c>
      <c r="E20" s="17" t="s">
        <v>70</v>
      </c>
    </row>
    <row r="21" spans="1:5" ht="25.5" customHeight="1" x14ac:dyDescent="0.35">
      <c r="A21" s="124"/>
      <c r="B21" s="129"/>
      <c r="C21" s="126"/>
      <c r="D21" s="122"/>
      <c r="E21" s="18" t="s">
        <v>145</v>
      </c>
    </row>
    <row r="22" spans="1:5" x14ac:dyDescent="0.35">
      <c r="A22" s="124"/>
      <c r="B22" s="129"/>
      <c r="C22" s="126"/>
      <c r="D22" s="122"/>
      <c r="E22" s="18" t="s">
        <v>71</v>
      </c>
    </row>
    <row r="23" spans="1:5" x14ac:dyDescent="0.35">
      <c r="A23" s="124"/>
      <c r="B23" s="129"/>
      <c r="C23" s="126"/>
      <c r="D23" s="122"/>
      <c r="E23" s="18" t="s">
        <v>72</v>
      </c>
    </row>
    <row r="24" spans="1:5" x14ac:dyDescent="0.35">
      <c r="A24" s="124"/>
      <c r="B24" s="130"/>
      <c r="C24" s="127"/>
      <c r="D24" s="123"/>
      <c r="E24" s="19" t="s">
        <v>73</v>
      </c>
    </row>
    <row r="25" spans="1:5" ht="24.9" customHeight="1" x14ac:dyDescent="0.35">
      <c r="A25" s="124"/>
      <c r="B25" s="128" t="s">
        <v>18</v>
      </c>
      <c r="C25" s="131" t="str">
        <f>Questionnaire!C5</f>
        <v xml:space="preserve">Data collection </v>
      </c>
      <c r="D25" s="3" t="s">
        <v>20</v>
      </c>
      <c r="E25" s="17" t="s">
        <v>77</v>
      </c>
    </row>
    <row r="26" spans="1:5" ht="24.9" customHeight="1" x14ac:dyDescent="0.35">
      <c r="A26" s="124"/>
      <c r="B26" s="129"/>
      <c r="C26" s="132"/>
      <c r="D26" s="20" t="s">
        <v>74</v>
      </c>
      <c r="E26" s="18" t="s">
        <v>78</v>
      </c>
    </row>
    <row r="27" spans="1:5" ht="24.9" customHeight="1" x14ac:dyDescent="0.35">
      <c r="A27" s="124"/>
      <c r="B27" s="129"/>
      <c r="C27" s="132"/>
      <c r="D27" s="20" t="s">
        <v>75</v>
      </c>
      <c r="E27" s="18" t="s">
        <v>79</v>
      </c>
    </row>
    <row r="28" spans="1:5" ht="72" customHeight="1" x14ac:dyDescent="0.35">
      <c r="A28" s="124"/>
      <c r="B28" s="130"/>
      <c r="C28" s="133"/>
      <c r="D28" s="65" t="s">
        <v>76</v>
      </c>
      <c r="E28" s="19"/>
    </row>
    <row r="29" spans="1:5" ht="24.9" customHeight="1" x14ac:dyDescent="0.35">
      <c r="A29" s="124"/>
      <c r="B29" s="134" t="s">
        <v>24</v>
      </c>
      <c r="C29" s="125" t="str">
        <f>Questionnaire!C6</f>
        <v>Data analysis</v>
      </c>
      <c r="D29" s="3" t="s">
        <v>26</v>
      </c>
      <c r="E29" s="17" t="s">
        <v>80</v>
      </c>
    </row>
    <row r="30" spans="1:5" ht="24.9" customHeight="1" x14ac:dyDescent="0.35">
      <c r="A30" s="124"/>
      <c r="B30" s="135"/>
      <c r="C30" s="126"/>
      <c r="D30" s="20" t="s">
        <v>146</v>
      </c>
      <c r="E30" s="18" t="s">
        <v>81</v>
      </c>
    </row>
    <row r="31" spans="1:5" ht="24.9" customHeight="1" x14ac:dyDescent="0.35">
      <c r="A31" s="124"/>
      <c r="B31" s="135"/>
      <c r="C31" s="126"/>
      <c r="D31" s="20"/>
      <c r="E31" s="18" t="s">
        <v>82</v>
      </c>
    </row>
    <row r="32" spans="1:5" ht="24.9" customHeight="1" x14ac:dyDescent="0.35">
      <c r="A32" s="124"/>
      <c r="B32" s="135"/>
      <c r="C32" s="127"/>
      <c r="D32" s="5"/>
      <c r="E32" s="19" t="s">
        <v>83</v>
      </c>
    </row>
    <row r="33" spans="1:5" ht="26" x14ac:dyDescent="0.35">
      <c r="A33" s="124"/>
      <c r="B33" s="135"/>
      <c r="C33" s="125" t="str">
        <f>Questionnaire!C7</f>
        <v>Virtualized resource Feasibility check analysis</v>
      </c>
      <c r="D33" s="121" t="s">
        <v>28</v>
      </c>
      <c r="E33" s="21" t="s">
        <v>84</v>
      </c>
    </row>
    <row r="34" spans="1:5" ht="26" x14ac:dyDescent="0.35">
      <c r="A34" s="124"/>
      <c r="B34" s="135"/>
      <c r="C34" s="126"/>
      <c r="D34" s="122"/>
      <c r="E34" s="22" t="s">
        <v>85</v>
      </c>
    </row>
    <row r="35" spans="1:5" x14ac:dyDescent="0.35">
      <c r="A35" s="124"/>
      <c r="B35" s="135"/>
      <c r="C35" s="126"/>
      <c r="D35" s="122"/>
      <c r="E35" s="22" t="s">
        <v>86</v>
      </c>
    </row>
    <row r="36" spans="1:5" x14ac:dyDescent="0.35">
      <c r="A36" s="124"/>
      <c r="B36" s="135"/>
      <c r="C36" s="127"/>
      <c r="D36" s="123"/>
      <c r="E36" s="23" t="s">
        <v>87</v>
      </c>
    </row>
    <row r="37" spans="1:5" ht="24.9" customHeight="1" x14ac:dyDescent="0.35">
      <c r="A37" s="124"/>
      <c r="B37" s="135"/>
      <c r="C37" s="125" t="str">
        <f>Questionnaire!C7</f>
        <v>Virtualized resource Feasibility check analysis</v>
      </c>
      <c r="D37" s="3" t="s">
        <v>56</v>
      </c>
      <c r="E37" s="21" t="s">
        <v>88</v>
      </c>
    </row>
    <row r="38" spans="1:5" ht="24.9" customHeight="1" x14ac:dyDescent="0.35">
      <c r="A38" s="124"/>
      <c r="B38" s="135"/>
      <c r="C38" s="126"/>
      <c r="D38" s="20" t="s">
        <v>32</v>
      </c>
      <c r="E38" s="22" t="s">
        <v>89</v>
      </c>
    </row>
    <row r="39" spans="1:5" ht="24.9" customHeight="1" x14ac:dyDescent="0.35">
      <c r="A39" s="124"/>
      <c r="B39" s="135"/>
      <c r="C39" s="126"/>
      <c r="D39" s="20"/>
      <c r="E39" s="22" t="s">
        <v>90</v>
      </c>
    </row>
    <row r="40" spans="1:5" ht="24.9" customHeight="1" x14ac:dyDescent="0.35">
      <c r="A40" s="124"/>
      <c r="B40" s="136"/>
      <c r="C40" s="127"/>
      <c r="D40" s="5"/>
      <c r="E40" s="23" t="s">
        <v>91</v>
      </c>
    </row>
    <row r="41" spans="1:5" ht="24.9" customHeight="1" x14ac:dyDescent="0.35">
      <c r="A41" s="124"/>
      <c r="B41" s="134" t="s">
        <v>36</v>
      </c>
      <c r="C41" s="125" t="str">
        <f>Questionnaire!C9</f>
        <v xml:space="preserve">Evaluation &amp; decision-making </v>
      </c>
      <c r="D41" s="121" t="s">
        <v>38</v>
      </c>
      <c r="E41" s="21" t="s">
        <v>92</v>
      </c>
    </row>
    <row r="42" spans="1:5" ht="24.9" customHeight="1" x14ac:dyDescent="0.35">
      <c r="A42" s="124"/>
      <c r="B42" s="135"/>
      <c r="C42" s="126"/>
      <c r="D42" s="122"/>
      <c r="E42" s="22" t="s">
        <v>147</v>
      </c>
    </row>
    <row r="43" spans="1:5" ht="24.9" customHeight="1" x14ac:dyDescent="0.35">
      <c r="A43" s="124"/>
      <c r="B43" s="135"/>
      <c r="C43" s="126"/>
      <c r="D43" s="122"/>
      <c r="E43" s="22" t="s">
        <v>93</v>
      </c>
    </row>
    <row r="44" spans="1:5" ht="24.9" customHeight="1" x14ac:dyDescent="0.35">
      <c r="A44" s="124"/>
      <c r="B44" s="136"/>
      <c r="C44" s="127"/>
      <c r="D44" s="123"/>
      <c r="E44" s="23" t="s">
        <v>94</v>
      </c>
    </row>
    <row r="45" spans="1:5" ht="24.9" customHeight="1" x14ac:dyDescent="0.35">
      <c r="A45" s="124"/>
      <c r="B45" s="134" t="s">
        <v>42</v>
      </c>
      <c r="C45" s="125" t="str">
        <f>Questionnaire!C10</f>
        <v>Deployment</v>
      </c>
      <c r="D45" s="3" t="s">
        <v>44</v>
      </c>
      <c r="E45" s="21" t="s">
        <v>95</v>
      </c>
    </row>
    <row r="46" spans="1:5" ht="24.9" customHeight="1" x14ac:dyDescent="0.35">
      <c r="A46" s="124"/>
      <c r="B46" s="135"/>
      <c r="C46" s="126"/>
      <c r="D46" s="20" t="s">
        <v>45</v>
      </c>
      <c r="E46" s="22" t="s">
        <v>96</v>
      </c>
    </row>
    <row r="47" spans="1:5" ht="24.9" customHeight="1" x14ac:dyDescent="0.35">
      <c r="A47" s="124"/>
      <c r="B47" s="135"/>
      <c r="C47" s="127"/>
      <c r="D47" s="20"/>
      <c r="E47" s="22" t="s">
        <v>97</v>
      </c>
    </row>
    <row r="48" spans="1:5" ht="24.9" customHeight="1" x14ac:dyDescent="0.35">
      <c r="A48" s="124"/>
      <c r="B48" s="135"/>
      <c r="C48" s="138" t="str">
        <f>Questionnaire!C11</f>
        <v>Implementation Verification</v>
      </c>
      <c r="D48" s="141" t="s">
        <v>49</v>
      </c>
      <c r="E48" s="21" t="s">
        <v>98</v>
      </c>
    </row>
    <row r="49" spans="1:5" ht="24.9" customHeight="1" x14ac:dyDescent="0.35">
      <c r="A49" s="124"/>
      <c r="B49" s="135"/>
      <c r="C49" s="139"/>
      <c r="D49" s="142"/>
      <c r="E49" s="22" t="s">
        <v>99</v>
      </c>
    </row>
    <row r="50" spans="1:5" ht="24.9" customHeight="1" x14ac:dyDescent="0.35">
      <c r="A50" s="124"/>
      <c r="B50" s="135"/>
      <c r="C50" s="139"/>
      <c r="D50" s="142"/>
      <c r="E50" s="22" t="s">
        <v>100</v>
      </c>
    </row>
    <row r="51" spans="1:5" ht="62.25" customHeight="1" thickBot="1" x14ac:dyDescent="0.4">
      <c r="A51" s="124"/>
      <c r="B51" s="137"/>
      <c r="C51" s="140"/>
      <c r="D51" s="143"/>
      <c r="E51" s="67" t="s">
        <v>142</v>
      </c>
    </row>
    <row r="52" spans="1:5" x14ac:dyDescent="0.35">
      <c r="A52" s="93"/>
      <c r="B52" s="93"/>
      <c r="C52" s="4"/>
      <c r="D52" s="4"/>
      <c r="E52" s="4"/>
    </row>
    <row r="53" spans="1:5" x14ac:dyDescent="0.35">
      <c r="A53" s="93"/>
      <c r="B53" s="93"/>
      <c r="C53" s="4"/>
      <c r="D53" s="144"/>
      <c r="E53" s="144"/>
    </row>
    <row r="54" spans="1:5" x14ac:dyDescent="0.35">
      <c r="A54" s="93"/>
      <c r="B54" s="93"/>
      <c r="C54" s="4"/>
      <c r="D54" s="4"/>
      <c r="E54" s="4"/>
    </row>
    <row r="55" spans="1:5" x14ac:dyDescent="0.35">
      <c r="A55" s="93"/>
      <c r="B55" s="93"/>
      <c r="C55" s="4"/>
      <c r="D55" s="4"/>
      <c r="E55" s="4"/>
    </row>
    <row r="56" spans="1:5" x14ac:dyDescent="0.35">
      <c r="A56" s="93"/>
      <c r="B56" s="93"/>
      <c r="C56" s="4"/>
      <c r="D56" s="7"/>
      <c r="E56" s="4"/>
    </row>
  </sheetData>
  <mergeCells count="48">
    <mergeCell ref="A56:B56"/>
    <mergeCell ref="A41:A44"/>
    <mergeCell ref="B41:B44"/>
    <mergeCell ref="C41:C44"/>
    <mergeCell ref="D41:D44"/>
    <mergeCell ref="A45:A47"/>
    <mergeCell ref="B45:B51"/>
    <mergeCell ref="C45:C47"/>
    <mergeCell ref="A48:A51"/>
    <mergeCell ref="C48:C51"/>
    <mergeCell ref="D48:D51"/>
    <mergeCell ref="A52:B52"/>
    <mergeCell ref="A53:B53"/>
    <mergeCell ref="D53:E53"/>
    <mergeCell ref="A54:B54"/>
    <mergeCell ref="A55:B55"/>
    <mergeCell ref="A17:B17"/>
    <mergeCell ref="D33:D36"/>
    <mergeCell ref="A37:A40"/>
    <mergeCell ref="C37:C40"/>
    <mergeCell ref="A20:A24"/>
    <mergeCell ref="B20:B24"/>
    <mergeCell ref="C20:C24"/>
    <mergeCell ref="D20:D24"/>
    <mergeCell ref="A25:A28"/>
    <mergeCell ref="B25:B28"/>
    <mergeCell ref="C25:C28"/>
    <mergeCell ref="A29:A32"/>
    <mergeCell ref="B29:B40"/>
    <mergeCell ref="C29:C32"/>
    <mergeCell ref="A33:A36"/>
    <mergeCell ref="C33:C36"/>
    <mergeCell ref="C18:E18"/>
    <mergeCell ref="A1:B1"/>
    <mergeCell ref="B2:E2"/>
    <mergeCell ref="B3:E3"/>
    <mergeCell ref="B4:E4"/>
    <mergeCell ref="B5:E5"/>
    <mergeCell ref="B6:E6"/>
    <mergeCell ref="B7:E7"/>
    <mergeCell ref="B8:E8"/>
    <mergeCell ref="B9:E9"/>
    <mergeCell ref="B10:E10"/>
    <mergeCell ref="B12:E12"/>
    <mergeCell ref="B13:E13"/>
    <mergeCell ref="B14:E14"/>
    <mergeCell ref="B15:E15"/>
    <mergeCell ref="B16:E1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4D23-D9D8-48E2-842A-2AC01940E436}">
  <dimension ref="A1:M13"/>
  <sheetViews>
    <sheetView topLeftCell="B1" zoomScale="70" zoomScaleNormal="70" workbookViewId="0">
      <selection activeCell="G12" sqref="G12"/>
    </sheetView>
  </sheetViews>
  <sheetFormatPr defaultRowHeight="14.5" x14ac:dyDescent="0.35"/>
  <cols>
    <col min="1" max="1" width="12.54296875" customWidth="1"/>
    <col min="2" max="2" width="10.6328125" customWidth="1"/>
    <col min="3" max="3" width="17.6328125" customWidth="1"/>
    <col min="5" max="5" width="55.6328125" customWidth="1"/>
    <col min="6" max="9" width="40.6328125" customWidth="1"/>
    <col min="10" max="13" width="17.6328125" customWidth="1"/>
  </cols>
  <sheetData>
    <row r="1" spans="1:13" ht="39" x14ac:dyDescent="0.35">
      <c r="A1" s="1" t="s">
        <v>0</v>
      </c>
      <c r="B1" s="1" t="s">
        <v>1</v>
      </c>
      <c r="C1" s="1" t="s">
        <v>2</v>
      </c>
      <c r="D1" s="1" t="s">
        <v>3</v>
      </c>
      <c r="E1" s="1" t="s">
        <v>4</v>
      </c>
      <c r="F1" s="68" t="s">
        <v>5</v>
      </c>
      <c r="G1" s="68" t="s">
        <v>6</v>
      </c>
      <c r="H1" s="68" t="s">
        <v>7</v>
      </c>
      <c r="I1" s="68" t="s">
        <v>8</v>
      </c>
      <c r="J1" s="145" t="s">
        <v>9</v>
      </c>
      <c r="K1" s="146"/>
      <c r="L1" s="69" t="s">
        <v>10</v>
      </c>
      <c r="M1" s="69" t="s">
        <v>11</v>
      </c>
    </row>
    <row r="2" spans="1:13" ht="43.5" customHeight="1" x14ac:dyDescent="0.35">
      <c r="A2" s="1"/>
      <c r="B2" s="1"/>
      <c r="C2" s="1"/>
      <c r="D2" s="1"/>
      <c r="E2" s="1"/>
      <c r="F2" s="68"/>
      <c r="G2" s="68"/>
      <c r="H2" s="68"/>
      <c r="I2" s="68"/>
      <c r="J2" s="2" t="s">
        <v>12</v>
      </c>
      <c r="K2" s="2" t="s">
        <v>149</v>
      </c>
      <c r="L2" s="69"/>
      <c r="M2" s="69"/>
    </row>
    <row r="3" spans="1:13" x14ac:dyDescent="0.35">
      <c r="A3" s="1"/>
      <c r="B3" s="1"/>
      <c r="C3" s="1"/>
      <c r="D3" s="1"/>
      <c r="E3" s="1"/>
      <c r="F3" s="68"/>
      <c r="G3" s="68"/>
      <c r="H3" s="68"/>
      <c r="I3" s="68"/>
      <c r="J3" s="70">
        <v>0.8</v>
      </c>
      <c r="K3" s="70">
        <v>0.2</v>
      </c>
      <c r="L3" s="69"/>
      <c r="M3" s="69"/>
    </row>
    <row r="4" spans="1:13" ht="82.25" customHeight="1" x14ac:dyDescent="0.35">
      <c r="A4" s="147" t="s">
        <v>137</v>
      </c>
      <c r="B4" s="31" t="s">
        <v>13</v>
      </c>
      <c r="C4" s="31" t="s">
        <v>14</v>
      </c>
      <c r="D4" s="30">
        <v>0.1</v>
      </c>
      <c r="E4" s="66" t="s">
        <v>15</v>
      </c>
      <c r="F4" s="71" t="s">
        <v>148</v>
      </c>
      <c r="G4" s="72" t="s">
        <v>134</v>
      </c>
      <c r="H4" s="73" t="s">
        <v>135</v>
      </c>
      <c r="I4" s="66" t="s">
        <v>16</v>
      </c>
      <c r="J4" s="74" t="s">
        <v>17</v>
      </c>
      <c r="K4" s="74" t="s">
        <v>17</v>
      </c>
      <c r="L4" s="66"/>
      <c r="M4" s="75"/>
    </row>
    <row r="5" spans="1:13" ht="69.650000000000006" customHeight="1" x14ac:dyDescent="0.35">
      <c r="A5" s="148"/>
      <c r="B5" s="31" t="s">
        <v>18</v>
      </c>
      <c r="C5" s="31" t="s">
        <v>19</v>
      </c>
      <c r="D5" s="30">
        <v>0.1</v>
      </c>
      <c r="E5" s="66" t="s">
        <v>150</v>
      </c>
      <c r="F5" s="66" t="s">
        <v>21</v>
      </c>
      <c r="G5" s="66" t="s">
        <v>22</v>
      </c>
      <c r="H5" s="66" t="s">
        <v>23</v>
      </c>
      <c r="I5" s="76"/>
      <c r="J5" s="74" t="s">
        <v>17</v>
      </c>
      <c r="K5" s="74" t="s">
        <v>17</v>
      </c>
      <c r="L5" s="66"/>
      <c r="M5" s="75"/>
    </row>
    <row r="6" spans="1:13" ht="63" customHeight="1" x14ac:dyDescent="0.35">
      <c r="A6" s="148"/>
      <c r="B6" s="147" t="s">
        <v>24</v>
      </c>
      <c r="C6" s="31" t="s">
        <v>25</v>
      </c>
      <c r="D6" s="32">
        <v>0.15</v>
      </c>
      <c r="E6" s="72" t="s">
        <v>152</v>
      </c>
      <c r="F6" s="66" t="s">
        <v>158</v>
      </c>
      <c r="G6" s="66" t="s">
        <v>162</v>
      </c>
      <c r="H6" s="66" t="s">
        <v>159</v>
      </c>
      <c r="I6" s="66" t="s">
        <v>140</v>
      </c>
      <c r="J6" s="74" t="s">
        <v>17</v>
      </c>
      <c r="K6" s="74" t="s">
        <v>17</v>
      </c>
      <c r="L6" s="66"/>
      <c r="M6" s="75"/>
    </row>
    <row r="7" spans="1:13" ht="63" customHeight="1" x14ac:dyDescent="0.35">
      <c r="A7" s="148"/>
      <c r="B7" s="148"/>
      <c r="C7" s="6" t="s">
        <v>27</v>
      </c>
      <c r="D7" s="9">
        <v>0.15</v>
      </c>
      <c r="E7" s="77" t="s">
        <v>28</v>
      </c>
      <c r="F7" s="78" t="s">
        <v>29</v>
      </c>
      <c r="G7" s="78" t="s">
        <v>163</v>
      </c>
      <c r="H7" s="78" t="s">
        <v>30</v>
      </c>
      <c r="I7" s="78" t="s">
        <v>31</v>
      </c>
      <c r="J7" s="79" t="s">
        <v>17</v>
      </c>
      <c r="K7" s="74" t="s">
        <v>17</v>
      </c>
      <c r="L7" s="66"/>
      <c r="M7" s="80"/>
    </row>
    <row r="8" spans="1:13" ht="80.25" customHeight="1" x14ac:dyDescent="0.35">
      <c r="A8" s="148"/>
      <c r="B8" s="148"/>
      <c r="C8" s="31" t="s">
        <v>55</v>
      </c>
      <c r="D8" s="32">
        <v>0.1</v>
      </c>
      <c r="E8" s="72" t="s">
        <v>160</v>
      </c>
      <c r="F8" s="66" t="s">
        <v>33</v>
      </c>
      <c r="G8" s="66" t="s">
        <v>164</v>
      </c>
      <c r="H8" s="66" t="s">
        <v>34</v>
      </c>
      <c r="I8" s="66" t="s">
        <v>35</v>
      </c>
      <c r="J8" s="74" t="s">
        <v>17</v>
      </c>
      <c r="K8" s="74" t="s">
        <v>17</v>
      </c>
      <c r="L8" s="66"/>
      <c r="M8" s="75"/>
    </row>
    <row r="9" spans="1:13" ht="83.4" customHeight="1" x14ac:dyDescent="0.35">
      <c r="A9" s="148"/>
      <c r="B9" s="31" t="s">
        <v>36</v>
      </c>
      <c r="C9" s="6" t="s">
        <v>37</v>
      </c>
      <c r="D9" s="9">
        <v>0.15</v>
      </c>
      <c r="E9" s="77" t="s">
        <v>161</v>
      </c>
      <c r="F9" s="78" t="s">
        <v>39</v>
      </c>
      <c r="G9" s="78" t="s">
        <v>165</v>
      </c>
      <c r="H9" s="78" t="s">
        <v>40</v>
      </c>
      <c r="I9" s="78" t="s">
        <v>41</v>
      </c>
      <c r="J9" s="79" t="s">
        <v>17</v>
      </c>
      <c r="K9" s="74" t="s">
        <v>17</v>
      </c>
      <c r="L9" s="66"/>
      <c r="M9" s="80"/>
    </row>
    <row r="10" spans="1:13" ht="73.25" customHeight="1" x14ac:dyDescent="0.35">
      <c r="A10" s="148"/>
      <c r="B10" s="150" t="s">
        <v>42</v>
      </c>
      <c r="C10" s="31" t="s">
        <v>43</v>
      </c>
      <c r="D10" s="32">
        <v>0.15</v>
      </c>
      <c r="E10" s="72" t="s">
        <v>136</v>
      </c>
      <c r="F10" s="66" t="s">
        <v>46</v>
      </c>
      <c r="G10" s="66" t="s">
        <v>143</v>
      </c>
      <c r="H10" s="66" t="s">
        <v>47</v>
      </c>
      <c r="I10" s="76"/>
      <c r="J10" s="74" t="s">
        <v>17</v>
      </c>
      <c r="K10" s="74" t="s">
        <v>17</v>
      </c>
      <c r="L10" s="66"/>
      <c r="M10" s="75"/>
    </row>
    <row r="11" spans="1:13" ht="68.400000000000006" customHeight="1" x14ac:dyDescent="0.35">
      <c r="A11" s="149"/>
      <c r="B11" s="150"/>
      <c r="C11" s="81" t="s">
        <v>48</v>
      </c>
      <c r="D11" s="9">
        <v>0.1</v>
      </c>
      <c r="E11" s="77" t="s">
        <v>49</v>
      </c>
      <c r="F11" s="77" t="s">
        <v>50</v>
      </c>
      <c r="G11" s="77" t="s">
        <v>166</v>
      </c>
      <c r="H11" s="77" t="s">
        <v>51</v>
      </c>
      <c r="I11" s="77" t="s">
        <v>52</v>
      </c>
      <c r="J11" s="79" t="s">
        <v>17</v>
      </c>
      <c r="K11" s="79" t="s">
        <v>17</v>
      </c>
      <c r="L11" s="78"/>
      <c r="M11" s="80"/>
    </row>
    <row r="12" spans="1:13" x14ac:dyDescent="0.35">
      <c r="A12" s="11"/>
      <c r="B12" s="11"/>
      <c r="C12" s="82"/>
      <c r="D12" s="83">
        <v>1</v>
      </c>
      <c r="E12" s="11"/>
      <c r="F12" s="11"/>
      <c r="G12" s="11"/>
      <c r="H12" s="84"/>
      <c r="I12" s="11"/>
      <c r="J12" s="85"/>
      <c r="K12" s="85"/>
      <c r="L12" s="86"/>
      <c r="M12" s="85"/>
    </row>
    <row r="13" spans="1:13" x14ac:dyDescent="0.35">
      <c r="A13" s="87" t="s">
        <v>53</v>
      </c>
      <c r="B13" s="11"/>
      <c r="C13" s="82"/>
      <c r="D13" s="11"/>
      <c r="E13" s="11"/>
      <c r="F13" s="11"/>
      <c r="G13" s="88"/>
      <c r="H13" s="89"/>
      <c r="I13" s="11"/>
      <c r="J13" s="85"/>
      <c r="K13" s="85"/>
      <c r="L13" s="86"/>
      <c r="M13" s="85"/>
    </row>
  </sheetData>
  <mergeCells count="4">
    <mergeCell ref="J1:K1"/>
    <mergeCell ref="A4:A11"/>
    <mergeCell ref="B6:B8"/>
    <mergeCell ref="B10:B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F0E7-C0F2-47A1-A918-D54D980B6E12}">
  <dimension ref="A1:R14"/>
  <sheetViews>
    <sheetView zoomScale="80" zoomScaleNormal="80" workbookViewId="0">
      <selection activeCell="T7" sqref="T7"/>
    </sheetView>
  </sheetViews>
  <sheetFormatPr defaultColWidth="8.90625" defaultRowHeight="14.5" x14ac:dyDescent="0.35"/>
  <cols>
    <col min="1" max="1" width="15" style="52" customWidth="1"/>
    <col min="2" max="2" width="14.90625" style="52" customWidth="1"/>
    <col min="3" max="3" width="21.54296875" style="52" customWidth="1"/>
    <col min="4" max="4" width="8.90625" style="52"/>
    <col min="5" max="5" width="65.6328125" style="52" customWidth="1"/>
    <col min="6" max="9" width="5.81640625" style="52" customWidth="1"/>
    <col min="10" max="11" width="12.81640625" style="52" customWidth="1"/>
    <col min="12" max="12" width="6.81640625" style="52" customWidth="1"/>
    <col min="13" max="13" width="11.6328125" style="52" customWidth="1"/>
    <col min="14" max="14" width="6.81640625" style="52" customWidth="1"/>
    <col min="15" max="15" width="8.90625" style="52"/>
    <col min="16" max="16" width="12.81640625" style="52" customWidth="1"/>
    <col min="17" max="17" width="7.08984375" style="52" customWidth="1"/>
    <col min="18" max="16384" width="8.90625" style="52"/>
  </cols>
  <sheetData>
    <row r="1" spans="1:18" x14ac:dyDescent="0.35">
      <c r="A1" s="159" t="s">
        <v>0</v>
      </c>
      <c r="B1" s="160" t="s">
        <v>1</v>
      </c>
      <c r="C1" s="162" t="s">
        <v>2</v>
      </c>
      <c r="D1" s="164" t="s">
        <v>3</v>
      </c>
      <c r="E1" s="165" t="s">
        <v>4</v>
      </c>
      <c r="F1" s="167" t="s">
        <v>156</v>
      </c>
      <c r="G1" s="168"/>
      <c r="H1" s="168"/>
      <c r="I1" s="168"/>
      <c r="J1" s="168"/>
      <c r="K1" s="168"/>
      <c r="L1" s="168"/>
      <c r="M1" s="168"/>
      <c r="N1" s="168"/>
      <c r="O1" s="168"/>
      <c r="P1" s="168"/>
      <c r="Q1" s="168"/>
      <c r="R1" s="169" t="s">
        <v>157</v>
      </c>
    </row>
    <row r="2" spans="1:18" ht="26.4" customHeight="1" x14ac:dyDescent="0.35">
      <c r="A2" s="159"/>
      <c r="B2" s="161"/>
      <c r="C2" s="163"/>
      <c r="D2" s="163"/>
      <c r="E2" s="166"/>
      <c r="F2" s="172" t="s">
        <v>155</v>
      </c>
      <c r="G2" s="173"/>
      <c r="H2" s="173"/>
      <c r="I2" s="173"/>
      <c r="J2" s="173"/>
      <c r="K2" s="174"/>
      <c r="L2" s="181" t="str">
        <f>J3</f>
        <v>Private Cloud 5GC with Full CNF Stack</v>
      </c>
      <c r="M2" s="182"/>
      <c r="N2" s="183"/>
      <c r="O2" s="187" t="str">
        <f>K3</f>
        <v>Other NF Core sub-scenario</v>
      </c>
      <c r="P2" s="188"/>
      <c r="Q2" s="188"/>
      <c r="R2" s="169"/>
    </row>
    <row r="3" spans="1:18" ht="21" customHeight="1" x14ac:dyDescent="0.35">
      <c r="A3" s="159"/>
      <c r="B3" s="161"/>
      <c r="C3" s="163"/>
      <c r="D3" s="163"/>
      <c r="E3" s="166"/>
      <c r="F3" s="175" t="s">
        <v>5</v>
      </c>
      <c r="G3" s="175" t="s">
        <v>6</v>
      </c>
      <c r="H3" s="175" t="s">
        <v>7</v>
      </c>
      <c r="I3" s="175" t="s">
        <v>8</v>
      </c>
      <c r="J3" s="177" t="str">
        <f>Questionnaire!J2</f>
        <v>Private Cloud 5GC with Full CNF Stack</v>
      </c>
      <c r="K3" s="179" t="str">
        <f>Questionnaire!K2</f>
        <v>Other NF Core sub-scenario</v>
      </c>
      <c r="L3" s="184">
        <f>Questionnaire!J3</f>
        <v>0.8</v>
      </c>
      <c r="M3" s="185"/>
      <c r="N3" s="186"/>
      <c r="O3" s="189">
        <f>Questionnaire!K3</f>
        <v>0.2</v>
      </c>
      <c r="P3" s="190"/>
      <c r="Q3" s="190"/>
      <c r="R3" s="169"/>
    </row>
    <row r="4" spans="1:18" ht="24" customHeight="1" thickBot="1" x14ac:dyDescent="0.4">
      <c r="A4" s="159"/>
      <c r="B4" s="161"/>
      <c r="C4" s="163"/>
      <c r="D4" s="163"/>
      <c r="E4" s="166"/>
      <c r="F4" s="176"/>
      <c r="G4" s="176"/>
      <c r="H4" s="176"/>
      <c r="I4" s="176"/>
      <c r="J4" s="178"/>
      <c r="K4" s="180"/>
      <c r="L4" s="56" t="s">
        <v>154</v>
      </c>
      <c r="M4" s="57" t="s">
        <v>54</v>
      </c>
      <c r="N4" s="56" t="s">
        <v>153</v>
      </c>
      <c r="O4" s="60" t="s">
        <v>154</v>
      </c>
      <c r="P4" s="61" t="s">
        <v>54</v>
      </c>
      <c r="Q4" s="64" t="s">
        <v>153</v>
      </c>
      <c r="R4" s="169"/>
    </row>
    <row r="5" spans="1:18" ht="52" x14ac:dyDescent="0.35">
      <c r="A5" s="151" t="s">
        <v>138</v>
      </c>
      <c r="B5" s="37" t="s">
        <v>13</v>
      </c>
      <c r="C5" s="38" t="s">
        <v>14</v>
      </c>
      <c r="D5" s="39">
        <v>0.1</v>
      </c>
      <c r="E5" s="40" t="s">
        <v>15</v>
      </c>
      <c r="F5" s="8">
        <v>4</v>
      </c>
      <c r="G5" s="8">
        <v>3</v>
      </c>
      <c r="H5" s="8">
        <v>2</v>
      </c>
      <c r="I5" s="8">
        <v>1</v>
      </c>
      <c r="J5" s="55" t="str">
        <f>Questionnaire!J4</f>
        <v>A</v>
      </c>
      <c r="K5" s="54" t="str">
        <f>Questionnaire!K4</f>
        <v>A</v>
      </c>
      <c r="L5" s="53">
        <f t="shared" ref="L5:L12" si="0">IF(J5="A",F5,IF(J5="B",G5, IF(J5="C",H5, IF(J5="D",I5))))</f>
        <v>4</v>
      </c>
      <c r="M5" s="58">
        <f>L5</f>
        <v>4</v>
      </c>
      <c r="N5" s="154">
        <f>SUMPRODUCT(M5:M12,D5:D12)</f>
        <v>4</v>
      </c>
      <c r="O5" s="54">
        <f>IF(K5="A",F5,IF(K5="B",G5, IF(K5="C",H5, IF(K5="D",I5))))</f>
        <v>4</v>
      </c>
      <c r="P5" s="62">
        <f>O5</f>
        <v>4</v>
      </c>
      <c r="Q5" s="171">
        <f>SUMPRODUCT(P5:P12,D5:D12)</f>
        <v>4</v>
      </c>
      <c r="R5" s="170">
        <f>(L3*N5+O3*Q5)/(L3+O3)</f>
        <v>4</v>
      </c>
    </row>
    <row r="6" spans="1:18" ht="65" x14ac:dyDescent="0.35">
      <c r="A6" s="152"/>
      <c r="B6" s="41" t="s">
        <v>18</v>
      </c>
      <c r="C6" s="42" t="s">
        <v>19</v>
      </c>
      <c r="D6" s="43">
        <v>0.1</v>
      </c>
      <c r="E6" s="44" t="s">
        <v>151</v>
      </c>
      <c r="F6" s="8">
        <v>3</v>
      </c>
      <c r="G6" s="8">
        <v>2</v>
      </c>
      <c r="H6" s="8">
        <v>1</v>
      </c>
      <c r="I6" s="8">
        <v>0</v>
      </c>
      <c r="J6" s="55" t="str">
        <f>Questionnaire!J5</f>
        <v>A</v>
      </c>
      <c r="K6" s="54" t="str">
        <f>Questionnaire!K5</f>
        <v>A</v>
      </c>
      <c r="L6" s="53">
        <f t="shared" si="0"/>
        <v>3</v>
      </c>
      <c r="M6" s="58">
        <f>IF(AND(L6=3,AVERAGE(L5,L7,L8,L9,L10,L12)&gt;3),AVERAGE(L5,L7,L8,L9,L10,L12),L6)</f>
        <v>4</v>
      </c>
      <c r="N6" s="154"/>
      <c r="O6" s="54">
        <f t="shared" ref="O6:O12" si="1">IF(K6="A",F6,IF(K6="B",G6, IF(K6="C",H6, IF(K6="D",I6))))</f>
        <v>3</v>
      </c>
      <c r="P6" s="62">
        <f>IF(AND(O6=3,AVERAGE(O5,O7,O8,O9,O10,O12)&gt;3),AVERAGE(O5,O7,O8,O9,O10,O12),O6)</f>
        <v>4</v>
      </c>
      <c r="Q6" s="171"/>
      <c r="R6" s="170"/>
    </row>
    <row r="7" spans="1:18" ht="39" x14ac:dyDescent="0.35">
      <c r="A7" s="152"/>
      <c r="B7" s="155" t="s">
        <v>24</v>
      </c>
      <c r="C7" s="42" t="s">
        <v>25</v>
      </c>
      <c r="D7" s="43">
        <v>0.15</v>
      </c>
      <c r="E7" s="44" t="s">
        <v>152</v>
      </c>
      <c r="F7" s="8">
        <v>4</v>
      </c>
      <c r="G7" s="8">
        <v>3</v>
      </c>
      <c r="H7" s="8">
        <v>2</v>
      </c>
      <c r="I7" s="8">
        <v>1</v>
      </c>
      <c r="J7" s="55" t="str">
        <f>Questionnaire!J6</f>
        <v>A</v>
      </c>
      <c r="K7" s="54" t="str">
        <f>Questionnaire!K6</f>
        <v>A</v>
      </c>
      <c r="L7" s="53">
        <f t="shared" si="0"/>
        <v>4</v>
      </c>
      <c r="M7" s="58">
        <f t="shared" ref="M7:M9" si="2">L7</f>
        <v>4</v>
      </c>
      <c r="N7" s="154"/>
      <c r="O7" s="54">
        <f t="shared" si="1"/>
        <v>4</v>
      </c>
      <c r="P7" s="62">
        <f t="shared" ref="P7:P9" si="3">O7</f>
        <v>4</v>
      </c>
      <c r="Q7" s="171"/>
      <c r="R7" s="170"/>
    </row>
    <row r="8" spans="1:18" ht="26" x14ac:dyDescent="0.35">
      <c r="A8" s="152"/>
      <c r="B8" s="156"/>
      <c r="C8" s="45" t="s">
        <v>27</v>
      </c>
      <c r="D8" s="46">
        <v>0.15</v>
      </c>
      <c r="E8" s="47" t="s">
        <v>28</v>
      </c>
      <c r="F8" s="8">
        <v>4</v>
      </c>
      <c r="G8" s="8">
        <v>3</v>
      </c>
      <c r="H8" s="8">
        <v>2</v>
      </c>
      <c r="I8" s="8">
        <v>1</v>
      </c>
      <c r="J8" s="55" t="str">
        <f>Questionnaire!J7</f>
        <v>A</v>
      </c>
      <c r="K8" s="54" t="str">
        <f>Questionnaire!K7</f>
        <v>A</v>
      </c>
      <c r="L8" s="53">
        <f t="shared" si="0"/>
        <v>4</v>
      </c>
      <c r="M8" s="58">
        <f t="shared" si="2"/>
        <v>4</v>
      </c>
      <c r="N8" s="154"/>
      <c r="O8" s="54">
        <f t="shared" si="1"/>
        <v>4</v>
      </c>
      <c r="P8" s="62">
        <f t="shared" si="3"/>
        <v>4</v>
      </c>
      <c r="Q8" s="171"/>
      <c r="R8" s="170"/>
    </row>
    <row r="9" spans="1:18" ht="52" x14ac:dyDescent="0.35">
      <c r="A9" s="152"/>
      <c r="B9" s="156"/>
      <c r="C9" s="42" t="s">
        <v>55</v>
      </c>
      <c r="D9" s="43">
        <v>0.1</v>
      </c>
      <c r="E9" s="44" t="s">
        <v>139</v>
      </c>
      <c r="F9" s="8">
        <v>4</v>
      </c>
      <c r="G9" s="8">
        <v>3</v>
      </c>
      <c r="H9" s="8">
        <v>2</v>
      </c>
      <c r="I9" s="8">
        <v>1</v>
      </c>
      <c r="J9" s="55" t="str">
        <f>Questionnaire!J8</f>
        <v>A</v>
      </c>
      <c r="K9" s="54" t="str">
        <f>Questionnaire!K8</f>
        <v>A</v>
      </c>
      <c r="L9" s="53">
        <f t="shared" si="0"/>
        <v>4</v>
      </c>
      <c r="M9" s="58">
        <f t="shared" si="2"/>
        <v>4</v>
      </c>
      <c r="N9" s="154"/>
      <c r="O9" s="54">
        <f t="shared" si="1"/>
        <v>4</v>
      </c>
      <c r="P9" s="62">
        <f t="shared" si="3"/>
        <v>4</v>
      </c>
      <c r="Q9" s="171"/>
      <c r="R9" s="170"/>
    </row>
    <row r="10" spans="1:18" ht="39" x14ac:dyDescent="0.35">
      <c r="A10" s="152"/>
      <c r="B10" s="48" t="s">
        <v>36</v>
      </c>
      <c r="C10" s="45" t="s">
        <v>37</v>
      </c>
      <c r="D10" s="46">
        <v>0.15</v>
      </c>
      <c r="E10" s="47" t="s">
        <v>38</v>
      </c>
      <c r="F10" s="8">
        <v>4</v>
      </c>
      <c r="G10" s="8">
        <v>3</v>
      </c>
      <c r="H10" s="8">
        <v>2</v>
      </c>
      <c r="I10" s="8">
        <v>1</v>
      </c>
      <c r="J10" s="55" t="str">
        <f>Questionnaire!J9</f>
        <v>A</v>
      </c>
      <c r="K10" s="54" t="str">
        <f>Questionnaire!K9</f>
        <v>A</v>
      </c>
      <c r="L10" s="53">
        <f t="shared" si="0"/>
        <v>4</v>
      </c>
      <c r="M10" s="58">
        <f>L10</f>
        <v>4</v>
      </c>
      <c r="N10" s="154"/>
      <c r="O10" s="54">
        <f t="shared" si="1"/>
        <v>4</v>
      </c>
      <c r="P10" s="62">
        <f>O10</f>
        <v>4</v>
      </c>
      <c r="Q10" s="171"/>
      <c r="R10" s="170"/>
    </row>
    <row r="11" spans="1:18" ht="49.5" customHeight="1" x14ac:dyDescent="0.35">
      <c r="A11" s="152"/>
      <c r="B11" s="157" t="s">
        <v>42</v>
      </c>
      <c r="C11" s="42" t="s">
        <v>43</v>
      </c>
      <c r="D11" s="43">
        <v>0.15</v>
      </c>
      <c r="E11" s="44" t="s">
        <v>136</v>
      </c>
      <c r="F11" s="8">
        <v>2</v>
      </c>
      <c r="G11" s="8">
        <v>1</v>
      </c>
      <c r="H11" s="8">
        <v>0</v>
      </c>
      <c r="I11" s="8">
        <v>0</v>
      </c>
      <c r="J11" s="55" t="str">
        <f>Questionnaire!J10</f>
        <v>A</v>
      </c>
      <c r="K11" s="54" t="str">
        <f>Questionnaire!K10</f>
        <v>A</v>
      </c>
      <c r="L11" s="53">
        <f t="shared" si="0"/>
        <v>2</v>
      </c>
      <c r="M11" s="58">
        <f>IF(AND(L11=2,AVERAGE(L5,L7,L8,L9,L10,L12)&gt;3),AVERAGE(L5,L7,L8,L9,L10,L12),L11)</f>
        <v>4</v>
      </c>
      <c r="N11" s="154"/>
      <c r="O11" s="54">
        <f t="shared" si="1"/>
        <v>2</v>
      </c>
      <c r="P11" s="62">
        <f>IF(AND(O11=2,AVERAGE(O5,O7,O8,O9,O10,O12)&gt;3),AVERAGE(O5,O7,O8,O9,O10,O12),O11)</f>
        <v>4</v>
      </c>
      <c r="Q11" s="171"/>
      <c r="R11" s="170"/>
    </row>
    <row r="12" spans="1:18" ht="26.5" thickBot="1" x14ac:dyDescent="0.4">
      <c r="A12" s="153"/>
      <c r="B12" s="158"/>
      <c r="C12" s="49" t="s">
        <v>48</v>
      </c>
      <c r="D12" s="50">
        <v>0.1</v>
      </c>
      <c r="E12" s="51" t="s">
        <v>49</v>
      </c>
      <c r="F12" s="8">
        <v>4</v>
      </c>
      <c r="G12" s="8">
        <v>3</v>
      </c>
      <c r="H12" s="8">
        <v>2</v>
      </c>
      <c r="I12" s="8">
        <v>1</v>
      </c>
      <c r="J12" s="55" t="str">
        <f>Questionnaire!J11</f>
        <v>A</v>
      </c>
      <c r="K12" s="54" t="str">
        <f>Questionnaire!K11</f>
        <v>A</v>
      </c>
      <c r="L12" s="53">
        <f t="shared" si="0"/>
        <v>4</v>
      </c>
      <c r="M12" s="59">
        <f>L12</f>
        <v>4</v>
      </c>
      <c r="N12" s="154"/>
      <c r="O12" s="54">
        <f t="shared" si="1"/>
        <v>4</v>
      </c>
      <c r="P12" s="63">
        <f>O12</f>
        <v>4</v>
      </c>
      <c r="Q12" s="171"/>
      <c r="R12" s="170"/>
    </row>
    <row r="13" spans="1:18" x14ac:dyDescent="0.35">
      <c r="A13" s="10"/>
      <c r="B13" s="10"/>
      <c r="C13" s="10"/>
      <c r="D13" s="12">
        <v>1</v>
      </c>
      <c r="E13" s="10"/>
      <c r="F13" s="10"/>
      <c r="G13" s="10"/>
      <c r="H13" s="10"/>
      <c r="I13" s="10"/>
      <c r="J13" s="10"/>
      <c r="K13" s="10"/>
      <c r="L13" s="10"/>
      <c r="M13" s="10"/>
      <c r="N13" s="10"/>
    </row>
    <row r="14" spans="1:18" x14ac:dyDescent="0.35">
      <c r="A14" s="10"/>
      <c r="B14" s="10" t="s">
        <v>57</v>
      </c>
      <c r="C14" s="10"/>
      <c r="D14" s="10"/>
      <c r="E14" s="10"/>
      <c r="F14" s="10"/>
      <c r="G14" s="10"/>
      <c r="H14" s="10"/>
      <c r="I14" s="10"/>
      <c r="J14" s="10"/>
      <c r="K14" s="10"/>
      <c r="L14" s="10"/>
      <c r="M14" s="10"/>
      <c r="N14" s="10"/>
    </row>
  </sheetData>
  <mergeCells count="24">
    <mergeCell ref="R1:R4"/>
    <mergeCell ref="R5:R12"/>
    <mergeCell ref="Q5:Q12"/>
    <mergeCell ref="F2:K2"/>
    <mergeCell ref="F3:F4"/>
    <mergeCell ref="G3:G4"/>
    <mergeCell ref="H3:H4"/>
    <mergeCell ref="I3:I4"/>
    <mergeCell ref="J3:J4"/>
    <mergeCell ref="K3:K4"/>
    <mergeCell ref="L2:N2"/>
    <mergeCell ref="L3:N3"/>
    <mergeCell ref="O2:Q2"/>
    <mergeCell ref="O3:Q3"/>
    <mergeCell ref="A5:A12"/>
    <mergeCell ref="N5:N12"/>
    <mergeCell ref="B7:B9"/>
    <mergeCell ref="B11:B12"/>
    <mergeCell ref="A1:A4"/>
    <mergeCell ref="B1:B4"/>
    <mergeCell ref="C1:C4"/>
    <mergeCell ref="D1:D4"/>
    <mergeCell ref="E1:E4"/>
    <mergeCell ref="F1:Q1"/>
  </mergeCells>
  <pageMargins left="0.7" right="0.7" top="0.75" bottom="0.75" header="0.3" footer="0.3"/>
  <ignoredErrors>
    <ignoredError sqref="M6 M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1DE4-18E5-435E-800C-418714D5ED2B}">
  <dimension ref="A1:F21"/>
  <sheetViews>
    <sheetView tabSelected="1" workbookViewId="0">
      <selection activeCell="H12" sqref="H12:H13"/>
    </sheetView>
  </sheetViews>
  <sheetFormatPr defaultRowHeight="14.5" x14ac:dyDescent="0.35"/>
  <cols>
    <col min="4" max="4" width="31.453125" customWidth="1"/>
    <col min="5" max="5" width="18.6328125" customWidth="1"/>
    <col min="6" max="6" width="29.54296875" customWidth="1"/>
  </cols>
  <sheetData>
    <row r="1" spans="1:6" x14ac:dyDescent="0.35">
      <c r="A1" s="191"/>
      <c r="B1" s="191"/>
      <c r="C1" s="24"/>
      <c r="D1" s="24"/>
      <c r="E1" s="24"/>
      <c r="F1" s="24"/>
    </row>
    <row r="2" spans="1:6" x14ac:dyDescent="0.35">
      <c r="A2" s="191"/>
      <c r="B2" s="191"/>
      <c r="C2" s="24"/>
      <c r="D2" s="24"/>
      <c r="E2" s="24"/>
      <c r="F2" s="24"/>
    </row>
    <row r="3" spans="1:6" x14ac:dyDescent="0.35">
      <c r="A3" s="191"/>
      <c r="B3" s="191"/>
      <c r="C3" s="25"/>
      <c r="D3" s="26"/>
      <c r="E3" s="24"/>
      <c r="F3" s="24"/>
    </row>
    <row r="4" spans="1:6" x14ac:dyDescent="0.35">
      <c r="A4" s="191"/>
      <c r="B4" s="191"/>
      <c r="C4" s="25"/>
      <c r="D4" s="26"/>
      <c r="E4" s="24"/>
      <c r="F4" s="24"/>
    </row>
    <row r="5" spans="1:6" x14ac:dyDescent="0.35">
      <c r="A5" s="192"/>
      <c r="B5" s="192"/>
      <c r="C5" s="25"/>
      <c r="D5" s="27" t="s">
        <v>106</v>
      </c>
      <c r="E5" s="27" t="s">
        <v>107</v>
      </c>
      <c r="F5" s="27" t="s">
        <v>108</v>
      </c>
    </row>
    <row r="6" spans="1:6" x14ac:dyDescent="0.35">
      <c r="A6" s="191"/>
      <c r="B6" s="191"/>
      <c r="C6" s="24"/>
      <c r="D6" s="28" t="s">
        <v>109</v>
      </c>
      <c r="E6" s="28" t="s">
        <v>110</v>
      </c>
      <c r="F6" s="28" t="s">
        <v>111</v>
      </c>
    </row>
    <row r="7" spans="1:6" x14ac:dyDescent="0.35">
      <c r="A7" s="192"/>
      <c r="B7" s="192"/>
      <c r="C7" s="25"/>
      <c r="D7" s="28" t="s">
        <v>112</v>
      </c>
      <c r="E7" s="28" t="s">
        <v>113</v>
      </c>
      <c r="F7" s="28" t="s">
        <v>114</v>
      </c>
    </row>
    <row r="8" spans="1:6" x14ac:dyDescent="0.35">
      <c r="A8" s="192"/>
      <c r="B8" s="192"/>
      <c r="C8" s="25"/>
      <c r="D8" s="28" t="s">
        <v>115</v>
      </c>
      <c r="E8" s="28" t="s">
        <v>110</v>
      </c>
      <c r="F8" s="28" t="s">
        <v>114</v>
      </c>
    </row>
    <row r="9" spans="1:6" x14ac:dyDescent="0.35">
      <c r="A9" s="192"/>
      <c r="B9" s="192"/>
      <c r="C9" s="25"/>
      <c r="D9" s="28" t="s">
        <v>116</v>
      </c>
      <c r="E9" s="28" t="s">
        <v>117</v>
      </c>
      <c r="F9" s="28" t="s">
        <v>118</v>
      </c>
    </row>
    <row r="10" spans="1:6" x14ac:dyDescent="0.35">
      <c r="A10" s="192"/>
      <c r="B10" s="192"/>
      <c r="C10" s="25"/>
      <c r="D10" s="28" t="s">
        <v>119</v>
      </c>
      <c r="E10" s="28" t="s">
        <v>117</v>
      </c>
      <c r="F10" s="28" t="s">
        <v>120</v>
      </c>
    </row>
    <row r="11" spans="1:6" x14ac:dyDescent="0.35">
      <c r="A11" s="192"/>
      <c r="B11" s="192"/>
      <c r="C11" s="25"/>
      <c r="D11" s="28" t="s">
        <v>121</v>
      </c>
      <c r="E11" s="28" t="s">
        <v>117</v>
      </c>
      <c r="F11" s="28" t="s">
        <v>122</v>
      </c>
    </row>
    <row r="12" spans="1:6" x14ac:dyDescent="0.35">
      <c r="A12" s="192"/>
      <c r="B12" s="192"/>
      <c r="C12" s="25"/>
      <c r="D12" s="28" t="s">
        <v>123</v>
      </c>
      <c r="E12" s="28" t="s">
        <v>117</v>
      </c>
      <c r="F12" s="28" t="s">
        <v>122</v>
      </c>
    </row>
    <row r="13" spans="1:6" x14ac:dyDescent="0.35">
      <c r="A13" s="192"/>
      <c r="B13" s="192"/>
      <c r="C13" s="25"/>
      <c r="D13" s="28" t="s">
        <v>124</v>
      </c>
      <c r="E13" s="28" t="s">
        <v>125</v>
      </c>
      <c r="F13" s="28" t="s">
        <v>126</v>
      </c>
    </row>
    <row r="14" spans="1:6" x14ac:dyDescent="0.35">
      <c r="A14" s="192"/>
      <c r="B14" s="192"/>
      <c r="C14" s="25"/>
      <c r="D14" s="28" t="s">
        <v>127</v>
      </c>
      <c r="E14" s="28" t="s">
        <v>128</v>
      </c>
      <c r="F14" s="28" t="s">
        <v>126</v>
      </c>
    </row>
    <row r="15" spans="1:6" x14ac:dyDescent="0.35">
      <c r="A15" s="192"/>
      <c r="B15" s="192"/>
      <c r="C15" s="25"/>
      <c r="D15" s="28" t="s">
        <v>129</v>
      </c>
      <c r="E15" s="28" t="s">
        <v>128</v>
      </c>
      <c r="F15" s="28" t="s">
        <v>126</v>
      </c>
    </row>
    <row r="16" spans="1:6" x14ac:dyDescent="0.35">
      <c r="A16" s="192"/>
      <c r="B16" s="192"/>
      <c r="C16" s="25"/>
      <c r="D16" s="28" t="s">
        <v>130</v>
      </c>
      <c r="E16" s="28" t="s">
        <v>117</v>
      </c>
      <c r="F16" s="28" t="s">
        <v>126</v>
      </c>
    </row>
    <row r="17" spans="1:6" x14ac:dyDescent="0.35">
      <c r="A17" s="192"/>
      <c r="B17" s="192"/>
      <c r="C17" s="25"/>
      <c r="D17" s="25"/>
      <c r="E17" s="25"/>
      <c r="F17" s="25"/>
    </row>
    <row r="18" spans="1:6" x14ac:dyDescent="0.35">
      <c r="A18" s="192"/>
      <c r="B18" s="192"/>
      <c r="C18" s="25"/>
      <c r="D18" s="24"/>
      <c r="E18" s="24"/>
      <c r="F18" s="24"/>
    </row>
    <row r="19" spans="1:6" x14ac:dyDescent="0.35">
      <c r="A19" s="192"/>
      <c r="B19" s="192"/>
      <c r="C19" s="25"/>
      <c r="D19" s="29" t="s">
        <v>131</v>
      </c>
      <c r="E19" s="24"/>
      <c r="F19" s="24"/>
    </row>
    <row r="20" spans="1:6" x14ac:dyDescent="0.35">
      <c r="A20" s="191"/>
      <c r="B20" s="191"/>
      <c r="C20" s="24"/>
      <c r="D20" s="24"/>
      <c r="E20" s="24"/>
      <c r="F20" s="24"/>
    </row>
    <row r="21" spans="1:6" x14ac:dyDescent="0.35">
      <c r="A21" s="192"/>
      <c r="B21" s="192"/>
      <c r="C21" s="25"/>
      <c r="D21" s="25"/>
      <c r="E21" s="25"/>
      <c r="F21" s="24"/>
    </row>
  </sheetData>
  <mergeCells count="21">
    <mergeCell ref="A20:B20"/>
    <mergeCell ref="A21:B21"/>
    <mergeCell ref="A16:B16"/>
    <mergeCell ref="A17:B17"/>
    <mergeCell ref="A18:B18"/>
    <mergeCell ref="A19:B19"/>
    <mergeCell ref="A15:B15"/>
    <mergeCell ref="A7:B7"/>
    <mergeCell ref="A8:B8"/>
    <mergeCell ref="A9:B9"/>
    <mergeCell ref="A10:B10"/>
    <mergeCell ref="A11:B11"/>
    <mergeCell ref="A12:B12"/>
    <mergeCell ref="A13:B13"/>
    <mergeCell ref="A14:B14"/>
    <mergeCell ref="A6:B6"/>
    <mergeCell ref="A1:B1"/>
    <mergeCell ref="A2:B2"/>
    <mergeCell ref="A3:B3"/>
    <mergeCell ref="A4:B4"/>
    <mergeCell ref="A5:B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6" ma:contentTypeDescription="Create a new document." ma:contentTypeScope="" ma:versionID="54b41485f211716c550f499ba4040328">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ff454b64344b1ec473b78aa2a3578b9e"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31A271-50F0-47C7-BB5E-1FA16AB860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D7FDA6-57F3-4AE3-A2DD-339C575B3589}">
  <ds:schemaRefs>
    <ds:schemaRef ds:uri="http://schemas.microsoft.com/office/2006/metadata/properties"/>
    <ds:schemaRef ds:uri="http://schemas.microsoft.com/office/infopath/2007/PartnerControls"/>
    <ds:schemaRef ds:uri="6787c073-3ca9-4904-98f0-2db325fddc11"/>
    <ds:schemaRef ds:uri="b9cbfd23-0aee-4daf-9326-5162d0d6f612"/>
  </ds:schemaRefs>
</ds:datastoreItem>
</file>

<file path=customXml/itemProps3.xml><?xml version="1.0" encoding="utf-8"?>
<ds:datastoreItem xmlns:ds="http://schemas.openxmlformats.org/officeDocument/2006/customXml" ds:itemID="{13227234-6C65-4990-814A-9316FB751E50}">
  <ds:schemaRefs>
    <ds:schemaRef ds:uri="http://schemas.microsoft.com/sharepoint/v3/contenttype/forms"/>
  </ds:schemaRefs>
</ds:datastoreItem>
</file>

<file path=docMetadata/LabelInfo.xml><?xml version="1.0" encoding="utf-8"?>
<clbl:labelList xmlns:clbl="http://schemas.microsoft.com/office/2020/mipLabelMetadata">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Document Title</vt:lpstr>
      <vt:lpstr>Legal Notice</vt:lpstr>
      <vt:lpstr>Guideline</vt:lpstr>
      <vt:lpstr>Questionnaire</vt:lpstr>
      <vt:lpstr>Scoring</vt:lpstr>
      <vt:lpstr>Acknowledgements</vt:lpstr>
      <vt:lpstr>'Legal Notice'!Print_Area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Salim</dc:creator>
  <cp:lastModifiedBy>Alan Pope</cp:lastModifiedBy>
  <dcterms:created xsi:type="dcterms:W3CDTF">2026-01-13T14:28:26Z</dcterms:created>
  <dcterms:modified xsi:type="dcterms:W3CDTF">2026-01-31T17:53:27Z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0x01010062BEFE22FE2AE44C8A7ED1880C481F97</vt:lpwstr>
  </property>
  <property fmtid="{D5CDD505-2E9C-101B-9397-08002B2CF9AE}" pid="3" name="MediaServiceImageTags">
    <vt:lpwstr/>
  </property>
</Properties>
</file>