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1" documentId="13_ncr:1_{2D454D8D-3CA8-4568-9FD9-A200AD710D27}" xr6:coauthVersionLast="47" xr6:coauthVersionMax="47" xr10:uidLastSave="{5FBD934F-9CD0-42DC-8EBB-AD5A6EF61688}"/>
  <bookViews>
    <workbookView minimized="1" xWindow="2080" yWindow="2080" windowWidth="14400" windowHeight="8170" tabRatio="814" xr2:uid="{00000000-000D-0000-FFFF-FFFF00000000}"/>
  </bookViews>
  <sheets>
    <sheet name="Document Title" sheetId="30" r:id="rId1"/>
    <sheet name="Notice" sheetId="29" r:id="rId2"/>
    <sheet name="Guideline" sheetId="31" r:id="rId3"/>
    <sheet name="Fault Management" sheetId="13" r:id="rId4"/>
    <sheet name="Scoring" sheetId="15" r:id="rId5"/>
    <sheet name="Acknowledgements" sheetId="24" r:id="rId6"/>
    <sheet name="E2E Automation Ratio Checklist" sheetId="28" r:id="rId7"/>
  </sheets>
  <definedNames>
    <definedName name="_xlnm.Print_Area" localSheetId="0">'Document Title'!$A$1:$B$30</definedName>
    <definedName name="_xlnm.Print_Area" localSheetId="1">Notice!$A$1:$A$24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15" l="1"/>
  <c r="K18" i="15" s="1"/>
  <c r="J17" i="15"/>
  <c r="E18" i="15" l="1"/>
  <c r="D18" i="15"/>
  <c r="A18" i="15"/>
  <c r="E17" i="15"/>
  <c r="D17" i="15"/>
  <c r="A17" i="15"/>
  <c r="K17" i="15"/>
  <c r="L17" i="15" s="1"/>
  <c r="L28" i="15" s="1"/>
  <c r="C21" i="31" l="1"/>
  <c r="C22" i="31"/>
  <c r="C23" i="31"/>
  <c r="C24" i="31"/>
  <c r="C25" i="31"/>
  <c r="C26" i="31"/>
  <c r="C27" i="31"/>
  <c r="C20" i="31"/>
  <c r="D11" i="28" l="1"/>
  <c r="D5" i="28"/>
  <c r="D6" i="28"/>
  <c r="D7" i="28"/>
  <c r="D8" i="28"/>
  <c r="D9" i="28"/>
  <c r="D10" i="28"/>
  <c r="D4" i="28"/>
  <c r="D3" i="28"/>
  <c r="K11" i="15"/>
  <c r="O11" i="15" s="1"/>
  <c r="P11" i="15" s="1"/>
  <c r="K12" i="15"/>
  <c r="O12" i="15" s="1"/>
  <c r="P12" i="15" s="1"/>
  <c r="K6" i="15"/>
  <c r="O6" i="15" s="1"/>
  <c r="K7" i="15"/>
  <c r="O7" i="15" s="1"/>
  <c r="K8" i="15"/>
  <c r="O8" i="15" s="1"/>
  <c r="K9" i="15"/>
  <c r="O9" i="15" s="1"/>
  <c r="K10" i="15"/>
  <c r="O10" i="15" s="1"/>
  <c r="K5" i="15"/>
  <c r="O5" i="15" s="1"/>
  <c r="P5" i="15" s="1"/>
  <c r="P6" i="15" l="1"/>
  <c r="J5" i="15"/>
  <c r="C5" i="28"/>
  <c r="C6" i="28"/>
  <c r="C7" i="28"/>
  <c r="C8" i="28"/>
  <c r="C9" i="28"/>
  <c r="C10" i="28"/>
  <c r="C11" i="28"/>
  <c r="C4" i="28"/>
  <c r="J9" i="15"/>
  <c r="J10" i="15"/>
  <c r="J11" i="15"/>
  <c r="J12" i="15"/>
  <c r="L12" i="15" s="1"/>
  <c r="J6" i="15"/>
  <c r="L6" i="15" s="1"/>
  <c r="L10" i="15" l="1"/>
  <c r="M10" i="15" s="1"/>
  <c r="L11" i="15"/>
  <c r="M11" i="15" s="1"/>
  <c r="L9" i="15"/>
  <c r="M9" i="15" s="1"/>
  <c r="M12" i="15"/>
  <c r="D13" i="15"/>
  <c r="D12" i="13" l="1"/>
  <c r="C3" i="28" l="1"/>
  <c r="P10" i="15"/>
  <c r="P9" i="15"/>
  <c r="J7" i="15"/>
  <c r="L7" i="15" s="1"/>
  <c r="J8" i="15"/>
  <c r="L8" i="15" l="1"/>
  <c r="M8" i="15" s="1"/>
  <c r="P8" i="15"/>
  <c r="L5" i="15"/>
  <c r="M6" i="15" l="1"/>
  <c r="M5" i="15"/>
  <c r="P7" i="15"/>
  <c r="M7" i="15"/>
  <c r="Q5" i="15" l="1"/>
  <c r="N5" i="15"/>
  <c r="R5" i="15" l="1"/>
  <c r="L24" i="15" s="1"/>
</calcChain>
</file>

<file path=xl/sharedStrings.xml><?xml version="1.0" encoding="utf-8"?>
<sst xmlns="http://schemas.openxmlformats.org/spreadsheetml/2006/main" count="318" uniqueCount="225">
  <si>
    <r>
      <rPr>
        <b/>
        <sz val="11"/>
        <color theme="1"/>
        <rFont val="Arial"/>
        <family val="2"/>
      </rPr>
      <t>High-Value Scenario</t>
    </r>
  </si>
  <si>
    <r>
      <rPr>
        <b/>
        <sz val="11"/>
        <color theme="1"/>
        <rFont val="Arial"/>
        <family val="2"/>
      </rPr>
      <t>Cognitive Activity (IAADE)</t>
    </r>
  </si>
  <si>
    <r>
      <rPr>
        <b/>
        <sz val="11"/>
        <color theme="1"/>
        <rFont val="Arial"/>
        <family val="2"/>
      </rPr>
      <t>Service Capability</t>
    </r>
  </si>
  <si>
    <r>
      <rPr>
        <b/>
        <sz val="11"/>
        <color theme="1"/>
        <rFont val="Arial"/>
        <family val="2"/>
      </rPr>
      <t>Weight</t>
    </r>
  </si>
  <si>
    <r>
      <rPr>
        <b/>
        <sz val="11"/>
        <color theme="1"/>
        <rFont val="Arial"/>
        <family val="2"/>
      </rPr>
      <t>Question</t>
    </r>
  </si>
  <si>
    <r>
      <rPr>
        <b/>
        <sz val="11"/>
        <color theme="1"/>
        <rFont val="Arial"/>
        <family val="2"/>
      </rPr>
      <t>Option A</t>
    </r>
  </si>
  <si>
    <r>
      <rPr>
        <b/>
        <sz val="11"/>
        <color theme="1"/>
        <rFont val="Arial"/>
        <family val="2"/>
      </rPr>
      <t>Option B</t>
    </r>
  </si>
  <si>
    <r>
      <rPr>
        <b/>
        <sz val="11"/>
        <color theme="1"/>
        <rFont val="Arial"/>
        <family val="2"/>
      </rPr>
      <t>Option C</t>
    </r>
  </si>
  <si>
    <r>
      <rPr>
        <b/>
        <sz val="11"/>
        <color theme="1"/>
        <rFont val="Arial"/>
        <family val="2"/>
      </rPr>
      <t>Option D</t>
    </r>
  </si>
  <si>
    <t>compliance with standards
Y/N</t>
    <phoneticPr fontId="1" type="noConversion"/>
  </si>
  <si>
    <t>Source of the standard</t>
    <phoneticPr fontId="1" type="noConversion"/>
  </si>
  <si>
    <t>Answer</t>
    <phoneticPr fontId="1" type="noConversion"/>
  </si>
  <si>
    <t>Interpretating on question</t>
    <phoneticPr fontId="1" type="noConversion"/>
  </si>
  <si>
    <t>Intent</t>
  </si>
  <si>
    <t>Intent-driven</t>
  </si>
  <si>
    <t>Awareness</t>
  </si>
  <si>
    <t>Analysis</t>
    <phoneticPr fontId="1" type="noConversion"/>
  </si>
  <si>
    <t>Decision</t>
  </si>
  <si>
    <t>Original 
score</t>
    <phoneticPr fontId="1" type="noConversion"/>
  </si>
  <si>
    <t>Understanding of selecting the option</t>
  </si>
  <si>
    <t>Huawei</t>
  </si>
  <si>
    <t>Ericsson</t>
  </si>
  <si>
    <t>Detecon</t>
  </si>
  <si>
    <t>Author</t>
  </si>
  <si>
    <t>Project Co-Chair</t>
  </si>
  <si>
    <t>Project Chair</t>
  </si>
  <si>
    <t>Role*</t>
  </si>
  <si>
    <t>Company</t>
  </si>
  <si>
    <t>Member</t>
  </si>
  <si>
    <t>Telefónica</t>
  </si>
  <si>
    <t>Key Contributor</t>
  </si>
  <si>
    <t>Notice</t>
  </si>
  <si>
    <t>TM Forum Best Practice</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</si>
  <si>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</si>
  <si>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</si>
  <si>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</si>
  <si>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Tel No.  +1 862 227 1648</t>
  </si>
  <si>
    <t>TM Forum Web Page: www.tmforum.org</t>
  </si>
  <si>
    <t>Criteria</t>
  </si>
  <si>
    <t>Answer</t>
  </si>
  <si>
    <r>
      <rPr>
        <b/>
        <sz val="11"/>
        <color rgb="FF000000"/>
        <rFont val="Arial"/>
        <family val="2"/>
      </rPr>
      <t>Option A</t>
    </r>
  </si>
  <si>
    <r>
      <rPr>
        <b/>
        <sz val="11"/>
        <color rgb="FF000000"/>
        <rFont val="Arial"/>
        <family val="2"/>
      </rPr>
      <t>Option B</t>
    </r>
  </si>
  <si>
    <r>
      <rPr>
        <b/>
        <sz val="11"/>
        <color rgb="FF000000"/>
        <rFont val="Arial"/>
        <family val="2"/>
      </rPr>
      <t>Option C</t>
    </r>
  </si>
  <si>
    <r>
      <rPr>
        <b/>
        <sz val="11"/>
        <color rgb="FF000000"/>
        <rFont val="Arial"/>
        <family val="2"/>
      </rPr>
      <t>Option D</t>
    </r>
  </si>
  <si>
    <t>Compensated score</t>
  </si>
  <si>
    <t>Overall
Score</t>
  </si>
  <si>
    <t xml:space="preserve">                          Sub Scenarios
Service Capability</t>
    <phoneticPr fontId="1" type="noConversion"/>
  </si>
  <si>
    <r>
      <t xml:space="preserve">Fault distribution
</t>
    </r>
    <r>
      <rPr>
        <b/>
        <sz val="9"/>
        <color rgb="FFFF0000"/>
        <rFont val="Arial"/>
        <family val="2"/>
      </rPr>
      <t>(Total&gt;=90%)</t>
    </r>
    <phoneticPr fontId="24" type="noConversion"/>
  </si>
  <si>
    <t>Execution</t>
    <phoneticPr fontId="1" type="noConversion"/>
  </si>
  <si>
    <t>whether end-to-end automation is achieved</t>
    <phoneticPr fontId="24" type="noConversion"/>
  </si>
  <si>
    <t>End-to-End Automation Rate=Sum of the Proportions of End-to-End Automated Sub-scenarios in the Live Network</t>
    <phoneticPr fontId="24" type="noConversion"/>
  </si>
  <si>
    <t>P: People</t>
    <phoneticPr fontId="1" type="noConversion"/>
  </si>
  <si>
    <t>S: System</t>
    <phoneticPr fontId="1" type="noConversion"/>
  </si>
  <si>
    <t>NA: Not Applicable</t>
    <phoneticPr fontId="1" type="noConversion"/>
  </si>
  <si>
    <t>*1: According to the AN Level Definition, at the AN L4 Stage, End-to-End Automation is Achieved for Selected Scenarios in Awareness, Analysis, Decision-Making, and Execution.</t>
    <phoneticPr fontId="1" type="noConversion"/>
  </si>
  <si>
    <t>*2: For solution implementation capability:</t>
    <phoneticPr fontId="1" type="noConversion"/>
  </si>
  <si>
    <t xml:space="preserve">    S: Automated Handling by system</t>
    <phoneticPr fontId="1" type="noConversion"/>
  </si>
  <si>
    <r>
      <t xml:space="preserve">        1. Automated remote implementation</t>
    </r>
    <r>
      <rPr>
        <sz val="9"/>
        <color rgb="FF404040"/>
        <rFont val="Arial"/>
        <family val="2"/>
      </rPr>
      <t>: Solutions can be automated implemented remotely through automated systems.</t>
    </r>
    <phoneticPr fontId="1" type="noConversion"/>
  </si>
  <si>
    <r>
      <t xml:space="preserve">        2. On-site implementation with precision</t>
    </r>
    <r>
      <rPr>
        <sz val="9"/>
        <color rgb="FF404040"/>
        <rFont val="Arial"/>
        <family val="2"/>
      </rPr>
      <t>: For cases requiring on-site intervention, the work order includes</t>
    </r>
    <r>
      <rPr>
        <b/>
        <sz val="9"/>
        <color rgb="FF404040"/>
        <rFont val="Arial"/>
        <family val="2"/>
      </rPr>
      <t xml:space="preserve"> accurate(&gt;90% )</t>
    </r>
    <r>
      <rPr>
        <sz val="9"/>
        <color rgb="FF404040"/>
        <rFont val="Arial"/>
        <family val="2"/>
      </rPr>
      <t xml:space="preserve"> root cause analysis, solution recommendations, or step-by-step operational guidance to ensure successful implementation in a </t>
    </r>
    <r>
      <rPr>
        <b/>
        <sz val="9"/>
        <color rgb="FF404040"/>
        <rFont val="Arial"/>
        <family val="2"/>
      </rPr>
      <t>single visit</t>
    </r>
    <r>
      <rPr>
        <sz val="9"/>
        <color rgb="FF404040"/>
        <rFont val="Arial"/>
        <family val="2"/>
      </rPr>
      <t>.</t>
    </r>
    <phoneticPr fontId="1" type="noConversion"/>
  </si>
  <si>
    <r>
      <t xml:space="preserve">        3. High-risk network operations review</t>
    </r>
    <r>
      <rPr>
        <sz val="9"/>
        <color rgb="FF404040"/>
        <rFont val="Arial"/>
        <family val="2"/>
      </rPr>
      <t>: High-risk implementation instructions require manual review before execution.</t>
    </r>
    <phoneticPr fontId="1" type="noConversion"/>
  </si>
  <si>
    <t xml:space="preserve">    P: Manual Handling by O&amp;M Personnel</t>
    <phoneticPr fontId="1" type="noConversion"/>
  </si>
  <si>
    <r>
      <t xml:space="preserve">        1. Manual remote implementation</t>
    </r>
    <r>
      <rPr>
        <sz val="9"/>
        <color rgb="FF404040"/>
        <rFont val="Arial"/>
        <family val="2"/>
      </rPr>
      <t>: Can be handled remotely, but not through automated systems; it requires manual intervention (not automated)</t>
    </r>
    <phoneticPr fontId="1" type="noConversion"/>
  </si>
  <si>
    <r>
      <t xml:space="preserve">        2. On-site implementation without precision</t>
    </r>
    <r>
      <rPr>
        <sz val="9"/>
        <color rgb="FF404040"/>
        <rFont val="Arial"/>
        <family val="2"/>
      </rPr>
      <t>: For cases requiring on-site intervention, the work order lacks accurate root cause analysis, solution recommendations, or requires multiple visits to complete the implementation.</t>
    </r>
    <phoneticPr fontId="1" type="noConversion"/>
  </si>
  <si>
    <t>Method 1: Average (Official use)</t>
    <phoneticPr fontId="1" type="noConversion"/>
  </si>
  <si>
    <t>Approval Status: TM Forum Approved</t>
  </si>
  <si>
    <t>IPR Mode: RAND</t>
  </si>
  <si>
    <t>Anomal event detection</t>
    <phoneticPr fontId="1" type="noConversion"/>
  </si>
  <si>
    <t>Service Impact Analysis</t>
    <phoneticPr fontId="1" type="noConversion"/>
  </si>
  <si>
    <t>Root-cause analysis and demarcation</t>
    <phoneticPr fontId="1" type="noConversion"/>
  </si>
  <si>
    <t xml:space="preserve">(A) The operation adopted AI model and AI algorithm to perform root-cause analysis and achieve high accuracy of demarcation.
</t>
    <phoneticPr fontId="1" type="noConversion"/>
  </si>
  <si>
    <t>(D) The root-cause analysis and demarcation are primarily handled by manual process, assisted by tools and system.</t>
    <phoneticPr fontId="1" type="noConversion"/>
  </si>
  <si>
    <t xml:space="preserve">(C) The operation automates the service impact analysis through predefined static rules.
</t>
    <phoneticPr fontId="1" type="noConversion"/>
  </si>
  <si>
    <t>(D) The service impact analysis is primarily handled by manual process, assisted by tools and system.</t>
    <phoneticPr fontId="1" type="noConversion"/>
  </si>
  <si>
    <t xml:space="preserve">(B) The operation automates the diagnosis and root-cause locating through programmable or dynamic policy and rules.
</t>
    <phoneticPr fontId="1" type="noConversion"/>
  </si>
  <si>
    <t xml:space="preserve">(C) The operation automates the diagnosis and root-cause locating through predefined static rules.
</t>
    <phoneticPr fontId="1" type="noConversion"/>
  </si>
  <si>
    <t>(D) The diagnosis and root-cause locating are primarily handled by manual process, assisted by tools and system.</t>
    <phoneticPr fontId="1" type="noConversion"/>
  </si>
  <si>
    <t>(D) The solution generation is primarily handled by manual process, assisted by tools and system.</t>
    <phoneticPr fontId="1" type="noConversion"/>
  </si>
  <si>
    <t>sum</t>
    <phoneticPr fontId="1" type="noConversion"/>
  </si>
  <si>
    <t>Service outages</t>
    <phoneticPr fontId="1" type="noConversion"/>
  </si>
  <si>
    <t>Service degradation</t>
    <phoneticPr fontId="1" type="noConversion"/>
  </si>
  <si>
    <t>Upon root-cause demarcated, the question is to find out if the service impact analysis activity is done manually assisted by system, or automated by rules and policy, or managed through AI model and AI algorithm.</t>
    <phoneticPr fontId="1" type="noConversion"/>
  </si>
  <si>
    <t>N</t>
    <phoneticPr fontId="1" type="noConversion"/>
  </si>
  <si>
    <t>Y</t>
    <phoneticPr fontId="1" type="noConversion"/>
  </si>
  <si>
    <t>GB921  Process Identifier: 1.5.8.2 Localize Resource Trouble</t>
    <phoneticPr fontId="1" type="noConversion"/>
  </si>
  <si>
    <t>Outages
GB921 Process Identifier 1.5.8.1 Survey &amp; Analyze Resource Trouble
Degradation
GB921 Process Identifier 1.5.9.1 Monitor resource performance
Risk Prediction
GB921 Process Identifier 1.5.21.2 Detect Resource Anomaly</t>
    <phoneticPr fontId="1" type="noConversion"/>
  </si>
  <si>
    <t>GB921  Process Identifier: 1.5.5.7 Manage Resource Work Order</t>
    <phoneticPr fontId="1" type="noConversion"/>
  </si>
  <si>
    <t>Outages
GB921  Process Identifier 1.5.8.2 Localize Resource Trouble
Degradation
GB921  Process Identifier 1.5.9.2 Analyze Resource Performance
Risk prediction
GB921  Process Identifier 1.5.21.3 Access Resource Anomaly</t>
    <phoneticPr fontId="1" type="noConversion"/>
  </si>
  <si>
    <t xml:space="preserve">Outages
GB921  Process Identifier 1.5.8.1 Survey &amp; Analyze Report Trouble
Risk prediction
GB921  Process Identifier 1.5.21.3 Access Resource Anomaly
</t>
    <phoneticPr fontId="1" type="noConversion"/>
  </si>
  <si>
    <t>GB921  Process Identifier: 1.5.8.3 Create &amp; Resolve Resource Trouble
Risk prediction
GB921  Process Identifier 1.5.21.4 Mitigate Resource Anomaly</t>
    <phoneticPr fontId="1" type="noConversion"/>
  </si>
  <si>
    <t>Individual Service - Fault Management</t>
    <phoneticPr fontId="1" type="noConversion"/>
  </si>
  <si>
    <t xml:space="preserve">(B) The operations automate the assigning of problem resolution service level to service impact alarm based on predefined static rules.
</t>
    <phoneticPr fontId="1" type="noConversion"/>
  </si>
  <si>
    <t>(C) The operations assign problem resolution service level to service impact alarm based on manual process, assisted by tools and system.</t>
    <phoneticPr fontId="1" type="noConversion"/>
  </si>
  <si>
    <t xml:space="preserve">Individual Service Fault Management Questionnaire </t>
    <phoneticPr fontId="1" type="noConversion"/>
  </si>
  <si>
    <t xml:space="preserve">(A) The operations automatically and dynamically assign problem resolution service level to service impact alarm. 
</t>
    <phoneticPr fontId="1" type="noConversion"/>
  </si>
  <si>
    <t xml:space="preserve">(B) The operation automates the root-cause analysis and demarcation through programmable or dynamic policy and rules.
</t>
    <phoneticPr fontId="1" type="noConversion"/>
  </si>
  <si>
    <t xml:space="preserve">(C) The operation automates the root-cause analysis and demarcation through predefined static rules.
</t>
    <phoneticPr fontId="1" type="noConversion"/>
  </si>
  <si>
    <t>How does the operations translate service impact analysis of a root-cause alarm (example traffic impact, customer impact, and so forth) into problem resolution service level (priority and service availability)?</t>
    <phoneticPr fontId="1" type="noConversion"/>
  </si>
  <si>
    <t>Root-cause locating</t>
    <phoneticPr fontId="1" type="noConversion"/>
  </si>
  <si>
    <t>Solution generation</t>
    <phoneticPr fontId="1" type="noConversion"/>
  </si>
  <si>
    <t>Sub-Scenario Answer
(Refer to IG1339 for sub-scenario list)</t>
    <phoneticPr fontId="1" type="noConversion"/>
  </si>
  <si>
    <t>For alarm correlation, root-cause analysis, and demarcation, the question is to find out if the activity is done manually assisted by system, or automated by rules and policy, or managed through AI model and AI algorithm.</t>
    <phoneticPr fontId="1" type="noConversion"/>
  </si>
  <si>
    <t>For the fault recovery solution generation, the question is to find out if the activity is done manually assisted by system, or automated by rules and policy, or managed through AI capability and digital twin networks</t>
    <phoneticPr fontId="1" type="noConversion"/>
  </si>
  <si>
    <t xml:space="preserve">(A) The operation orchestrates AI agent or other agentic AI capability to perform diagnosis and root-cause locating with high accuracy.
</t>
    <phoneticPr fontId="1" type="noConversion"/>
  </si>
  <si>
    <t xml:space="preserve">(A) The operation adopted AI model, AI algorithm and digital twin networks to perform service impact analysis with high accuracy and to prioritize problem resolution.
</t>
    <phoneticPr fontId="1" type="noConversion"/>
  </si>
  <si>
    <t>(C) The operation automates the solution generation through predefined static rules.</t>
    <phoneticPr fontId="1" type="noConversion"/>
  </si>
  <si>
    <t>Evaluation and decision making</t>
    <phoneticPr fontId="1" type="noConversion"/>
  </si>
  <si>
    <t>For the solutions evaluation and decision making, the question is to find out if the activity is done manually assisted by system, or automated by rules and policy, or managed through AI agent and digital twin network.</t>
    <phoneticPr fontId="1" type="noConversion"/>
  </si>
  <si>
    <t>(B) The operation automates the solution generation; example self-healing, self-restore or self-optimization through programmable or dynamic policy and rules.</t>
    <phoneticPr fontId="1" type="noConversion"/>
  </si>
  <si>
    <t>The solution execution activities include remote resolution, work order creation and closure, workforce scheduling and field engineer dispatch for onsite resolution. The question is to find out if the solution execution activities are done manually assisted by system, or automated by rules and policy, or managed through Agentic AI capability.</t>
    <phoneticPr fontId="1" type="noConversion"/>
  </si>
  <si>
    <t xml:space="preserve">(B) The operation automates the service impact analysis through programmable or dynamic policy and rules which includes topology based rules
</t>
    <phoneticPr fontId="1" type="noConversion"/>
  </si>
  <si>
    <t xml:space="preserve">GB921 Process Identifier: 1.5.9.4 Report Resource Performance </t>
    <phoneticPr fontId="1" type="noConversion"/>
  </si>
  <si>
    <t>Anomaly detection</t>
    <phoneticPr fontId="1" type="noConversion"/>
  </si>
  <si>
    <t>(A) The operation adopted AI agent and/or AI-copilot to generate possible solutions in collaboration with digital twin networks and RAG technique to retrieve the solutions from LLM.</t>
    <phoneticPr fontId="1" type="noConversion"/>
  </si>
  <si>
    <t>GB1505A</t>
    <phoneticPr fontId="1" type="noConversion"/>
  </si>
  <si>
    <t>Kevin McDonnell </t>
  </si>
  <si>
    <t>Pedro Garcia Parra </t>
  </si>
  <si>
    <t>Fernando Camacho </t>
  </si>
  <si>
    <t>Khiang Chew Goh </t>
  </si>
  <si>
    <t>Delia Deng </t>
  </si>
  <si>
    <t>Tony Salim </t>
  </si>
  <si>
    <t>Saeed Zidan </t>
  </si>
  <si>
    <t>Reviewer</t>
  </si>
  <si>
    <t>Luqman Shantal </t>
  </si>
  <si>
    <t>Makman Technology Consulting</t>
  </si>
  <si>
    <t>Menno Groen </t>
  </si>
  <si>
    <t>KPN</t>
  </si>
  <si>
    <t>J&amp;ouml;rgen Holmstr&amp;ouml;m</t>
  </si>
  <si>
    <t>Dave Condon </t>
  </si>
  <si>
    <t>Asser EL NAHAS </t>
  </si>
  <si>
    <t>Orange</t>
  </si>
  <si>
    <t>Ruowei yin </t>
  </si>
  <si>
    <t>China Mobile</t>
  </si>
  <si>
    <t>Ruiyue XU </t>
  </si>
  <si>
    <t>Zhilong Yang </t>
  </si>
  <si>
    <t>Dinis Diogo </t>
  </si>
  <si>
    <t>Esa Vesterinen </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</si>
  <si>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
        <rFont val="Aptos"/>
        <family val="2"/>
      </rPr>
      <t>TM FORUM IPR Policy</t>
    </r>
    <r>
      <rPr>
        <sz val="12"/>
        <color theme="1"/>
        <rFont val="Aptos"/>
        <family val="2"/>
      </rPr>
      <t>, must be followed) or as required to translate it into languages other than English.</t>
    </r>
  </si>
  <si>
    <t>100 Enterprise Drive</t>
  </si>
  <si>
    <t>Suite 301 #1649</t>
  </si>
  <si>
    <t>Rockaway, NJ 07866 USA</t>
  </si>
  <si>
    <t>©TM Forum 2026. All Rights Reserved.</t>
  </si>
  <si>
    <t>Copyright © TM Forum 2026. All Rights Reserved.</t>
  </si>
  <si>
    <t>Release Status: Pre-production</t>
  </si>
  <si>
    <t xml:space="preserve">From monitoring to detection, the activities include data collection, alarm filtering, and anomaly detection which include risk prediction. The question is to find out if the activities are done manually assisted by system or automated.
</t>
    <phoneticPr fontId="1" type="noConversion"/>
  </si>
  <si>
    <t xml:space="preserve">(C) The anomal event monitoring to detection is a manual process. Human is assisted by tools or systems for the monitoring and detection.
</t>
    <phoneticPr fontId="1" type="noConversion"/>
  </si>
  <si>
    <t>Root-cause fault locating</t>
    <phoneticPr fontId="1" type="noConversion"/>
  </si>
  <si>
    <t>For trouble ticket creation, ticket assignment, fault diagnosis and root-cause fault locating, the question is to find out if the activities are done manually assisted by system, or automated by rules and policy, or managed through AI agent.</t>
    <phoneticPr fontId="1" type="noConversion"/>
  </si>
  <si>
    <t>Maturity Level:  Beta</t>
    <phoneticPr fontId="1" type="noConversion"/>
  </si>
  <si>
    <t>(D) Manually set problem resolution service level targets based on expertise (such as setting service impact category and priority) .</t>
    <phoneticPr fontId="1" type="noConversion"/>
  </si>
  <si>
    <t>(A) The operation adopted dynamic and programmable rules and policy, ML for the monitoring and detection without human intervention.</t>
    <phoneticPr fontId="1" type="noConversion"/>
  </si>
  <si>
    <t xml:space="preserve">From monitoring to detection, the activities include data collection, alarm filtering, and anomaly detection. The question is to find out if the activities are done manually assisted by system or automated.
</t>
    <phoneticPr fontId="1" type="noConversion"/>
  </si>
  <si>
    <t>(B) The event monitoring to anomal event detect operation is automated through predefined rules.</t>
    <phoneticPr fontId="1" type="noConversion"/>
  </si>
  <si>
    <t>(D) Remediation options, risk assessment and selection of appropriate solutions are manually done</t>
    <phoneticPr fontId="1" type="noConversion"/>
  </si>
  <si>
    <t xml:space="preserve">(A) The operation adopted  AI Models and digital twin network to evaluate solution options,  and then recommend the best choice, leveraging AI's ability to process data and predict results based on probabilistic outcomes.
</t>
    <phoneticPr fontId="1" type="noConversion"/>
  </si>
  <si>
    <t xml:space="preserve">(B) The System automates the evaluation of solution generation, recommends the optimal solution to be executed using dynamic rules and policy and may require human approval.
</t>
    <phoneticPr fontId="1" type="noConversion"/>
  </si>
  <si>
    <t>(C) The operation automates the evaluation of solution generation, recommend an optimum solution and configuration through script based for self-recovery and may require human approval.</t>
    <phoneticPr fontId="1" type="noConversion"/>
  </si>
  <si>
    <t>(C) Remote recovery. The system automates the recovery solution through predefined rules with human confirmation.  
Onsite recovery. The on-site handling are assisted by tool, but still requires assistance from NOC.</t>
    <phoneticPr fontId="1" type="noConversion"/>
  </si>
  <si>
    <t>(D) Remote recovery. The recovery solution need to be manually implemented.
On site recovery. On-site manual handling is guided by NOC.</t>
    <phoneticPr fontId="1" type="noConversion"/>
  </si>
  <si>
    <t>(B) Remote recovery. The system automatically executes the recovery or rectification solution through dynamic rules and policy (Automatic repair excludes the faults that on-site handling is necessary, such as power supply failure, board fault, fiber cut, etc).
Onsite recovery. The system support on-site instruction and efficient information through NOC assistance.</t>
    <phoneticPr fontId="1" type="noConversion"/>
  </si>
  <si>
    <t>Effective Indicator</t>
    <phoneticPr fontId="1" type="noConversion"/>
  </si>
  <si>
    <t>Weight</t>
  </si>
  <si>
    <t>Description</t>
  </si>
  <si>
    <t>Option A</t>
  </si>
  <si>
    <t>Option B</t>
  </si>
  <si>
    <t>Option C</t>
  </si>
  <si>
    <t>OptionD</t>
    <phoneticPr fontId="1" type="noConversion"/>
  </si>
  <si>
    <t>30% - 40%</t>
    <phoneticPr fontId="1" type="noConversion"/>
  </si>
  <si>
    <t>&lt;=1 hour</t>
    <phoneticPr fontId="1" type="noConversion"/>
  </si>
  <si>
    <t>Mean Time to Repair (MTTR)</t>
    <phoneticPr fontId="1" type="noConversion"/>
  </si>
  <si>
    <t>I. Introduction</t>
  </si>
  <si>
    <t>The assessment is process-based and intended to be vendor-independent and where possible technology independent</t>
  </si>
  <si>
    <t>Fault Management comprises the processes of Event Management, Incident Management and Field Operations</t>
    <phoneticPr fontId="1" type="noConversion"/>
  </si>
  <si>
    <t>Each question is answered by selecting one of four options, A-D, option A being the highest level of autonomy and option D being the lowest</t>
  </si>
  <si>
    <t>More detailed guidelines per question are provided in the guideline section below</t>
    <phoneticPr fontId="1" type="noConversion"/>
  </si>
  <si>
    <t>II. Sub-scenarios</t>
    <phoneticPr fontId="1" type="noConversion"/>
  </si>
  <si>
    <t>Cognitive Activity (IAADE)</t>
  </si>
  <si>
    <t>Service Capability</t>
  </si>
  <si>
    <t>Question</t>
  </si>
  <si>
    <t>Answering Guideline</t>
  </si>
  <si>
    <t>Intent</t>
    <phoneticPr fontId="1" type="noConversion"/>
  </si>
  <si>
    <t>Execution</t>
  </si>
  <si>
    <t>The scope of this questionnaire is to assess Individual Service Fault Management scenario</t>
    <phoneticPr fontId="1" type="noConversion"/>
  </si>
  <si>
    <t>The questionnaire is based on the principles described in TM Forum GB921 Business Process Framework (eTOM) Suite.</t>
    <phoneticPr fontId="1" type="noConversion"/>
  </si>
  <si>
    <t>We recommend you have the participation of relevant SMEs to complete the assessment (Engineers from NOC Level 1, 2, and 3 as well as automation experts)</t>
    <phoneticPr fontId="1" type="noConversion"/>
  </si>
  <si>
    <t>The sub-scenarios are introduced based on the fault management category. Below is the list of sub-scenario described in IG1339 and IG1505A Individual Service Fault Management solution package.</t>
    <phoneticPr fontId="1" type="noConversion"/>
  </si>
  <si>
    <t>Sub-scenario-1:Service outage: Service outage is an unplanned interruption to a service constituting a major incident that requires immediate resolution to restore normal service operation as swiftly as possible. It represents a breach of the service level agreement (SLA) and directly impacts the customer experience, often triggering the service provider's major incident management process.</t>
    <phoneticPr fontId="1" type="noConversion"/>
  </si>
  <si>
    <t>Sub-scenario-2:Service degradation. Service Degradation is a measurable decline in the quality or performance of a service from its expected or agreed-upon level, as defined in the Service Level Agreement (SLA) or Service Level Objective (SLO). It is a state where the service remains operational but is impaired, negatively impacting the customer experience.</t>
    <phoneticPr fontId="1" type="noConversion"/>
  </si>
  <si>
    <t>III. Guideline for Answering ANL questionnaire - Version 1</t>
    <phoneticPr fontId="1" type="noConversion"/>
  </si>
  <si>
    <t>&gt; 1 hour, &lt; 4 hour</t>
    <phoneticPr fontId="1" type="noConversion"/>
  </si>
  <si>
    <t>&gt; = 8 hour</t>
    <phoneticPr fontId="1" type="noConversion"/>
  </si>
  <si>
    <t>&gt; = 4 hour</t>
    <phoneticPr fontId="1" type="noConversion"/>
  </si>
  <si>
    <t>10% - 30%</t>
    <phoneticPr fontId="1" type="noConversion"/>
  </si>
  <si>
    <t>5% - 10%</t>
    <phoneticPr fontId="1" type="noConversion"/>
  </si>
  <si>
    <t>&lt; 5%</t>
    <phoneticPr fontId="1" type="noConversion"/>
  </si>
  <si>
    <t xml:space="preserve">(A) The operations automatically and dynamically assign problem resolution service level to service impact alarm. 
(B) The operations automate the assigning of problem resolution service level to service impact alarm based on predefined static rules.
(C) The operations assign problem resolution service level to service impact alarm based on manual process, assisted by tools and system.
(D) Manually set problem resolution service level targets based on expertise (such as setting service impact category and priority) .
</t>
    <phoneticPr fontId="1" type="noConversion"/>
  </si>
  <si>
    <t>(A) The operation adopted dynamic and programmable rules and policy, ML for the monitoring and detection without human intervention.
(B) The event monitoring to anomal event detect operation is automated through predefined rules.
(C) The anomal event monitoring to detection is a manual process. Human is assisted by tools or systems for the monitoring and detection.</t>
    <phoneticPr fontId="1" type="noConversion"/>
  </si>
  <si>
    <t xml:space="preserve">(A) The operation adopted AI model and AI algorithm to perform root-cause analysis and achieve high accuracy of demarcation.
(B) The operation automates the root-cause analysis and demarcation through programmable or dynamic policy and rules.
(C) The operation automates the root-cause analysis and demarcation through predefined static rules.
(D) The root-cause analysis and demarcation are primarily handled by manual process, assisted by tools and system.
</t>
    <phoneticPr fontId="1" type="noConversion"/>
  </si>
  <si>
    <t xml:space="preserve">(A) The operation adopted AI model, AI algorithm and digital twin networks to perform service impact analysis with high accuracy and to prioritize problem resolution.
(B) The operation automates the service impact analysis through programmable or dynamic policy and rules which includes topology based rules
(C) The operation automates the service impact analysis through predefined static rules.
(D) The service impact analysis is primarily handled by manual process, assisted by tools and system.
</t>
    <phoneticPr fontId="1" type="noConversion"/>
  </si>
  <si>
    <t>(A) The operation orchestrates AI agent or other agentic AI capability to perform diagnosis and root-cause locating with high accuracy.
(B) The operation automates the diagnosis and root-cause locating through programmable or dynamic policy and rules.
(C) The operation automates the diagnosis and root-cause locating through predefined static rules.
(D) The diagnosis and root-cause locating are primarily handled by manual process, assisted by tools and system.</t>
    <phoneticPr fontId="1" type="noConversion"/>
  </si>
  <si>
    <t>(A) The operation adopted AI agent and/or AI-copilot to generate possible solutions in collaboration with digital twin networks and RAG technique to retrieve the solutions from LLM.
(B) The operation automates the solution generation; example self-healing, self-restore or self-optimization through programmable or dynamic policy and rules.
(C) The operation automates the solution generation through predefined static rules.
(D) The solution generation is primarily handled by manual process, assisted by tools and system.</t>
    <phoneticPr fontId="1" type="noConversion"/>
  </si>
  <si>
    <t>(A) The operation adopted  AI Models and digital twin network to evaluate solution options,  and then recommend the best choice, leveraging AI's ability to process data and predict results based on probabilistic outcomes.
(B) The System automates the evaluation of solution generation, recommends the optimal solution to be executed using dynamic rules and policy and may require human approval.
(C) The operation automates the evaluation of solution generation, recommend an optimum solution and configuration through script based for self-recovery and may require human approval.
(D) Remediation options, risk assessment and selection of appropriate solutions are manually done</t>
    <phoneticPr fontId="1" type="noConversion"/>
  </si>
  <si>
    <t>(A) Remote recovery. The operation adopted AI agent or agentic AI capability to remotely execute the solution; example cell outage compensation and IP traffic redirect and so forth.
Onsite recovery. The field maintenance engineer adopted AI-copilot technology to assist in problem resolution.</t>
    <phoneticPr fontId="1" type="noConversion"/>
  </si>
  <si>
    <t>(A) Remote recovery. The operation adopted AI agent or agentic AI capability to remotely execute the solution; example cell outage compensation and IP traffic redirect and so forth.
Onsite recovery. The field maintenance engineer adopted AI-copilot technology to assist in problem resolution.
(B) Remote recovery. The system automatically executes the recovery or rectification solution through dynamic rules and policy (Automatic repair excludes the faults that on-site handling is necessary, such as power supply failure, board fault, fiber cut, etc).
Onsite recovery. The system support on-site instruction and efficient information through NOC assistance.
(C) Remote recovery. The system automates the recovery solution through predefined rules with human confirmation.  
Onsite recovery. The on-site handling are assisted by tool, but still requires assistance from NOC.
(D) Remote recovery. The recovery solution need to be manually implemented.
On site recovery. On-site manual handling is guided by NOC.</t>
    <phoneticPr fontId="1" type="noConversion"/>
  </si>
  <si>
    <t>Zero-touch Trouble Ticket(TT) ratio</t>
    <phoneticPr fontId="1" type="noConversion"/>
  </si>
  <si>
    <t>Weight</t>
    <phoneticPr fontId="1" type="noConversion"/>
  </si>
  <si>
    <t>Score</t>
    <phoneticPr fontId="1" type="noConversion"/>
  </si>
  <si>
    <t>`</t>
    <phoneticPr fontId="1" type="noConversion"/>
  </si>
  <si>
    <t>Effective Indicator Final Score (30%)</t>
    <phoneticPr fontId="1" type="noConversion"/>
  </si>
  <si>
    <t>Capability final score(70%)</t>
    <phoneticPr fontId="1" type="noConversion"/>
  </si>
  <si>
    <t>Answers</t>
    <phoneticPr fontId="1" type="noConversion"/>
  </si>
  <si>
    <t>Charlene Wong</t>
  </si>
  <si>
    <t>Reviewer</t>
    <phoneticPr fontId="1" type="noConversion"/>
  </si>
  <si>
    <t>Huawei</t>
    <phoneticPr fontId="1" type="noConversion"/>
  </si>
  <si>
    <t>Yunhe Wu</t>
    <phoneticPr fontId="1" type="noConversion"/>
  </si>
  <si>
    <t xml:space="preserve">High Value Scenario Capability  Score </t>
    <phoneticPr fontId="1" type="noConversion"/>
  </si>
  <si>
    <t xml:space="preserve">High Value Scenario Effective Indicator Score </t>
    <phoneticPr fontId="1" type="noConversion"/>
  </si>
  <si>
    <t>Comments</t>
    <phoneticPr fontId="1" type="noConversion"/>
  </si>
  <si>
    <t>Indicator Value</t>
    <phoneticPr fontId="1" type="noConversion"/>
  </si>
  <si>
    <r>
      <t xml:space="preserve">What is the average mean time for the fault repair (time period between fault recovery time and fault detected time)? This duration includes the time taken for fault awareness, analysis, solution generation, and repair.
</t>
    </r>
    <r>
      <rPr>
        <b/>
        <sz val="10"/>
        <rFont val="Arial"/>
        <family val="2"/>
      </rPr>
      <t>Calculation formula:</t>
    </r>
    <r>
      <rPr>
        <sz val="10"/>
        <rFont val="Arial"/>
        <family val="2"/>
      </rPr>
      <t xml:space="preserve">
MTTR Benchmark = (Fault recovery time - Fault detected time) / Number of trouble tickets within a specific period of time
</t>
    </r>
    <r>
      <rPr>
        <b/>
        <sz val="10"/>
        <rFont val="Arial"/>
        <family val="2"/>
      </rPr>
      <t xml:space="preserve">
Definition:
</t>
    </r>
    <r>
      <rPr>
        <sz val="10"/>
        <rFont val="Arial"/>
        <family val="2"/>
      </rPr>
      <t>Fault recovery time is the time when the impacted network equipment reports that the alarm is cleared.
Fault detected time is the time when the fault occured and alarm detected .</t>
    </r>
    <r>
      <rPr>
        <b/>
        <sz val="10"/>
        <rFont val="Arial"/>
        <family val="2"/>
      </rPr>
      <t xml:space="preserve">
Notes:
</t>
    </r>
    <r>
      <rPr>
        <sz val="10"/>
        <rFont val="Arial"/>
        <family val="2"/>
      </rPr>
      <t>1. CSP to provide one month trouble tickets and log file. 
2. Each of the trouble ticket needs to be recorded with fault detect and recovery time.
3. MTTR Benchmark refers to remote recovery of fault (critical and major alarms).</t>
    </r>
    <r>
      <rPr>
        <b/>
        <sz val="10"/>
        <rFont val="Arial"/>
        <family val="2"/>
      </rPr>
      <t xml:space="preserve">
</t>
    </r>
    <phoneticPr fontId="1" type="noConversion"/>
  </si>
  <si>
    <t xml:space="preserve">What is the percentage of trouble tickets without NOC manual intervention among all trouble tickets?
Formula: 
Zero-touch TT ratio =  Number of trouble tickets without NOC manual intervention / Number of trouble tickets within a specific period of time 
Notes:
1. CSP to provide one month trouble tickets and log information.
2. No manual intervention with NOC means that no NOC human employee effort on O&amp;M activities such as correlation, root cause analysis, diagnosis, network configuration, etc. The activities exclude information review and decision approval.
</t>
    <phoneticPr fontId="1" type="noConversion"/>
  </si>
  <si>
    <r>
      <rPr>
        <b/>
        <sz val="10"/>
        <rFont val="微软雅黑"/>
        <family val="2"/>
        <charset val="134"/>
      </rPr>
      <t xml:space="preserve">Note: </t>
    </r>
    <r>
      <rPr>
        <sz val="10"/>
        <rFont val="微软雅黑"/>
        <family val="2"/>
        <charset val="134"/>
      </rPr>
      <t xml:space="preserve">
1) The questionnaire is intended for pilot use and will serve as input for future standardization efforts. 
2) The metrics is gathered from historical NOC practice
3) It is subject to change as more meaningful project data are collected.
4) The range defines the unit or scale of measurement, such as minutes or days. The corresponding Indicator Value column captures the exact numerical value of the indicator within that selected range.</t>
    </r>
    <phoneticPr fontId="1" type="noConversion"/>
  </si>
  <si>
    <t>Version 2.0.0</t>
    <phoneticPr fontId="1" type="noConversion"/>
  </si>
  <si>
    <t>Solution execution and verification</t>
    <phoneticPr fontId="1" type="noConversion"/>
  </si>
  <si>
    <t>The solution execution and verification activities include remote resolution, work order creation and closure, workforce scheduling and field engineer dispatch for onsite resolution. The question is to find out if the solution execution activities are done manually assisted by system, or automated by rules and policy, or managed through Agentic AI capability.</t>
    <phoneticPr fontId="1" type="noConversion"/>
  </si>
  <si>
    <t>Team Approved Date: 27-March-2026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</si>
</sst>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_ "/>
    <numFmt numFmtId="165" formatCode="0.0"/>
    <numFmt numFmtId="166" formatCode="0.0_ "/>
  </numFmts>
  <fonts count="67">
    <font>
      <sz val="11"/>
      <color theme="1"/>
      <name val="Calibri"/>
      <family val="2"/>
      <scheme val="minor"/>
    </font>
    <font>
      <sz val="9"/>
      <name val="Calibri"/>
      <family val="3"/>
      <charset val="134"/>
      <scheme val="minor"/>
    </font>
    <font>
      <sz val="11"/>
      <name val="宋体"/>
      <family val="3"/>
      <charset val="134"/>
    </font>
    <font>
      <sz val="11"/>
      <color theme="1"/>
      <name val="Calibri"/>
      <family val="2"/>
      <scheme val="minor"/>
    </font>
    <font>
      <sz val="10"/>
      <color theme="1"/>
      <name val="微软雅黑"/>
      <family val="2"/>
      <charset val="134"/>
    </font>
    <font>
      <b/>
      <sz val="10"/>
      <color theme="1"/>
      <name val="Arial"/>
      <family val="2"/>
    </font>
    <font>
      <b/>
      <sz val="11"/>
      <color theme="1"/>
      <name val="Arial"/>
      <family val="2"/>
    </font>
    <font>
      <sz val="10"/>
      <color theme="1"/>
      <name val="Arial"/>
      <family val="2"/>
    </font>
    <font>
      <sz val="10"/>
      <name val="Arial"/>
      <family val="2"/>
    </font>
    <font>
      <b/>
      <sz val="11"/>
      <color rgb="FF0070C0"/>
      <name val="Arial"/>
      <family val="2"/>
    </font>
    <font>
      <b/>
      <sz val="10"/>
      <color theme="1"/>
      <name val="Cambria"/>
      <family val="1"/>
    </font>
    <font>
      <sz val="10"/>
      <color theme="1"/>
      <name val="Cambria"/>
      <family val="1"/>
    </font>
    <font>
      <sz val="10"/>
      <color theme="1"/>
      <name val="Calibri"/>
      <family val="2"/>
      <scheme val="minor"/>
    </font>
    <font>
      <sz val="10"/>
      <color rgb="FF000000"/>
      <name val="Calibri"/>
      <family val="2"/>
      <scheme val="minor"/>
    </font>
    <font>
      <sz val="11"/>
      <color theme="1"/>
      <name val="Calibri"/>
      <family val="2"/>
      <scheme val="minor"/>
    </font>
    <font>
      <sz val="11"/>
      <color theme="1"/>
      <name val="Arial"/>
      <family val="2"/>
    </font>
    <font>
      <b/>
      <sz val="10"/>
      <color rgb="FF000000"/>
      <name val="Arial"/>
      <family val="2"/>
    </font>
    <font>
      <b/>
      <sz val="11"/>
      <color rgb="FF000000"/>
      <name val="Arial"/>
      <family val="2"/>
    </font>
    <font>
      <sz val="10"/>
      <color rgb="FF000000"/>
      <name val="微软雅黑"/>
      <family val="2"/>
      <charset val="134"/>
    </font>
    <font>
      <sz val="11"/>
      <color rgb="FF000000"/>
      <name val="宋体"/>
      <family val="3"/>
      <charset val="134"/>
    </font>
    <font>
      <b/>
      <sz val="11"/>
      <color rgb="FF000000"/>
      <name val="宋体"/>
      <family val="3"/>
      <charset val="134"/>
    </font>
    <font>
      <b/>
      <sz val="12"/>
      <name val="Arial"/>
      <family val="2"/>
    </font>
    <font>
      <b/>
      <sz val="10"/>
      <color rgb="FF000000"/>
      <name val="Calibri"/>
      <family val="2"/>
    </font>
    <font>
      <b/>
      <sz val="9"/>
      <color rgb="FFFF0000"/>
      <name val="Arial"/>
      <family val="2"/>
    </font>
    <font>
      <sz val="9"/>
      <name val="Calibri"/>
      <family val="2"/>
      <charset val="134"/>
      <scheme val="minor"/>
    </font>
    <font>
      <i/>
      <sz val="11"/>
      <color rgb="FF0070C0"/>
      <name val="Arial"/>
      <family val="2"/>
    </font>
    <font>
      <sz val="11"/>
      <color rgb="FFFF0000"/>
      <name val="Arial"/>
      <family val="2"/>
    </font>
    <font>
      <i/>
      <sz val="9"/>
      <color theme="1"/>
      <name val="Arial"/>
      <family val="2"/>
    </font>
    <font>
      <sz val="9"/>
      <color theme="1"/>
      <name val="Arial"/>
      <family val="2"/>
    </font>
    <font>
      <b/>
      <sz val="9"/>
      <color theme="1"/>
      <name val="Arial"/>
      <family val="2"/>
    </font>
    <font>
      <b/>
      <sz val="9"/>
      <color rgb="FF404040"/>
      <name val="Arial"/>
      <family val="2"/>
    </font>
    <font>
      <sz val="9"/>
      <color rgb="FF404040"/>
      <name val="Arial"/>
      <family val="2"/>
    </font>
    <font>
      <u/>
      <sz val="11"/>
      <color theme="10"/>
      <name val="Calibri"/>
      <family val="2"/>
      <scheme val="minor"/>
    </font>
    <font>
      <b/>
      <sz val="11"/>
      <color theme="1"/>
      <name val="Aptos Display"/>
      <family val="2"/>
    </font>
    <font>
      <sz val="11"/>
      <color theme="1"/>
      <name val="Aptos Display"/>
      <family val="2"/>
    </font>
    <font>
      <u/>
      <sz val="11"/>
      <color theme="10"/>
      <name val="Aptos Display"/>
      <family val="2"/>
    </font>
    <font>
      <sz val="10"/>
      <color theme="1"/>
      <name val="Aptos"/>
      <family val="2"/>
    </font>
    <font>
      <sz val="10"/>
      <color rgb="FF000000"/>
      <name val="Aptos"/>
      <family val="2"/>
    </font>
    <font>
      <b/>
      <sz val="28"/>
      <color rgb="FFD91241"/>
      <name val="Aptos"/>
      <family val="2"/>
    </font>
    <font>
      <sz val="11"/>
      <color rgb="FF000000"/>
      <name val="Aptos"/>
      <family val="2"/>
    </font>
    <font>
      <u/>
      <sz val="11"/>
      <color theme="10"/>
      <name val="Verdana"/>
      <family val="2"/>
    </font>
    <font>
      <sz val="12"/>
      <color theme="1"/>
      <name val="Aptos"/>
      <family val="2"/>
    </font>
    <font>
      <u/>
      <sz val="12"/>
      <color theme="1"/>
      <name val="Aptos"/>
      <family val="2"/>
    </font>
    <font>
      <sz val="11"/>
      <color theme="1"/>
      <name val="Aptos"/>
      <family val="2"/>
    </font>
    <font>
      <sz val="12"/>
      <color rgb="FF000000"/>
      <name val="Aptos"/>
      <family val="2"/>
    </font>
    <font>
      <u/>
      <sz val="12"/>
      <color theme="10"/>
      <name val="Aptos"/>
      <family val="2"/>
    </font>
    <font>
      <u/>
      <sz val="11"/>
      <color theme="10"/>
      <name val="Aptos"/>
      <family val="2"/>
    </font>
    <font>
      <sz val="10"/>
      <color theme="1"/>
      <name val="Aptos Display"/>
      <family val="2"/>
    </font>
    <font>
      <sz val="10"/>
      <color rgb="FF000000"/>
      <name val="Aptos Display"/>
      <family val="2"/>
    </font>
    <font>
      <b/>
      <sz val="28"/>
      <color rgb="FFC00000"/>
      <name val="Aptos Display"/>
      <family val="2"/>
    </font>
    <font>
      <b/>
      <sz val="28"/>
      <color rgb="FFD91241"/>
      <name val="Aptos Display"/>
      <family val="2"/>
    </font>
    <font>
      <b/>
      <sz val="32"/>
      <color rgb="FF404040"/>
      <name val="Aptos Display"/>
      <family val="2"/>
    </font>
    <font>
      <b/>
      <sz val="18"/>
      <color rgb="FF404040"/>
      <name val="Aptos Display"/>
      <family val="2"/>
    </font>
    <font>
      <b/>
      <sz val="14"/>
      <color theme="1"/>
      <name val="Aptos Display"/>
      <family val="2"/>
    </font>
    <font>
      <b/>
      <sz val="10"/>
      <name val="Arial"/>
      <family val="2"/>
    </font>
    <font>
      <sz val="10"/>
      <name val="微软雅黑"/>
      <family val="2"/>
      <charset val="134"/>
    </font>
    <font>
      <b/>
      <sz val="12"/>
      <color theme="1"/>
      <name val="Calibri"/>
      <family val="2"/>
      <scheme val="minor"/>
    </font>
    <font>
      <b/>
      <sz val="12"/>
      <color theme="1"/>
      <name val="Arial"/>
      <family val="2"/>
    </font>
    <font>
      <b/>
      <sz val="10"/>
      <color theme="1"/>
      <name val="Calibri"/>
      <family val="2"/>
      <scheme val="minor"/>
    </font>
    <font>
      <b/>
      <sz val="10"/>
      <name val="微软雅黑"/>
      <family val="2"/>
      <charset val="134"/>
    </font>
    <font>
      <sz val="10"/>
      <color rgb="FF000000"/>
      <name val="Arial"/>
      <family val="2"/>
    </font>
    <font>
      <b/>
      <sz val="10"/>
      <color rgb="FF0070C0"/>
      <name val="Arial"/>
      <family val="2"/>
    </font>
    <font>
      <b/>
      <sz val="18"/>
      <color rgb="FFFF0000"/>
      <name val="Calibri"/>
      <family val="3"/>
      <charset val="134"/>
      <scheme val="minor"/>
    </font>
    <font>
      <sz val="11"/>
      <color indexed="8"/>
      <name val="Calibri"/>
      <family val="3"/>
      <charset val="134"/>
      <scheme val="minor"/>
    </font>
    <font>
      <u/>
      <sz val="11"/>
      <color theme="10"/>
      <name val="Apo"/>
    </font>
    <font>
      <u/>
      <sz val="11"/>
      <color theme="10"/>
      <name val="Apto"/>
    </font>
    <font>
      <sz val="11"/>
      <name val="Calibri"/>
      <family val="2"/>
      <scheme val="minor"/>
    </font>
  </fonts>
  <fills count="21">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79995117038483843"/>
        <bgColor indexed="64"/>
      </patternFill>
    </fill>
    <fill>
      <patternFill patternType="solid">
        <fgColor theme="8" tint="0.79995117038483843"/>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DE9D9"/>
        <bgColor rgb="FF000000"/>
      </patternFill>
    </fill>
    <fill>
      <patternFill patternType="solid">
        <fgColor theme="8" tint="0.59999389629810485"/>
        <bgColor rgb="FF000000"/>
      </patternFill>
    </fill>
    <fill>
      <patternFill patternType="solid">
        <fgColor theme="5" tint="0.79998168889431442"/>
        <bgColor indexed="64"/>
      </patternFill>
    </fill>
    <fill>
      <patternFill patternType="solid">
        <fgColor theme="0" tint="-0.14999847407452621"/>
        <bgColor indexed="64"/>
      </patternFill>
    </fill>
    <fill>
      <patternFill patternType="solid">
        <fgColor theme="8" tint="0.79998168889431442"/>
        <bgColor rgb="FF000000"/>
      </patternFill>
    </fill>
    <fill>
      <patternFill patternType="solid">
        <fgColor theme="0" tint="-0.249977111117893"/>
        <bgColor indexed="64"/>
      </patternFill>
    </fill>
    <fill>
      <patternFill patternType="solid">
        <fgColor rgb="FFB7DEE8"/>
        <bgColor indexed="64"/>
      </patternFill>
    </fill>
    <fill>
      <patternFill patternType="solid">
        <fgColor rgb="FFFDE9D9"/>
        <bgColor indexed="64"/>
      </patternFill>
    </fill>
    <fill>
      <patternFill patternType="solid">
        <fgColor theme="8" tint="0.79992065187536243"/>
        <bgColor indexed="64"/>
      </patternFill>
    </fill>
    <fill>
      <patternFill patternType="solid">
        <fgColor rgb="FFFFC000"/>
        <bgColor rgb="FF000000"/>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style="medium">
        <color indexed="64"/>
      </right>
      <top/>
      <bottom/>
      <diagonal/>
    </border>
    <border>
      <left style="thin">
        <color indexed="64"/>
      </left>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diagonal/>
    </border>
    <border>
      <left/>
      <right/>
      <top style="thin">
        <color auto="1"/>
      </top>
      <bottom style="thin">
        <color auto="1"/>
      </bottom>
      <diagonal/>
    </border>
    <border>
      <left style="thin">
        <color auto="1"/>
      </left>
      <right/>
      <top/>
      <bottom style="thin">
        <color auto="1"/>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style="thin">
        <color indexed="64"/>
      </top>
      <bottom/>
      <diagonal/>
    </border>
    <border>
      <left style="thin">
        <color rgb="FF1D1D1A"/>
      </left>
      <right style="thin">
        <color rgb="FF1D1D1A"/>
      </right>
      <top style="thin">
        <color rgb="FF1D1D1A"/>
      </top>
      <bottom style="thin">
        <color rgb="FF1D1D1A"/>
      </bottom>
      <diagonal/>
    </border>
    <border>
      <left style="thin">
        <color rgb="FF1D1D1A"/>
      </left>
      <right/>
      <top style="thin">
        <color rgb="FF1D1D1A"/>
      </top>
      <bottom style="thin">
        <color indexed="64"/>
      </bottom>
      <diagonal/>
    </border>
    <border>
      <left/>
      <right/>
      <top style="thin">
        <color rgb="FF1D1D1A"/>
      </top>
      <bottom style="thin">
        <color indexed="64"/>
      </bottom>
      <diagonal/>
    </border>
    <border>
      <left/>
      <right style="thin">
        <color rgb="FF1D1D1A"/>
      </right>
      <top style="thin">
        <color rgb="FF1D1D1A"/>
      </top>
      <bottom style="thin">
        <color indexed="64"/>
      </bottom>
      <diagonal/>
    </border>
    <border>
      <left style="thin">
        <color rgb="FF1D1D1A"/>
      </left>
      <right style="thin">
        <color rgb="FF1D1D1A"/>
      </right>
      <top style="thin">
        <color rgb="FF1D1D1A"/>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style="thin">
        <color rgb="FF1D1D1A"/>
      </left>
      <right/>
      <top style="thin">
        <color rgb="FF1D1D1A"/>
      </top>
      <bottom/>
      <diagonal/>
    </border>
    <border>
      <left style="thin">
        <color rgb="FF1D1D1A"/>
      </left>
      <right/>
      <top style="thin">
        <color rgb="FF1D1D1A"/>
      </top>
      <bottom style="thin">
        <color rgb="FF1D1D1A"/>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6">
    <xf numFmtId="0" fontId="0" fillId="0" borderId="0"/>
    <xf numFmtId="0" fontId="2" fillId="0" borderId="0">
      <alignment vertical="center"/>
    </xf>
    <xf numFmtId="9" fontId="3" fillId="0" borderId="0" applyFont="0" applyFill="0" applyBorder="0" applyAlignment="0" applyProtection="0">
      <alignment vertical="center"/>
    </xf>
    <xf numFmtId="9" fontId="3" fillId="0" borderId="0" applyFont="0" applyFill="0" applyBorder="0" applyAlignment="0" applyProtection="0"/>
    <xf numFmtId="0" fontId="14" fillId="0" borderId="0">
      <alignment vertical="center"/>
    </xf>
    <xf numFmtId="0" fontId="3" fillId="0" borderId="0">
      <alignment vertical="top"/>
    </xf>
    <xf numFmtId="0" fontId="3" fillId="0" borderId="0"/>
    <xf numFmtId="0" fontId="8" fillId="0" borderId="0"/>
    <xf numFmtId="0" fontId="3" fillId="0" borderId="0"/>
    <xf numFmtId="0" fontId="3" fillId="0" borderId="0"/>
    <xf numFmtId="0" fontId="32" fillId="0" borderId="0" applyNumberFormat="0" applyFill="0" applyBorder="0" applyAlignment="0" applyProtection="0"/>
    <xf numFmtId="0" fontId="13" fillId="0" borderId="0"/>
    <xf numFmtId="0" fontId="40" fillId="0" borderId="0" applyNumberFormat="0" applyFill="0" applyBorder="0" applyAlignment="0" applyProtection="0">
      <alignment horizontal="left" vertical="center" indent="1"/>
    </xf>
    <xf numFmtId="0" fontId="3" fillId="0" borderId="0"/>
    <xf numFmtId="9" fontId="3" fillId="0" borderId="0" applyFont="0" applyFill="0" applyBorder="0" applyAlignment="0" applyProtection="0">
      <alignment vertical="center"/>
    </xf>
    <xf numFmtId="0" fontId="63" fillId="0" borderId="0">
      <alignment vertical="center"/>
    </xf>
  </cellStyleXfs>
  <cellXfs count="254">
    <xf numFmtId="0" fontId="0" fillId="0" borderId="0" xfId="0"/>
    <xf numFmtId="0" fontId="4" fillId="0" borderId="0" xfId="0" applyFont="1"/>
    <xf numFmtId="0" fontId="4" fillId="0" borderId="0" xfId="0" applyFont="1" applyAlignment="1">
      <alignment horizontal="left"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4" fillId="0" borderId="1" xfId="0" applyFont="1" applyBorder="1" applyAlignment="1" applyProtection="1">
      <alignment horizontal="center" vertical="center"/>
      <protection locked="0"/>
    </xf>
    <xf numFmtId="0" fontId="4" fillId="0" borderId="1" xfId="0" applyFont="1" applyBorder="1" applyAlignment="1" applyProtection="1">
      <alignment horizontal="left" vertical="center"/>
      <protection locked="0"/>
    </xf>
    <xf numFmtId="0" fontId="4" fillId="0" borderId="1" xfId="0" applyFont="1" applyBorder="1" applyAlignment="1" applyProtection="1">
      <alignment horizontal="left" vertical="center" wrapText="1"/>
      <protection locked="0"/>
    </xf>
    <xf numFmtId="0" fontId="11" fillId="0" borderId="0" xfId="0" applyFont="1" applyAlignment="1">
      <alignment horizontal="left" wrapText="1"/>
    </xf>
    <xf numFmtId="0" fontId="11" fillId="3" borderId="1" xfId="0" applyFont="1" applyFill="1" applyBorder="1" applyAlignment="1">
      <alignment horizontal="center" vertical="center" wrapText="1"/>
    </xf>
    <xf numFmtId="9" fontId="7" fillId="3" borderId="1" xfId="2" applyFont="1" applyFill="1" applyBorder="1" applyAlignment="1">
      <alignment horizontal="center" vertical="center" wrapText="1"/>
    </xf>
    <xf numFmtId="9" fontId="7" fillId="0" borderId="1" xfId="2" applyFont="1" applyBorder="1" applyAlignment="1">
      <alignment horizontal="center" vertical="center" wrapText="1"/>
    </xf>
    <xf numFmtId="0" fontId="12" fillId="8" borderId="1" xfId="0" applyFont="1" applyFill="1" applyBorder="1" applyAlignment="1">
      <alignment horizontal="left" vertical="center" wrapText="1"/>
    </xf>
    <xf numFmtId="0" fontId="16" fillId="11" borderId="17" xfId="0" applyFont="1" applyFill="1" applyBorder="1" applyAlignment="1">
      <alignment horizontal="center" vertical="center" wrapText="1"/>
    </xf>
    <xf numFmtId="0" fontId="16" fillId="11" borderId="4" xfId="0" applyFont="1" applyFill="1" applyBorder="1" applyAlignment="1">
      <alignment horizontal="center" vertical="center" wrapText="1"/>
    </xf>
    <xf numFmtId="9" fontId="16" fillId="11" borderId="4" xfId="0" applyNumberFormat="1" applyFont="1" applyFill="1" applyBorder="1" applyAlignment="1">
      <alignment horizontal="center" vertical="center" wrapText="1"/>
    </xf>
    <xf numFmtId="0" fontId="16" fillId="12" borderId="4" xfId="0" applyFont="1" applyFill="1" applyBorder="1" applyAlignment="1">
      <alignment horizontal="center" vertical="center" wrapText="1"/>
    </xf>
    <xf numFmtId="0" fontId="16" fillId="12" borderId="20" xfId="0" applyFont="1" applyFill="1" applyBorder="1" applyAlignment="1">
      <alignment horizontal="center" vertical="center" wrapText="1"/>
    </xf>
    <xf numFmtId="0" fontId="18" fillId="0" borderId="13" xfId="0" applyFont="1" applyBorder="1" applyAlignment="1">
      <alignment horizontal="center" vertical="center"/>
    </xf>
    <xf numFmtId="0" fontId="18" fillId="0" borderId="1" xfId="0" applyFont="1" applyBorder="1" applyAlignment="1">
      <alignment horizontal="center" vertical="center"/>
    </xf>
    <xf numFmtId="0" fontId="18" fillId="0" borderId="14" xfId="0" applyFont="1" applyBorder="1" applyAlignment="1">
      <alignment horizontal="center" vertical="center"/>
    </xf>
    <xf numFmtId="0" fontId="19" fillId="0" borderId="15" xfId="0" applyFont="1" applyBorder="1" applyAlignment="1">
      <alignment horizontal="center" vertical="center"/>
    </xf>
    <xf numFmtId="0" fontId="19" fillId="0" borderId="13" xfId="0" applyFont="1" applyBorder="1" applyAlignment="1">
      <alignment horizontal="center" vertical="center"/>
    </xf>
    <xf numFmtId="0" fontId="19" fillId="0" borderId="1" xfId="0" applyFont="1" applyBorder="1" applyAlignment="1">
      <alignment horizontal="center" vertical="center"/>
    </xf>
    <xf numFmtId="0" fontId="0" fillId="0" borderId="0" xfId="0" applyAlignment="1">
      <alignment vertical="center"/>
    </xf>
    <xf numFmtId="0" fontId="15" fillId="0" borderId="0" xfId="0" applyFont="1"/>
    <xf numFmtId="0" fontId="22" fillId="2" borderId="25" xfId="0" applyFont="1" applyFill="1" applyBorder="1" applyAlignment="1">
      <alignment horizontal="center" vertical="center" wrapText="1"/>
    </xf>
    <xf numFmtId="0" fontId="25" fillId="0" borderId="1" xfId="1" applyFont="1" applyBorder="1" applyAlignment="1">
      <alignment horizontal="center" vertical="center"/>
    </xf>
    <xf numFmtId="0" fontId="15" fillId="6" borderId="1" xfId="0" applyFont="1" applyFill="1" applyBorder="1" applyAlignment="1">
      <alignment horizontal="center" vertical="center"/>
    </xf>
    <xf numFmtId="0" fontId="27" fillId="0" borderId="0" xfId="1" applyFont="1" applyAlignment="1">
      <alignment horizontal="left" vertical="center"/>
    </xf>
    <xf numFmtId="0" fontId="28" fillId="0" borderId="0" xfId="0" applyFont="1"/>
    <xf numFmtId="0" fontId="29" fillId="0" borderId="0" xfId="0" applyFont="1"/>
    <xf numFmtId="0" fontId="30" fillId="0" borderId="0" xfId="0" applyFont="1" applyAlignment="1">
      <alignment vertical="center"/>
    </xf>
    <xf numFmtId="0" fontId="30" fillId="0" borderId="0" xfId="0" applyFont="1" applyAlignment="1">
      <alignment horizontal="left" vertical="center"/>
    </xf>
    <xf numFmtId="0" fontId="13" fillId="3" borderId="26" xfId="0" applyFont="1" applyFill="1" applyBorder="1" applyAlignment="1">
      <alignment horizontal="left" vertical="center" wrapText="1"/>
    </xf>
    <xf numFmtId="0" fontId="12" fillId="0" borderId="26" xfId="0" applyFont="1" applyBorder="1" applyAlignment="1">
      <alignment horizontal="left" vertical="center" wrapText="1"/>
    </xf>
    <xf numFmtId="9" fontId="4" fillId="5" borderId="2" xfId="0" applyNumberFormat="1" applyFont="1" applyFill="1" applyBorder="1" applyAlignment="1">
      <alignment horizontal="center" wrapText="1"/>
    </xf>
    <xf numFmtId="0" fontId="4" fillId="0" borderId="1" xfId="0" applyFont="1" applyBorder="1"/>
    <xf numFmtId="0" fontId="7" fillId="6"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4" fillId="0" borderId="0" xfId="0" applyFont="1" applyAlignment="1">
      <alignment horizontal="left" vertical="top" wrapText="1"/>
    </xf>
    <xf numFmtId="9" fontId="4" fillId="0" borderId="0" xfId="0" applyNumberFormat="1" applyFont="1" applyAlignment="1">
      <alignment horizontal="left"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9" fontId="22" fillId="2" borderId="27"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9" fontId="0" fillId="0" borderId="0" xfId="2" applyFont="1" applyAlignment="1"/>
    <xf numFmtId="0" fontId="7" fillId="0" borderId="1" xfId="0" applyFont="1" applyBorder="1" applyAlignment="1">
      <alignment horizontal="center" vertical="center" wrapText="1"/>
    </xf>
    <xf numFmtId="9" fontId="4" fillId="0" borderId="1" xfId="2" applyFont="1" applyBorder="1" applyAlignment="1">
      <alignment horizontal="center" vertical="center" wrapText="1"/>
    </xf>
    <xf numFmtId="0" fontId="33" fillId="0" borderId="0" xfId="4" applyFont="1" applyAlignment="1"/>
    <xf numFmtId="0" fontId="34" fillId="0" borderId="0" xfId="4" applyFont="1" applyAlignment="1">
      <alignment wrapText="1"/>
    </xf>
    <xf numFmtId="0" fontId="34" fillId="0" borderId="0" xfId="4" applyFont="1" applyAlignment="1"/>
    <xf numFmtId="0" fontId="33" fillId="6" borderId="1" xfId="4" applyFont="1" applyFill="1" applyBorder="1" applyAlignment="1"/>
    <xf numFmtId="0" fontId="35" fillId="0" borderId="1" xfId="10" applyFont="1" applyBorder="1" applyAlignment="1">
      <alignment vertical="center" wrapText="1"/>
    </xf>
    <xf numFmtId="0" fontId="34" fillId="0" borderId="1" xfId="0" applyFont="1" applyBorder="1" applyAlignment="1">
      <alignment vertical="center"/>
    </xf>
    <xf numFmtId="0" fontId="34" fillId="0" borderId="1" xfId="0" applyFont="1" applyBorder="1" applyAlignment="1">
      <alignment vertical="center" wrapText="1"/>
    </xf>
    <xf numFmtId="0" fontId="36" fillId="0" borderId="0" xfId="11" applyFont="1" applyAlignment="1">
      <alignment vertical="top" wrapText="1"/>
    </xf>
    <xf numFmtId="0" fontId="36" fillId="0" borderId="0" xfId="11" applyFont="1"/>
    <xf numFmtId="0" fontId="37" fillId="0" borderId="0" xfId="11" applyFont="1"/>
    <xf numFmtId="0" fontId="38" fillId="0" borderId="0" xfId="11" applyFont="1" applyAlignment="1">
      <alignment vertical="top" wrapText="1"/>
    </xf>
    <xf numFmtId="0" fontId="39" fillId="0" borderId="0" xfId="11" applyFont="1" applyAlignment="1">
      <alignment vertical="top" wrapText="1"/>
    </xf>
    <xf numFmtId="0" fontId="36" fillId="0" borderId="0" xfId="11" applyFont="1" applyAlignment="1">
      <alignment wrapText="1"/>
    </xf>
    <xf numFmtId="0" fontId="41" fillId="0" borderId="0" xfId="12" applyFont="1" applyBorder="1" applyAlignment="1">
      <alignment vertical="top" wrapText="1"/>
    </xf>
    <xf numFmtId="0" fontId="43" fillId="0" borderId="0" xfId="11" applyFont="1" applyAlignment="1">
      <alignment vertical="top" wrapText="1"/>
    </xf>
    <xf numFmtId="0" fontId="44" fillId="0" borderId="0" xfId="11" applyFont="1" applyAlignment="1">
      <alignment vertical="top" wrapText="1"/>
    </xf>
    <xf numFmtId="0" fontId="41" fillId="0" borderId="0" xfId="11" applyFont="1" applyAlignment="1">
      <alignment wrapText="1"/>
    </xf>
    <xf numFmtId="0" fontId="44" fillId="0" borderId="0" xfId="11" applyFont="1"/>
    <xf numFmtId="0" fontId="41" fillId="0" borderId="0" xfId="11" applyFont="1" applyAlignment="1">
      <alignment vertical="top" wrapText="1"/>
    </xf>
    <xf numFmtId="0" fontId="44" fillId="0" borderId="0" xfId="11" applyFont="1" applyAlignment="1">
      <alignment vertical="top"/>
    </xf>
    <xf numFmtId="0" fontId="45" fillId="0" borderId="0" xfId="11" applyFont="1" applyAlignment="1">
      <alignment vertical="top"/>
    </xf>
    <xf numFmtId="0" fontId="36" fillId="0" borderId="0" xfId="11" applyFont="1" applyAlignment="1">
      <alignment horizontal="left"/>
    </xf>
    <xf numFmtId="0" fontId="46" fillId="0" borderId="0" xfId="11" applyFont="1" applyAlignment="1">
      <alignment vertical="top"/>
    </xf>
    <xf numFmtId="0" fontId="47" fillId="0" borderId="0" xfId="11" applyFont="1"/>
    <xf numFmtId="0" fontId="48" fillId="0" borderId="0" xfId="11" applyFont="1"/>
    <xf numFmtId="0" fontId="49" fillId="0" borderId="0" xfId="11" applyFont="1" applyAlignment="1">
      <alignment vertical="center" wrapText="1"/>
    </xf>
    <xf numFmtId="0" fontId="52" fillId="0" borderId="0" xfId="11" applyFont="1"/>
    <xf numFmtId="0" fontId="52" fillId="0" borderId="0" xfId="6" applyFont="1"/>
    <xf numFmtId="0" fontId="53" fillId="0" borderId="1" xfId="0" applyFont="1" applyBorder="1" applyAlignment="1">
      <alignment horizontal="left" vertical="center" wrapText="1"/>
    </xf>
    <xf numFmtId="0" fontId="53" fillId="0" borderId="1" xfId="0" applyFont="1" applyBorder="1" applyAlignment="1">
      <alignment vertical="center" wrapText="1"/>
    </xf>
    <xf numFmtId="0" fontId="47" fillId="0" borderId="0" xfId="11" applyFont="1" applyAlignment="1">
      <alignment horizontal="left"/>
    </xf>
    <xf numFmtId="0" fontId="18" fillId="14" borderId="14" xfId="0" applyFont="1" applyFill="1" applyBorder="1" applyAlignment="1">
      <alignment horizontal="center" vertical="center"/>
    </xf>
    <xf numFmtId="0" fontId="16" fillId="15" borderId="4" xfId="0" applyFont="1" applyFill="1" applyBorder="1" applyAlignment="1">
      <alignment horizontal="center" vertical="center" wrapText="1"/>
    </xf>
    <xf numFmtId="0" fontId="16" fillId="15" borderId="20" xfId="0" applyFont="1" applyFill="1" applyBorder="1" applyAlignment="1">
      <alignment horizontal="center" vertical="center" wrapText="1"/>
    </xf>
    <xf numFmtId="0" fontId="7" fillId="16" borderId="1" xfId="0" applyFont="1" applyFill="1" applyBorder="1" applyAlignment="1">
      <alignment horizontal="left" vertical="top" wrapText="1"/>
    </xf>
    <xf numFmtId="0" fontId="18" fillId="3" borderId="14" xfId="0" applyFont="1" applyFill="1" applyBorder="1" applyAlignment="1">
      <alignment horizontal="center" vertical="center"/>
    </xf>
    <xf numFmtId="0" fontId="16" fillId="17" borderId="31" xfId="0" applyFont="1" applyFill="1" applyBorder="1" applyAlignment="1">
      <alignment horizontal="center" vertical="center" wrapText="1" readingOrder="1"/>
    </xf>
    <xf numFmtId="0" fontId="16" fillId="18" borderId="31" xfId="0" applyFont="1" applyFill="1" applyBorder="1" applyAlignment="1">
      <alignment horizontal="center" vertical="center" wrapText="1" readingOrder="1"/>
    </xf>
    <xf numFmtId="0" fontId="7"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16" fillId="18" borderId="35" xfId="0" applyFont="1" applyFill="1" applyBorder="1" applyAlignment="1">
      <alignment horizontal="center" vertical="center" wrapText="1" readingOrder="1"/>
    </xf>
    <xf numFmtId="0" fontId="12" fillId="0" borderId="0" xfId="0" applyFont="1"/>
    <xf numFmtId="0" fontId="0" fillId="0" borderId="0" xfId="0" applyAlignment="1">
      <alignment wrapText="1"/>
    </xf>
    <xf numFmtId="0" fontId="58" fillId="4"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7" fillId="0" borderId="1" xfId="0" applyFont="1" applyBorder="1" applyAlignment="1">
      <alignment horizontal="left" vertical="top" wrapText="1"/>
    </xf>
    <xf numFmtId="0" fontId="7" fillId="0" borderId="1" xfId="0" applyFont="1" applyBorder="1" applyAlignment="1">
      <alignment horizontal="left" wrapText="1"/>
    </xf>
    <xf numFmtId="0" fontId="12" fillId="3" borderId="1" xfId="0" applyFont="1" applyFill="1" applyBorder="1" applyAlignment="1">
      <alignment horizontal="center" vertical="center"/>
    </xf>
    <xf numFmtId="0" fontId="8" fillId="0" borderId="1" xfId="0" applyFont="1" applyBorder="1" applyAlignment="1">
      <alignment horizontal="left" vertical="top" wrapText="1"/>
    </xf>
    <xf numFmtId="0" fontId="7" fillId="3" borderId="0" xfId="0" applyFont="1" applyFill="1" applyAlignment="1">
      <alignment horizontal="left" vertical="top" wrapText="1"/>
    </xf>
    <xf numFmtId="0" fontId="12" fillId="3" borderId="0" xfId="0" applyFont="1" applyFill="1"/>
    <xf numFmtId="0" fontId="8" fillId="3" borderId="0" xfId="0" applyFont="1" applyFill="1" applyAlignment="1">
      <alignment horizontal="left" vertical="top" wrapText="1"/>
    </xf>
    <xf numFmtId="0" fontId="4" fillId="3" borderId="0" xfId="0" applyFont="1" applyFill="1" applyAlignment="1">
      <alignment horizontal="left" vertical="top" wrapText="1"/>
    </xf>
    <xf numFmtId="0" fontId="4" fillId="0" borderId="1" xfId="0" applyFont="1" applyBorder="1" applyAlignment="1">
      <alignment horizontal="left" vertical="top" wrapText="1"/>
    </xf>
    <xf numFmtId="0" fontId="16" fillId="18" borderId="45" xfId="0" applyFont="1" applyFill="1" applyBorder="1" applyAlignment="1">
      <alignment horizontal="center" vertical="center" wrapText="1" readingOrder="1"/>
    </xf>
    <xf numFmtId="0" fontId="16" fillId="18" borderId="1" xfId="0" applyFont="1" applyFill="1" applyBorder="1" applyAlignment="1">
      <alignment horizontal="center" vertical="center" wrapText="1" readingOrder="1"/>
    </xf>
    <xf numFmtId="0" fontId="16" fillId="17" borderId="31" xfId="13" applyFont="1" applyFill="1" applyBorder="1" applyAlignment="1">
      <alignment horizontal="center" vertical="center" wrapText="1" readingOrder="1"/>
    </xf>
    <xf numFmtId="0" fontId="16" fillId="17" borderId="46" xfId="13" applyFont="1" applyFill="1" applyBorder="1" applyAlignment="1">
      <alignment horizontal="center" vertical="center" wrapText="1" readingOrder="1"/>
    </xf>
    <xf numFmtId="0" fontId="16" fillId="11" borderId="1" xfId="13" applyFont="1" applyFill="1" applyBorder="1" applyAlignment="1">
      <alignment horizontal="center" vertical="center" wrapText="1"/>
    </xf>
    <xf numFmtId="0" fontId="61" fillId="11" borderId="1" xfId="13" applyFont="1" applyFill="1" applyBorder="1" applyAlignment="1">
      <alignment horizontal="center" vertical="center" wrapText="1"/>
    </xf>
    <xf numFmtId="0" fontId="3" fillId="0" borderId="0" xfId="13"/>
    <xf numFmtId="9" fontId="7" fillId="3" borderId="1" xfId="14" applyFont="1" applyFill="1" applyBorder="1" applyAlignment="1">
      <alignment horizontal="center" vertical="center" wrapText="1"/>
    </xf>
    <xf numFmtId="0" fontId="7" fillId="3" borderId="9" xfId="13" applyFont="1" applyFill="1" applyBorder="1" applyAlignment="1">
      <alignment horizontal="left" vertical="center" wrapText="1"/>
    </xf>
    <xf numFmtId="0" fontId="3" fillId="0" borderId="1" xfId="13" applyBorder="1" applyAlignment="1">
      <alignment horizontal="center" vertical="center"/>
    </xf>
    <xf numFmtId="0" fontId="19" fillId="0" borderId="13" xfId="13" applyFont="1" applyBorder="1" applyAlignment="1">
      <alignment horizontal="center" vertical="center"/>
    </xf>
    <xf numFmtId="9" fontId="8" fillId="3" borderId="1" xfId="14" applyFont="1" applyFill="1" applyBorder="1" applyAlignment="1">
      <alignment horizontal="center" vertical="center" wrapText="1"/>
    </xf>
    <xf numFmtId="0" fontId="3" fillId="0" borderId="0" xfId="13" applyAlignment="1">
      <alignment vertical="center"/>
    </xf>
    <xf numFmtId="0" fontId="64" fillId="0" borderId="18" xfId="10" applyFont="1" applyFill="1" applyBorder="1"/>
    <xf numFmtId="0" fontId="65" fillId="0" borderId="18" xfId="10" applyFont="1" applyFill="1" applyBorder="1"/>
    <xf numFmtId="0" fontId="4" fillId="0" borderId="1" xfId="0" applyFont="1" applyBorder="1" applyAlignment="1">
      <alignment horizontal="center" vertical="center" wrapText="1"/>
    </xf>
    <xf numFmtId="0" fontId="16" fillId="18" borderId="46" xfId="15" applyFont="1" applyFill="1" applyBorder="1" applyAlignment="1">
      <alignment horizontal="center" vertical="center" wrapText="1" readingOrder="1"/>
    </xf>
    <xf numFmtId="0" fontId="4" fillId="0" borderId="46" xfId="15" applyFont="1" applyBorder="1" applyAlignment="1" applyProtection="1">
      <alignment horizontal="center" vertical="center"/>
      <protection locked="0"/>
    </xf>
    <xf numFmtId="0" fontId="4" fillId="0" borderId="9" xfId="0" applyFont="1" applyBorder="1" applyAlignment="1">
      <alignment horizontal="left" wrapText="1"/>
    </xf>
    <xf numFmtId="0" fontId="55" fillId="0" borderId="1" xfId="0" applyFont="1" applyBorder="1" applyAlignment="1">
      <alignment horizontal="center" vertical="center" wrapText="1"/>
    </xf>
    <xf numFmtId="0" fontId="55" fillId="0" borderId="9" xfId="0" applyFont="1" applyBorder="1" applyAlignment="1">
      <alignment horizontal="center" vertical="center" wrapText="1"/>
    </xf>
    <xf numFmtId="0" fontId="66" fillId="0" borderId="1" xfId="0" applyFont="1" applyBorder="1" applyAlignment="1">
      <alignment horizontal="center" vertical="center"/>
    </xf>
    <xf numFmtId="0" fontId="66" fillId="0" borderId="9" xfId="0" applyFont="1" applyBorder="1" applyAlignment="1">
      <alignment horizontal="center" vertical="center"/>
    </xf>
    <xf numFmtId="0" fontId="8" fillId="0" borderId="1" xfId="0" applyFont="1" applyBorder="1" applyAlignment="1">
      <alignment horizontal="left" vertical="center" wrapText="1"/>
    </xf>
    <xf numFmtId="0" fontId="8" fillId="3" borderId="9" xfId="0" applyFont="1" applyFill="1" applyBorder="1" applyAlignment="1">
      <alignment horizontal="left" vertical="center" wrapText="1"/>
    </xf>
    <xf numFmtId="9" fontId="8" fillId="0" borderId="1" xfId="0" applyNumberFormat="1" applyFont="1" applyBorder="1" applyAlignment="1">
      <alignment horizontal="center" vertical="center" wrapText="1"/>
    </xf>
    <xf numFmtId="0" fontId="60" fillId="3" borderId="1" xfId="0" applyFont="1" applyFill="1" applyBorder="1" applyAlignment="1">
      <alignment horizontal="left" vertical="center" wrapText="1"/>
    </xf>
    <xf numFmtId="0" fontId="4" fillId="0" borderId="9" xfId="0" applyFont="1" applyBorder="1"/>
    <xf numFmtId="0" fontId="0" fillId="0" borderId="19" xfId="0" applyBorder="1"/>
    <xf numFmtId="0" fontId="0" fillId="0" borderId="16" xfId="0" applyBorder="1"/>
    <xf numFmtId="0" fontId="5" fillId="8" borderId="9" xfId="0" applyFont="1" applyFill="1" applyBorder="1" applyAlignment="1">
      <alignment horizontal="left" vertical="center" wrapText="1"/>
    </xf>
    <xf numFmtId="0" fontId="5" fillId="8" borderId="19" xfId="0" applyFont="1" applyFill="1" applyBorder="1" applyAlignment="1">
      <alignment horizontal="left" vertical="center" wrapText="1"/>
    </xf>
    <xf numFmtId="0" fontId="5" fillId="8" borderId="16" xfId="0" applyFont="1" applyFill="1" applyBorder="1" applyAlignment="1">
      <alignment horizontal="left" vertical="center" wrapText="1"/>
    </xf>
    <xf numFmtId="0" fontId="5" fillId="10" borderId="0" xfId="0" applyFont="1" applyFill="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 xfId="0" applyFont="1" applyBorder="1" applyAlignment="1">
      <alignment horizontal="center" vertical="center" wrapText="1"/>
    </xf>
    <xf numFmtId="0" fontId="4" fillId="5" borderId="1" xfId="0" applyFont="1" applyFill="1" applyBorder="1" applyAlignment="1">
      <alignment horizontal="center" wrapText="1"/>
    </xf>
    <xf numFmtId="0" fontId="5" fillId="9" borderId="1"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5" fillId="7" borderId="1" xfId="0" applyFont="1" applyFill="1" applyBorder="1" applyAlignment="1">
      <alignment horizontal="center" vertical="top" wrapText="1"/>
    </xf>
    <xf numFmtId="0" fontId="5" fillId="7" borderId="2" xfId="0" applyFont="1" applyFill="1" applyBorder="1" applyAlignment="1">
      <alignment horizontal="center" vertical="top" wrapText="1"/>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16" fillId="17" borderId="32" xfId="0" applyFont="1" applyFill="1" applyBorder="1" applyAlignment="1">
      <alignment horizontal="center" vertical="center" wrapText="1" readingOrder="1"/>
    </xf>
    <xf numFmtId="0" fontId="16" fillId="17" borderId="33" xfId="0" applyFont="1" applyFill="1" applyBorder="1" applyAlignment="1">
      <alignment horizontal="center" vertical="center" wrapText="1" readingOrder="1"/>
    </xf>
    <xf numFmtId="0" fontId="16" fillId="17" borderId="34" xfId="0" applyFont="1" applyFill="1" applyBorder="1" applyAlignment="1">
      <alignment horizontal="center" vertical="center" wrapText="1" readingOrder="1"/>
    </xf>
    <xf numFmtId="0" fontId="5" fillId="10" borderId="18" xfId="0" applyFont="1" applyFill="1" applyBorder="1" applyAlignment="1">
      <alignment horizontal="center" vertical="center" wrapText="1"/>
    </xf>
    <xf numFmtId="0" fontId="55" fillId="0" borderId="0" xfId="0" applyFont="1" applyAlignment="1">
      <alignment horizontal="left" wrapText="1"/>
    </xf>
    <xf numFmtId="0" fontId="0" fillId="0" borderId="0" xfId="0" applyAlignment="1">
      <alignment horizontal="left" wrapText="1"/>
    </xf>
    <xf numFmtId="0" fontId="16" fillId="18" borderId="32" xfId="15" applyFont="1" applyFill="1" applyBorder="1" applyAlignment="1">
      <alignment horizontal="center" vertical="center" wrapText="1" readingOrder="1"/>
    </xf>
    <xf numFmtId="0" fontId="0" fillId="0" borderId="33" xfId="0" applyBorder="1" applyAlignment="1">
      <alignment horizontal="center" vertical="center" wrapText="1" readingOrder="1"/>
    </xf>
    <xf numFmtId="0" fontId="50" fillId="0" borderId="0" xfId="11" applyFont="1" applyAlignment="1">
      <alignment horizontal="left" vertical="center" wrapText="1"/>
    </xf>
    <xf numFmtId="0" fontId="51" fillId="0" borderId="0" xfId="6" applyFont="1" applyAlignment="1">
      <alignment horizontal="left" vertical="top" wrapText="1"/>
    </xf>
    <xf numFmtId="0" fontId="12" fillId="0" borderId="0" xfId="0" applyFont="1" applyAlignment="1">
      <alignment horizontal="left"/>
    </xf>
    <xf numFmtId="0" fontId="57" fillId="4"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43" xfId="0" applyBorder="1" applyAlignment="1">
      <alignment horizontal="left" vertical="center" wrapText="1"/>
    </xf>
    <xf numFmtId="0" fontId="0" fillId="0" borderId="44" xfId="0" applyBorder="1" applyAlignment="1">
      <alignment horizontal="left" vertical="center" wrapText="1"/>
    </xf>
    <xf numFmtId="0" fontId="0" fillId="0" borderId="10" xfId="0" applyBorder="1" applyAlignment="1">
      <alignment horizontal="left" vertical="center" wrapText="1"/>
    </xf>
    <xf numFmtId="0" fontId="56" fillId="4" borderId="36" xfId="0" applyFont="1" applyFill="1" applyBorder="1" applyAlignment="1">
      <alignment horizontal="center" vertical="center" wrapText="1"/>
    </xf>
    <xf numFmtId="0" fontId="56" fillId="4" borderId="37" xfId="0" applyFont="1" applyFill="1" applyBorder="1" applyAlignment="1">
      <alignment horizontal="center" vertical="center" wrapText="1"/>
    </xf>
    <xf numFmtId="0" fontId="56" fillId="4" borderId="38" xfId="0" applyFont="1" applyFill="1" applyBorder="1" applyAlignment="1">
      <alignment horizontal="center" vertical="center" wrapText="1"/>
    </xf>
    <xf numFmtId="0" fontId="0" fillId="0" borderId="39" xfId="0" applyBorder="1" applyAlignment="1">
      <alignment horizontal="left" wrapText="1"/>
    </xf>
    <xf numFmtId="0" fontId="0" fillId="0" borderId="8" xfId="0" applyBorder="1" applyAlignment="1">
      <alignment horizontal="left" wrapText="1"/>
    </xf>
    <xf numFmtId="0" fontId="0" fillId="0" borderId="39" xfId="0" applyBorder="1" applyAlignment="1">
      <alignment wrapText="1"/>
    </xf>
    <xf numFmtId="0" fontId="0" fillId="0" borderId="0" xfId="0" applyAlignment="1">
      <alignment wrapText="1"/>
    </xf>
    <xf numFmtId="0" fontId="0" fillId="0" borderId="8" xfId="0" applyBorder="1" applyAlignment="1">
      <alignment wrapText="1"/>
    </xf>
    <xf numFmtId="0" fontId="0" fillId="0" borderId="39" xfId="0" applyBorder="1" applyAlignment="1">
      <alignment vertical="center" wrapText="1"/>
    </xf>
    <xf numFmtId="0" fontId="0" fillId="0" borderId="0" xfId="0" applyAlignment="1">
      <alignment vertical="center" wrapText="1"/>
    </xf>
    <xf numFmtId="0" fontId="0" fillId="0" borderId="8" xfId="0" applyBorder="1" applyAlignment="1">
      <alignment vertical="center" wrapText="1"/>
    </xf>
    <xf numFmtId="0" fontId="0" fillId="0" borderId="40" xfId="0" applyBorder="1" applyAlignment="1">
      <alignment wrapText="1"/>
    </xf>
    <xf numFmtId="0" fontId="0" fillId="0" borderId="41" xfId="0" applyBorder="1" applyAlignment="1">
      <alignment wrapText="1"/>
    </xf>
    <xf numFmtId="0" fontId="0" fillId="0" borderId="42" xfId="0" applyBorder="1" applyAlignment="1">
      <alignment wrapText="1"/>
    </xf>
    <xf numFmtId="0" fontId="0" fillId="0" borderId="5" xfId="0" applyBorder="1" applyAlignment="1">
      <alignment horizontal="left" wrapText="1"/>
    </xf>
    <xf numFmtId="0" fontId="0" fillId="0" borderId="7" xfId="0" applyBorder="1" applyAlignment="1">
      <alignment horizontal="left" wrapText="1"/>
    </xf>
    <xf numFmtId="0" fontId="0" fillId="0" borderId="6" xfId="0" applyBorder="1" applyAlignment="1">
      <alignment horizontal="left" wrapText="1"/>
    </xf>
    <xf numFmtId="0" fontId="9" fillId="20" borderId="2" xfId="13" applyFont="1" applyFill="1" applyBorder="1" applyAlignment="1">
      <alignment horizontal="center" vertical="center" wrapText="1"/>
    </xf>
    <xf numFmtId="0" fontId="9" fillId="20" borderId="3" xfId="13" applyFont="1" applyFill="1" applyBorder="1" applyAlignment="1">
      <alignment horizontal="center" vertical="center" wrapText="1"/>
    </xf>
    <xf numFmtId="0" fontId="9" fillId="20" borderId="4" xfId="13" applyFont="1" applyFill="1" applyBorder="1" applyAlignment="1">
      <alignment horizontal="center" vertical="center" wrapText="1"/>
    </xf>
    <xf numFmtId="0" fontId="61" fillId="11" borderId="9" xfId="13" applyFont="1" applyFill="1" applyBorder="1" applyAlignment="1">
      <alignment horizontal="center" vertical="center" wrapText="1"/>
    </xf>
    <xf numFmtId="0" fontId="61" fillId="11" borderId="19" xfId="13" applyFont="1" applyFill="1" applyBorder="1" applyAlignment="1">
      <alignment horizontal="center" vertical="center" wrapText="1"/>
    </xf>
    <xf numFmtId="0" fontId="61" fillId="11" borderId="16" xfId="13" applyFont="1" applyFill="1" applyBorder="1" applyAlignment="1">
      <alignment horizontal="center" vertical="center" wrapText="1"/>
    </xf>
    <xf numFmtId="0" fontId="0" fillId="0" borderId="1" xfId="0" applyBorder="1" applyAlignment="1">
      <alignment horizontal="center" vertical="center"/>
    </xf>
    <xf numFmtId="165" fontId="62" fillId="0" borderId="30" xfId="13" applyNumberFormat="1" applyFont="1" applyBorder="1" applyAlignment="1">
      <alignment horizontal="center" vertical="center"/>
    </xf>
    <xf numFmtId="165" fontId="62" fillId="0" borderId="47" xfId="13" applyNumberFormat="1" applyFont="1" applyBorder="1" applyAlignment="1">
      <alignment horizontal="center" vertical="center"/>
    </xf>
    <xf numFmtId="165" fontId="62" fillId="0" borderId="48" xfId="13" applyNumberFormat="1" applyFont="1" applyBorder="1" applyAlignment="1">
      <alignment horizontal="center" vertical="center"/>
    </xf>
    <xf numFmtId="165" fontId="62" fillId="0" borderId="18" xfId="13" applyNumberFormat="1" applyFont="1" applyBorder="1" applyAlignment="1">
      <alignment horizontal="center" vertical="center"/>
    </xf>
    <xf numFmtId="165" fontId="62" fillId="0" borderId="0" xfId="13" applyNumberFormat="1" applyFont="1" applyAlignment="1">
      <alignment horizontal="center" vertical="center"/>
    </xf>
    <xf numFmtId="165" fontId="62" fillId="0" borderId="49" xfId="13" applyNumberFormat="1" applyFont="1" applyBorder="1" applyAlignment="1">
      <alignment horizontal="center" vertical="center"/>
    </xf>
    <xf numFmtId="165" fontId="62" fillId="0" borderId="20" xfId="13" applyNumberFormat="1" applyFont="1" applyBorder="1" applyAlignment="1">
      <alignment horizontal="center" vertical="center"/>
    </xf>
    <xf numFmtId="165" fontId="62" fillId="0" borderId="44" xfId="13" applyNumberFormat="1" applyFont="1" applyBorder="1" applyAlignment="1">
      <alignment horizontal="center" vertical="center"/>
    </xf>
    <xf numFmtId="165" fontId="62" fillId="0" borderId="50" xfId="13" applyNumberFormat="1" applyFont="1" applyBorder="1" applyAlignment="1">
      <alignment horizontal="center" vertical="center"/>
    </xf>
    <xf numFmtId="166" fontId="62" fillId="0" borderId="30" xfId="13" applyNumberFormat="1" applyFont="1" applyBorder="1" applyAlignment="1">
      <alignment horizontal="center" vertical="center"/>
    </xf>
    <xf numFmtId="166" fontId="62" fillId="0" borderId="47" xfId="13" applyNumberFormat="1" applyFont="1" applyBorder="1" applyAlignment="1">
      <alignment horizontal="center" vertical="center"/>
    </xf>
    <xf numFmtId="166" fontId="62" fillId="0" borderId="48" xfId="13" applyNumberFormat="1" applyFont="1" applyBorder="1" applyAlignment="1">
      <alignment horizontal="center" vertical="center"/>
    </xf>
    <xf numFmtId="166" fontId="62" fillId="0" borderId="18" xfId="13" applyNumberFormat="1" applyFont="1" applyBorder="1" applyAlignment="1">
      <alignment horizontal="center" vertical="center"/>
    </xf>
    <xf numFmtId="166" fontId="62" fillId="0" borderId="0" xfId="13" applyNumberFormat="1" applyFont="1" applyAlignment="1">
      <alignment horizontal="center" vertical="center"/>
    </xf>
    <xf numFmtId="166" fontId="62" fillId="0" borderId="49" xfId="13" applyNumberFormat="1" applyFont="1" applyBorder="1" applyAlignment="1">
      <alignment horizontal="center" vertical="center"/>
    </xf>
    <xf numFmtId="166" fontId="62" fillId="0" borderId="20" xfId="13" applyNumberFormat="1" applyFont="1" applyBorder="1" applyAlignment="1">
      <alignment horizontal="center" vertical="center"/>
    </xf>
    <xf numFmtId="166" fontId="62" fillId="0" borderId="44" xfId="13" applyNumberFormat="1" applyFont="1" applyBorder="1" applyAlignment="1">
      <alignment horizontal="center" vertical="center"/>
    </xf>
    <xf numFmtId="166" fontId="62" fillId="0" borderId="50" xfId="13" applyNumberFormat="1" applyFont="1" applyBorder="1" applyAlignment="1">
      <alignment horizontal="center" vertical="center"/>
    </xf>
    <xf numFmtId="0" fontId="16" fillId="17" borderId="32" xfId="13" applyFont="1" applyFill="1" applyBorder="1" applyAlignment="1">
      <alignment horizontal="center" vertical="center" wrapText="1" readingOrder="1"/>
    </xf>
    <xf numFmtId="0" fontId="16" fillId="17" borderId="33" xfId="13" applyFont="1" applyFill="1" applyBorder="1" applyAlignment="1">
      <alignment horizontal="center" vertical="center" wrapText="1" readingOrder="1"/>
    </xf>
    <xf numFmtId="0" fontId="16" fillId="17" borderId="34" xfId="13" applyFont="1" applyFill="1" applyBorder="1" applyAlignment="1">
      <alignment horizontal="center" vertical="center" wrapText="1" readingOrder="1"/>
    </xf>
    <xf numFmtId="0" fontId="5" fillId="8" borderId="9" xfId="13" applyFont="1" applyFill="1" applyBorder="1" applyAlignment="1">
      <alignment horizontal="left" vertical="center" wrapText="1"/>
    </xf>
    <xf numFmtId="0" fontId="5" fillId="8" borderId="19" xfId="13" applyFont="1" applyFill="1" applyBorder="1" applyAlignment="1">
      <alignment horizontal="left" vertical="center" wrapText="1"/>
    </xf>
    <xf numFmtId="0" fontId="5" fillId="8" borderId="16" xfId="13" applyFont="1" applyFill="1" applyBorder="1" applyAlignment="1">
      <alignment horizontal="left" vertical="center" wrapText="1"/>
    </xf>
    <xf numFmtId="0" fontId="54" fillId="19" borderId="9" xfId="0" applyFont="1" applyFill="1" applyBorder="1" applyAlignment="1">
      <alignment horizontal="left" vertical="center" wrapText="1"/>
    </xf>
    <xf numFmtId="0" fontId="54" fillId="19" borderId="19" xfId="0" applyFont="1" applyFill="1" applyBorder="1" applyAlignment="1">
      <alignment horizontal="left" vertical="center" wrapText="1"/>
    </xf>
    <xf numFmtId="0" fontId="54" fillId="19" borderId="16" xfId="0" applyFont="1" applyFill="1" applyBorder="1" applyAlignment="1">
      <alignment horizontal="left" vertical="center" wrapText="1"/>
    </xf>
    <xf numFmtId="0" fontId="9" fillId="11" borderId="5" xfId="0" applyFont="1" applyFill="1" applyBorder="1" applyAlignment="1">
      <alignment horizontal="center" vertical="center"/>
    </xf>
    <xf numFmtId="0" fontId="9" fillId="11" borderId="7" xfId="0" applyFont="1" applyFill="1" applyBorder="1" applyAlignment="1">
      <alignment horizontal="center" vertical="center"/>
    </xf>
    <xf numFmtId="0" fontId="9" fillId="11" borderId="6" xfId="0" applyFont="1" applyFill="1" applyBorder="1" applyAlignment="1">
      <alignment horizontal="center" vertical="center"/>
    </xf>
    <xf numFmtId="0" fontId="5" fillId="4" borderId="8"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12" xfId="0" applyFont="1" applyFill="1" applyBorder="1" applyAlignment="1">
      <alignment horizontal="center" vertical="center" wrapText="1"/>
    </xf>
    <xf numFmtId="9" fontId="9" fillId="12" borderId="9" xfId="0" applyNumberFormat="1" applyFont="1" applyFill="1" applyBorder="1" applyAlignment="1">
      <alignment horizontal="center" vertical="center" wrapText="1"/>
    </xf>
    <xf numFmtId="0" fontId="9" fillId="12" borderId="19" xfId="0" applyFont="1" applyFill="1" applyBorder="1" applyAlignment="1">
      <alignment horizontal="center" vertical="center"/>
    </xf>
    <xf numFmtId="0" fontId="9" fillId="12" borderId="16" xfId="0" applyFont="1" applyFill="1" applyBorder="1" applyAlignment="1">
      <alignment horizontal="center" vertical="center"/>
    </xf>
    <xf numFmtId="0" fontId="9" fillId="11" borderId="2" xfId="0" applyFont="1" applyFill="1" applyBorder="1" applyAlignment="1">
      <alignment horizontal="center" vertical="center" wrapText="1"/>
    </xf>
    <xf numFmtId="0" fontId="9" fillId="11" borderId="3" xfId="0" applyFont="1" applyFill="1" applyBorder="1" applyAlignment="1">
      <alignment horizontal="center" vertical="center" wrapText="1"/>
    </xf>
    <xf numFmtId="0" fontId="9" fillId="11" borderId="4" xfId="0" applyFont="1" applyFill="1" applyBorder="1" applyAlignment="1">
      <alignment horizontal="center" vertical="center" wrapText="1"/>
    </xf>
    <xf numFmtId="9" fontId="9" fillId="15" borderId="16" xfId="0" applyNumberFormat="1" applyFont="1" applyFill="1" applyBorder="1" applyAlignment="1">
      <alignment horizontal="center" vertical="center"/>
    </xf>
    <xf numFmtId="0" fontId="9" fillId="15" borderId="1" xfId="0" applyFont="1" applyFill="1" applyBorder="1" applyAlignment="1">
      <alignment horizontal="center" vertical="center"/>
    </xf>
    <xf numFmtId="9" fontId="9" fillId="12" borderId="9" xfId="0" applyNumberFormat="1" applyFont="1" applyFill="1" applyBorder="1" applyAlignment="1">
      <alignment horizontal="center" vertical="center"/>
    </xf>
    <xf numFmtId="0" fontId="9" fillId="11" borderId="1" xfId="0" applyFont="1" applyFill="1" applyBorder="1" applyAlignment="1">
      <alignment horizontal="center" vertical="center"/>
    </xf>
    <xf numFmtId="9" fontId="9" fillId="15" borderId="1" xfId="0" applyNumberFormat="1" applyFont="1" applyFill="1" applyBorder="1" applyAlignment="1">
      <alignment horizontal="center" vertical="center" wrapText="1"/>
    </xf>
    <xf numFmtId="164" fontId="20" fillId="13" borderId="2" xfId="0" applyNumberFormat="1" applyFont="1" applyFill="1" applyBorder="1" applyAlignment="1">
      <alignment horizontal="center" vertical="center"/>
    </xf>
    <xf numFmtId="164" fontId="20" fillId="13" borderId="3" xfId="0" applyNumberFormat="1" applyFont="1" applyFill="1" applyBorder="1" applyAlignment="1">
      <alignment horizontal="center" vertical="center"/>
    </xf>
    <xf numFmtId="164" fontId="19" fillId="2" borderId="28" xfId="0" applyNumberFormat="1" applyFont="1" applyFill="1" applyBorder="1" applyAlignment="1">
      <alignment horizontal="center" vertical="center"/>
    </xf>
    <xf numFmtId="164" fontId="19" fillId="2" borderId="29" xfId="0" applyNumberFormat="1" applyFont="1" applyFill="1" applyBorder="1" applyAlignment="1">
      <alignment horizontal="center" vertical="center"/>
    </xf>
    <xf numFmtId="164" fontId="19" fillId="4" borderId="30" xfId="0" applyNumberFormat="1" applyFont="1" applyFill="1" applyBorder="1" applyAlignment="1">
      <alignment horizontal="center" vertical="center"/>
    </xf>
    <xf numFmtId="164" fontId="19" fillId="4" borderId="18" xfId="0" applyNumberFormat="1" applyFont="1" applyFill="1" applyBorder="1" applyAlignment="1">
      <alignment horizontal="center" vertical="center"/>
    </xf>
    <xf numFmtId="0" fontId="26" fillId="6" borderId="1" xfId="1" applyFont="1" applyFill="1" applyBorder="1" applyAlignment="1">
      <alignment horizontal="center" vertical="center" wrapText="1"/>
    </xf>
    <xf numFmtId="0" fontId="21" fillId="2" borderId="21" xfId="1" applyFont="1" applyFill="1" applyBorder="1" applyAlignment="1">
      <alignment horizontal="left" vertical="center" wrapText="1"/>
    </xf>
    <xf numFmtId="0" fontId="21" fillId="2" borderId="22" xfId="1" applyFont="1" applyFill="1" applyBorder="1" applyAlignment="1">
      <alignment horizontal="left" vertical="center" wrapText="1"/>
    </xf>
    <xf numFmtId="0" fontId="21" fillId="2" borderId="23" xfId="1" applyFont="1" applyFill="1" applyBorder="1" applyAlignment="1">
      <alignment horizontal="left" vertical="center" wrapText="1"/>
    </xf>
    <xf numFmtId="0" fontId="21" fillId="2" borderId="24" xfId="1" applyFont="1" applyFill="1" applyBorder="1" applyAlignment="1">
      <alignment horizontal="left" vertical="center" wrapText="1"/>
    </xf>
    <xf numFmtId="0" fontId="21" fillId="2" borderId="2" xfId="1" applyFont="1" applyFill="1" applyBorder="1" applyAlignment="1">
      <alignment horizontal="center" vertical="center" wrapText="1"/>
    </xf>
    <xf numFmtId="0" fontId="21" fillId="2" borderId="1" xfId="1"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0" xfId="0" applyFont="1" applyFill="1" applyAlignment="1">
      <alignment horizontal="center" vertical="center" wrapText="1"/>
    </xf>
  </cellXfs>
  <cellStyles count="16">
    <cellStyle name="Hyperlink" xfId="10" builtinId="8"/>
    <cellStyle name="Hyperlink 2" xfId="12" xr:uid="{72948CB5-5939-4AB9-9DAF-FA92CD624905}"/>
    <cellStyle name="Normal" xfId="0" builtinId="0"/>
    <cellStyle name="Normal 10" xfId="6" xr:uid="{4D0E7F71-5BCD-4413-B2D9-56DB05284C57}"/>
    <cellStyle name="Normal 2" xfId="4" xr:uid="{B5609C81-4D8C-4B98-ADF3-7D13AA1E31B5}"/>
    <cellStyle name="Normal 2 2" xfId="7" xr:uid="{C065A82A-8297-4874-A923-7694B32F6D32}"/>
    <cellStyle name="Normal 21" xfId="5" xr:uid="{72DE9DC8-65E3-4BD3-BEEB-CEEDF7709F6A}"/>
    <cellStyle name="Normal 3" xfId="8" xr:uid="{7F65FEF8-4980-4201-ADD5-65840D0586DC}"/>
    <cellStyle name="Normal 3 2" xfId="11" xr:uid="{E1CB3769-51B8-4361-96A4-A774C53AB012}"/>
    <cellStyle name="Normal 4" xfId="9" xr:uid="{A4D7AA5A-5510-4B4A-AB61-B2DCCE941C02}"/>
    <cellStyle name="Percent" xfId="2" builtinId="5"/>
    <cellStyle name="Percent 2" xfId="3" xr:uid="{9DC64404-9156-4E49-82DA-A5C7572180FD}"/>
    <cellStyle name="常规 2" xfId="1" xr:uid="{00000000-0005-0000-0000-000002000000}"/>
    <cellStyle name="常规 4" xfId="15" xr:uid="{66F56035-C806-4825-9BDD-45321C813793}"/>
    <cellStyle name="常规 4 2" xfId="13" xr:uid="{54F3F75A-DD70-4C99-96DF-B853EBAE96E0}"/>
    <cellStyle name="百分比 2" xfId="14" xr:uid="{1BA345FF-E6BF-41C5-AF3C-267DB715DF9C}"/>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1</xdr:col>
      <xdr:colOff>3267710</xdr:colOff>
      <xdr:row>5</xdr:row>
      <xdr:rowOff>145415</xdr:rowOff>
    </xdr:to>
    <xdr:pic>
      <xdr:nvPicPr>
        <xdr:cNvPr id="2" name="Picture 1" descr="A black background with red and blue text&#10;&#10;AI-generated content may be incorrect.">
          <a:extLst>
            <a:ext uri="{FF2B5EF4-FFF2-40B4-BE49-F238E27FC236}">
              <a16:creationId xmlns:a16="http://schemas.microsoft.com/office/drawing/2014/main" id="{109635F2-3149-4401-B2B6-3EBCAB7C29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50025" y="19050"/>
          <a:ext cx="1118235" cy="935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0</xdr:col>
      <xdr:colOff>8239760</xdr:colOff>
      <xdr:row>6</xdr:row>
      <xdr:rowOff>297815</xdr:rowOff>
    </xdr:to>
    <xdr:pic>
      <xdr:nvPicPr>
        <xdr:cNvPr id="2" name="Picture 1" descr="A black background with red and blue text&#10;&#10;AI-generated content may be incorrect.">
          <a:extLst>
            <a:ext uri="{FF2B5EF4-FFF2-40B4-BE49-F238E27FC236}">
              <a16:creationId xmlns:a16="http://schemas.microsoft.com/office/drawing/2014/main" id="{3BDA8663-E475-49FD-A5B5-318813C077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1115060" cy="9359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https://projects.tmforum.org/wiki/display/~luqman@makman.co" TargetMode="External"/><Relationship Id="rId13" Type="http://schemas.openxmlformats.org/officeDocument/2006/relationships/hyperlink" Target="https://projects.tmforum.org/wiki/display/~yinruowei@cmdi.chinamobile.com" TargetMode="External"/><Relationship Id="rId18" Type="http://schemas.openxmlformats.org/officeDocument/2006/relationships/hyperlink" Target="https://projects.tmforum.org/wiki/display/~Charlene.wong@huawei.com" TargetMode="External"/><Relationship Id="rId3" Type="http://schemas.openxmlformats.org/officeDocument/2006/relationships/hyperlink" Target="https://projects.tmforum.org/wiki/display/~fernando.camacho1@huawei.com" TargetMode="External"/><Relationship Id="rId7" Type="http://schemas.openxmlformats.org/officeDocument/2006/relationships/hyperlink" Target="https://projects.tmforum.org/wiki/display/~saeed.mohamed@ericsson.com" TargetMode="External"/><Relationship Id="rId12" Type="http://schemas.openxmlformats.org/officeDocument/2006/relationships/hyperlink" Target="https://projects.tmforum.org/wiki/display/~asser.elnahas@orange.com" TargetMode="External"/><Relationship Id="rId17" Type="http://schemas.openxmlformats.org/officeDocument/2006/relationships/hyperlink" Target="https://projects.tmforum.org/wiki/display/~esa.vesterinen@detecon.com" TargetMode="External"/><Relationship Id="rId2" Type="http://schemas.openxmlformats.org/officeDocument/2006/relationships/hyperlink" Target="https://projects.tmforum.org/wiki/display/~pedro.garciaparra@telefonica.com" TargetMode="External"/><Relationship Id="rId16" Type="http://schemas.openxmlformats.org/officeDocument/2006/relationships/hyperlink" Target="https://projects.tmforum.org/wiki/display/~dinis.diogo@ericsson.com" TargetMode="External"/><Relationship Id="rId20" Type="http://schemas.openxmlformats.org/officeDocument/2006/relationships/printerSettings" Target="../printerSettings/printerSettings5.bin"/><Relationship Id="rId1" Type="http://schemas.openxmlformats.org/officeDocument/2006/relationships/hyperlink" Target="https://projects.tmforum.org/wiki/display/~kevin.mcdonnell@huawei.com" TargetMode="External"/><Relationship Id="rId6" Type="http://schemas.openxmlformats.org/officeDocument/2006/relationships/hyperlink" Target="https://projects.tmforum.org/wiki/display/~tony.salim@ericsson.com" TargetMode="External"/><Relationship Id="rId11" Type="http://schemas.openxmlformats.org/officeDocument/2006/relationships/hyperlink" Target="https://projects.tmforum.org/wiki/display/~david.condon@ericsson.com" TargetMode="External"/><Relationship Id="rId5" Type="http://schemas.openxmlformats.org/officeDocument/2006/relationships/hyperlink" Target="https://projects.tmforum.org/wiki/display/~delia@huawei.com" TargetMode="External"/><Relationship Id="rId15" Type="http://schemas.openxmlformats.org/officeDocument/2006/relationships/hyperlink" Target="https://projects.tmforum.org/wiki/display/~zhilong.yang@huawei.com" TargetMode="External"/><Relationship Id="rId10" Type="http://schemas.openxmlformats.org/officeDocument/2006/relationships/hyperlink" Target="https://projects.tmforum.org/wiki/display/~jorgen.holmstrom@ericsson.com" TargetMode="External"/><Relationship Id="rId19" Type="http://schemas.openxmlformats.org/officeDocument/2006/relationships/hyperlink" Target="https://projects.tmforum.org/wiki/display/~wuyunhe%40huawei.com" TargetMode="External"/><Relationship Id="rId4" Type="http://schemas.openxmlformats.org/officeDocument/2006/relationships/hyperlink" Target="https://projects.tmforum.org/wiki/display/~goh.khiang.chew@huawei.com" TargetMode="External"/><Relationship Id="rId9" Type="http://schemas.openxmlformats.org/officeDocument/2006/relationships/hyperlink" Target="https://projects.tmforum.org/wiki/display/~menno.groen@kpn.com" TargetMode="External"/><Relationship Id="rId14" Type="http://schemas.openxmlformats.org/officeDocument/2006/relationships/hyperlink" Target="https://projects.tmforum.org/wiki/display/~xuruiyue@huawei.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8766A-9973-4064-A14A-F9B9740D53AF}">
  <dimension ref="A1:Z1006"/>
  <sheetViews>
    <sheetView tabSelected="1" topLeftCell="A13" workbookViewId="0">
      <selection activeCell="A30" sqref="A30"/>
    </sheetView>
  </sheetViews>
  <sheetFormatPr defaultColWidth="14.7265625" defaultRowHeight="15" customHeight="1"/>
  <cols>
    <col min="1" max="1" width="66" style="73" customWidth="1"/>
    <col min="2" max="2" width="54.26953125" style="73" customWidth="1"/>
    <col min="3" max="26" width="9.08984375" style="73" customWidth="1"/>
    <col min="27" max="16384" width="14.7265625" style="73"/>
  </cols>
  <sheetData>
    <row r="1" spans="1:26" ht="12.75" customHeight="1">
      <c r="A1" s="72"/>
      <c r="B1" s="72"/>
      <c r="C1" s="72"/>
      <c r="D1" s="72"/>
      <c r="E1" s="72"/>
      <c r="F1" s="72"/>
      <c r="G1" s="72"/>
      <c r="H1" s="72"/>
      <c r="I1" s="72"/>
      <c r="J1" s="72"/>
      <c r="K1" s="72"/>
      <c r="L1" s="72"/>
      <c r="M1" s="72"/>
      <c r="N1" s="72"/>
      <c r="O1" s="72"/>
      <c r="P1" s="72"/>
      <c r="Q1" s="72"/>
      <c r="R1" s="72"/>
      <c r="S1" s="72"/>
      <c r="T1" s="72"/>
      <c r="U1" s="72"/>
      <c r="V1" s="72"/>
      <c r="W1" s="72"/>
      <c r="X1" s="72"/>
      <c r="Y1" s="72"/>
      <c r="Z1" s="72"/>
    </row>
    <row r="2" spans="1:26" ht="12.75" customHeight="1">
      <c r="A2" s="72"/>
      <c r="B2" s="72"/>
      <c r="C2" s="72"/>
      <c r="D2" s="72"/>
      <c r="E2" s="72"/>
      <c r="F2" s="72"/>
      <c r="G2" s="72"/>
      <c r="H2" s="72"/>
      <c r="I2" s="72"/>
      <c r="J2" s="72"/>
      <c r="K2" s="72"/>
      <c r="L2" s="72"/>
      <c r="M2" s="72"/>
      <c r="N2" s="72"/>
      <c r="O2" s="72"/>
      <c r="P2" s="72"/>
      <c r="Q2" s="72"/>
      <c r="R2" s="72"/>
      <c r="S2" s="72"/>
      <c r="T2" s="72"/>
      <c r="U2" s="72"/>
      <c r="V2" s="72"/>
      <c r="W2" s="72"/>
      <c r="X2" s="72"/>
      <c r="Y2" s="72"/>
      <c r="Z2" s="72"/>
    </row>
    <row r="3" spans="1:26" ht="12.75" customHeight="1">
      <c r="A3" s="72"/>
      <c r="B3" s="72"/>
      <c r="C3" s="72"/>
      <c r="D3" s="72"/>
      <c r="E3" s="72"/>
      <c r="F3" s="72"/>
      <c r="G3" s="72"/>
      <c r="H3" s="72"/>
      <c r="I3" s="72"/>
      <c r="J3" s="72"/>
      <c r="K3" s="72"/>
      <c r="L3" s="72"/>
      <c r="M3" s="72"/>
      <c r="N3" s="72"/>
      <c r="O3" s="72"/>
      <c r="P3" s="72"/>
      <c r="Q3" s="72"/>
      <c r="R3" s="72"/>
      <c r="S3" s="72"/>
      <c r="T3" s="72"/>
      <c r="U3" s="72"/>
      <c r="V3" s="72"/>
      <c r="W3" s="72"/>
      <c r="X3" s="72"/>
      <c r="Y3" s="72"/>
      <c r="Z3" s="72"/>
    </row>
    <row r="4" spans="1:26" ht="13">
      <c r="B4" s="72"/>
      <c r="C4" s="72"/>
      <c r="D4" s="72"/>
      <c r="E4" s="72"/>
      <c r="F4" s="72"/>
      <c r="G4" s="72"/>
      <c r="H4" s="72"/>
      <c r="I4" s="72"/>
      <c r="J4" s="72"/>
      <c r="K4" s="72"/>
      <c r="L4" s="72"/>
      <c r="M4" s="72"/>
      <c r="N4" s="72"/>
      <c r="O4" s="72"/>
      <c r="P4" s="72"/>
      <c r="Q4" s="72"/>
      <c r="R4" s="72"/>
      <c r="S4" s="72"/>
      <c r="T4" s="72"/>
      <c r="U4" s="72"/>
      <c r="V4" s="72"/>
      <c r="W4" s="72"/>
      <c r="X4" s="72"/>
      <c r="Y4" s="72"/>
      <c r="Z4" s="72"/>
    </row>
    <row r="5" spans="1:26" ht="12" customHeight="1">
      <c r="A5" s="74"/>
      <c r="B5" s="72"/>
      <c r="C5" s="72"/>
      <c r="D5" s="72"/>
      <c r="E5" s="72"/>
      <c r="F5" s="72"/>
      <c r="G5" s="72"/>
      <c r="H5" s="72"/>
      <c r="I5" s="72"/>
      <c r="J5" s="72"/>
      <c r="K5" s="72"/>
      <c r="L5" s="72"/>
      <c r="M5" s="72"/>
      <c r="N5" s="72"/>
      <c r="O5" s="72"/>
      <c r="P5" s="72"/>
      <c r="Q5" s="72"/>
      <c r="R5" s="72"/>
      <c r="S5" s="72"/>
      <c r="T5" s="72"/>
      <c r="U5" s="72"/>
      <c r="V5" s="72"/>
      <c r="W5" s="72"/>
      <c r="X5" s="72"/>
      <c r="Y5" s="72"/>
      <c r="Z5" s="72"/>
    </row>
    <row r="6" spans="1:26" ht="15.75" customHeight="1">
      <c r="A6" s="74"/>
      <c r="B6" s="72"/>
      <c r="C6" s="72"/>
      <c r="D6" s="72"/>
      <c r="E6" s="72"/>
      <c r="F6" s="72"/>
      <c r="G6" s="72"/>
      <c r="H6" s="72"/>
      <c r="I6" s="72"/>
      <c r="J6" s="72"/>
      <c r="K6" s="72"/>
      <c r="L6" s="72"/>
      <c r="M6" s="72"/>
      <c r="N6" s="72"/>
      <c r="O6" s="72"/>
      <c r="P6" s="72"/>
      <c r="Q6" s="72"/>
      <c r="R6" s="72"/>
      <c r="S6" s="72"/>
      <c r="T6" s="72"/>
      <c r="U6" s="72"/>
      <c r="V6" s="72"/>
      <c r="W6" s="72"/>
      <c r="X6" s="72"/>
      <c r="Y6" s="72"/>
      <c r="Z6" s="72"/>
    </row>
    <row r="7" spans="1:26" ht="63" customHeight="1">
      <c r="A7" s="159" t="s">
        <v>32</v>
      </c>
      <c r="B7" s="159"/>
      <c r="C7" s="72"/>
      <c r="D7" s="72"/>
      <c r="E7" s="72"/>
      <c r="F7" s="72"/>
      <c r="G7" s="72"/>
      <c r="H7" s="72"/>
      <c r="I7" s="72"/>
      <c r="J7" s="72"/>
      <c r="K7" s="72"/>
      <c r="L7" s="72"/>
      <c r="M7" s="72"/>
      <c r="N7" s="72"/>
      <c r="O7" s="72"/>
      <c r="P7" s="72"/>
      <c r="Q7" s="72"/>
      <c r="R7" s="72"/>
      <c r="S7" s="72"/>
      <c r="T7" s="72"/>
      <c r="U7" s="72"/>
      <c r="V7" s="72"/>
      <c r="W7" s="72"/>
      <c r="X7" s="72"/>
      <c r="Y7" s="72"/>
      <c r="Z7" s="72"/>
    </row>
    <row r="8" spans="1:26" ht="80.5" customHeight="1">
      <c r="A8" s="160" t="s">
        <v>92</v>
      </c>
      <c r="B8" s="160"/>
      <c r="C8" s="72"/>
      <c r="D8" s="72"/>
      <c r="E8" s="72"/>
      <c r="F8" s="72"/>
      <c r="G8" s="72"/>
      <c r="H8" s="72"/>
      <c r="I8" s="72"/>
      <c r="J8" s="72"/>
      <c r="K8" s="72"/>
      <c r="L8" s="72"/>
      <c r="M8" s="72"/>
      <c r="N8" s="72"/>
      <c r="O8" s="72"/>
      <c r="P8" s="72"/>
      <c r="Q8" s="72"/>
      <c r="R8" s="72"/>
      <c r="S8" s="72"/>
      <c r="T8" s="72"/>
      <c r="U8" s="72"/>
      <c r="V8" s="72"/>
      <c r="W8" s="72"/>
      <c r="X8" s="72"/>
      <c r="Y8" s="72"/>
      <c r="Z8" s="72"/>
    </row>
    <row r="9" spans="1:26" ht="12.75" customHeight="1">
      <c r="A9" s="75"/>
      <c r="B9" s="72"/>
      <c r="C9" s="72"/>
      <c r="D9" s="72"/>
      <c r="E9" s="72"/>
      <c r="F9" s="72"/>
      <c r="G9" s="72"/>
      <c r="H9" s="72"/>
      <c r="I9" s="72"/>
      <c r="J9" s="72"/>
      <c r="K9" s="72"/>
      <c r="L9" s="72"/>
      <c r="M9" s="72"/>
      <c r="N9" s="72"/>
      <c r="O9" s="72"/>
      <c r="P9" s="72"/>
      <c r="Q9" s="72"/>
      <c r="R9" s="72"/>
      <c r="S9" s="72"/>
      <c r="T9" s="72"/>
      <c r="U9" s="72"/>
      <c r="V9" s="72"/>
      <c r="W9" s="72"/>
      <c r="X9" s="72"/>
      <c r="Y9" s="72"/>
      <c r="Z9" s="72"/>
    </row>
    <row r="10" spans="1:26" ht="12.75" customHeight="1">
      <c r="A10" s="75"/>
      <c r="B10" s="72"/>
      <c r="C10" s="72"/>
      <c r="D10" s="72"/>
      <c r="E10" s="72"/>
      <c r="F10" s="72"/>
      <c r="G10" s="72"/>
      <c r="H10" s="72"/>
      <c r="I10" s="72"/>
      <c r="J10" s="72"/>
      <c r="K10" s="72"/>
      <c r="L10" s="72"/>
      <c r="M10" s="72"/>
      <c r="N10" s="72"/>
      <c r="O10" s="72"/>
      <c r="P10" s="72"/>
      <c r="Q10" s="72"/>
      <c r="R10" s="72"/>
      <c r="S10" s="72"/>
      <c r="T10" s="72"/>
      <c r="U10" s="72"/>
      <c r="V10" s="72"/>
      <c r="W10" s="72"/>
      <c r="X10" s="72"/>
      <c r="Y10" s="72"/>
      <c r="Z10" s="72"/>
    </row>
    <row r="11" spans="1:26" ht="12.75" customHeight="1">
      <c r="A11" s="75"/>
      <c r="B11" s="72"/>
      <c r="C11" s="72"/>
      <c r="D11" s="72"/>
      <c r="E11" s="72"/>
      <c r="F11" s="72"/>
      <c r="G11" s="72"/>
      <c r="H11" s="72"/>
      <c r="I11" s="72"/>
      <c r="J11" s="72"/>
      <c r="K11" s="72"/>
      <c r="L11" s="72"/>
      <c r="M11" s="72"/>
      <c r="N11" s="72"/>
      <c r="O11" s="72"/>
      <c r="P11" s="72"/>
      <c r="Q11" s="72"/>
      <c r="R11" s="72"/>
      <c r="S11" s="72"/>
      <c r="T11" s="72"/>
      <c r="U11" s="72"/>
      <c r="V11" s="72"/>
      <c r="W11" s="72"/>
      <c r="X11" s="72"/>
      <c r="Y11" s="72"/>
      <c r="Z11" s="72"/>
    </row>
    <row r="12" spans="1:26" ht="12.75" customHeight="1">
      <c r="A12" s="75"/>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26" ht="12.75" customHeight="1">
      <c r="A13" s="75"/>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spans="1:26" ht="12.75" customHeight="1">
      <c r="A14" s="75"/>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spans="1:26" ht="12.75" customHeight="1">
      <c r="A15" s="75"/>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spans="1:26" ht="12.75" customHeight="1">
      <c r="A16" s="75"/>
      <c r="B16" s="72"/>
      <c r="C16" s="72"/>
      <c r="D16" s="72"/>
      <c r="E16" s="72"/>
      <c r="F16" s="72"/>
      <c r="G16" s="72"/>
      <c r="H16" s="72"/>
      <c r="I16" s="72"/>
      <c r="J16" s="72"/>
      <c r="K16" s="72"/>
      <c r="L16" s="72"/>
      <c r="M16" s="72"/>
      <c r="N16" s="72"/>
      <c r="O16" s="72"/>
      <c r="P16" s="72"/>
      <c r="Q16" s="72"/>
      <c r="R16" s="72"/>
      <c r="S16" s="72"/>
      <c r="T16" s="72"/>
      <c r="U16" s="72"/>
      <c r="V16" s="72"/>
      <c r="W16" s="72"/>
      <c r="X16" s="72"/>
      <c r="Y16" s="72"/>
      <c r="Z16" s="72"/>
    </row>
    <row r="17" spans="1:26" ht="12.75" customHeight="1">
      <c r="A17" s="75"/>
      <c r="B17" s="72"/>
      <c r="C17" s="72"/>
      <c r="D17" s="72"/>
      <c r="E17" s="72"/>
      <c r="F17" s="72"/>
      <c r="G17" s="72"/>
      <c r="H17" s="72"/>
      <c r="I17" s="72"/>
      <c r="J17" s="72"/>
      <c r="K17" s="72"/>
      <c r="L17" s="72"/>
      <c r="M17" s="72"/>
      <c r="N17" s="72"/>
      <c r="O17" s="72"/>
      <c r="P17" s="72"/>
      <c r="Q17" s="72"/>
      <c r="R17" s="72"/>
      <c r="S17" s="72"/>
      <c r="T17" s="72"/>
      <c r="U17" s="72"/>
      <c r="V17" s="72"/>
      <c r="W17" s="72"/>
      <c r="X17" s="72"/>
      <c r="Y17" s="72"/>
      <c r="Z17" s="72"/>
    </row>
    <row r="18" spans="1:26" ht="12.75" customHeight="1">
      <c r="A18" s="75"/>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spans="1:26" ht="12.75" customHeight="1">
      <c r="A19" s="75"/>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spans="1:26" ht="12.75" customHeight="1">
      <c r="A20" s="75"/>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spans="1:26" ht="14.25" customHeight="1">
      <c r="A21" s="75"/>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spans="1:26" ht="12" customHeight="1">
      <c r="A22" s="75"/>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spans="1:26" ht="23.5">
      <c r="A23" s="76" t="s">
        <v>113</v>
      </c>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spans="1:26" ht="11.25" customHeight="1">
      <c r="A24" s="75"/>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spans="1:26" ht="18.5">
      <c r="A25" s="77" t="s">
        <v>147</v>
      </c>
      <c r="B25" s="78" t="s">
        <v>224</v>
      </c>
      <c r="C25" s="72"/>
      <c r="D25" s="72"/>
      <c r="E25" s="72"/>
      <c r="F25" s="72"/>
      <c r="G25" s="72"/>
      <c r="H25" s="72"/>
      <c r="I25" s="72"/>
      <c r="J25" s="72"/>
      <c r="K25" s="72"/>
      <c r="L25" s="72"/>
      <c r="M25" s="72"/>
      <c r="N25" s="72"/>
      <c r="O25" s="72"/>
      <c r="P25" s="72"/>
      <c r="Q25" s="72"/>
      <c r="R25" s="72"/>
      <c r="S25" s="72"/>
      <c r="T25" s="72"/>
      <c r="U25" s="72"/>
      <c r="V25" s="72"/>
      <c r="W25" s="72"/>
      <c r="X25" s="72"/>
      <c r="Y25" s="72"/>
      <c r="Z25" s="72"/>
    </row>
    <row r="26" spans="1:26" ht="18.5">
      <c r="A26" s="77" t="s">
        <v>142</v>
      </c>
      <c r="B26" s="78" t="s">
        <v>64</v>
      </c>
      <c r="C26" s="72"/>
      <c r="D26" s="72"/>
      <c r="E26" s="72"/>
      <c r="F26" s="72"/>
      <c r="G26" s="72"/>
      <c r="H26" s="72"/>
      <c r="I26" s="72"/>
      <c r="J26" s="72"/>
      <c r="K26" s="72"/>
      <c r="L26" s="72"/>
      <c r="M26" s="72"/>
      <c r="N26" s="72"/>
      <c r="O26" s="72"/>
      <c r="P26" s="72"/>
      <c r="Q26" s="72"/>
      <c r="R26" s="72"/>
      <c r="S26" s="72"/>
      <c r="T26" s="72"/>
      <c r="U26" s="72"/>
      <c r="V26" s="72"/>
      <c r="W26" s="72"/>
      <c r="X26" s="72"/>
      <c r="Y26" s="72"/>
      <c r="Z26" s="72"/>
    </row>
    <row r="27" spans="1:26" ht="18.5">
      <c r="A27" s="77" t="s">
        <v>221</v>
      </c>
      <c r="B27" s="78" t="s">
        <v>65</v>
      </c>
      <c r="C27" s="72"/>
      <c r="D27" s="72"/>
      <c r="E27" s="72"/>
      <c r="F27" s="72"/>
      <c r="G27" s="72"/>
      <c r="H27" s="72"/>
      <c r="I27" s="72"/>
      <c r="J27" s="72"/>
      <c r="K27" s="72"/>
      <c r="L27" s="72"/>
      <c r="M27" s="72"/>
      <c r="N27" s="72"/>
      <c r="O27" s="72"/>
      <c r="P27" s="72"/>
      <c r="Q27" s="72"/>
      <c r="R27" s="72"/>
      <c r="S27" s="72"/>
      <c r="T27" s="72"/>
      <c r="U27" s="72"/>
      <c r="V27" s="72"/>
      <c r="W27" s="72"/>
      <c r="X27" s="72"/>
      <c r="Y27" s="72"/>
      <c r="Z27" s="72"/>
    </row>
    <row r="28" spans="1:26" ht="13">
      <c r="A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spans="1:26" ht="15" customHeight="1">
      <c r="A29" s="79" t="s">
        <v>140</v>
      </c>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spans="1:26" ht="12.75" customHeight="1">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spans="1:26" ht="12.75" customHeight="1">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spans="1:26" ht="12.75" customHeight="1">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spans="1:26" ht="12.75" customHeight="1">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spans="1:26" ht="12.75" customHeight="1">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spans="1:26" ht="12.75" customHeight="1">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spans="1:26" ht="12.75" customHeight="1">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2.75" customHeight="1">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2.75" customHeight="1">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spans="1:26" ht="12.75" customHeight="1">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spans="1:26" ht="12.75" customHeight="1">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spans="1:26" ht="12.75" customHeight="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spans="1:26" ht="12.75" customHeight="1">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spans="1:26" ht="12.75" customHeight="1">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spans="1:26" ht="12.75" customHeight="1">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spans="1:26" ht="12.75" customHeight="1">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spans="1:26" ht="12.75" customHeight="1">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spans="1:26" ht="12.75" customHeight="1">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2.75" customHeight="1">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spans="1:26" ht="12.75" customHeight="1">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2.75" customHeight="1">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2.75" customHeight="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2.75" customHeight="1">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2.75" customHeight="1">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2.75"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2.75"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2.75"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2.75" customHeight="1">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2.75" customHeight="1">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2.75" customHeight="1">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2.75" customHeight="1">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2.75" customHeight="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2.75" customHeight="1">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2.75" customHeight="1">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2.75" customHeight="1">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2.75" customHeight="1">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2.75"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2.75"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2.75" customHeight="1">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2.75" customHeight="1">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2.75" customHeight="1">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2.75" customHeight="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2.75" customHeight="1">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2.75" customHeight="1">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2.75" customHeight="1">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2.75" customHeight="1">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2.75" customHeight="1">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2.75" customHeight="1">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2.75" customHeight="1">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2.75" customHeight="1">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2.75" customHeight="1">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2.75" customHeight="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2.75" customHeight="1">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2.75" customHeight="1">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2.75" customHeight="1">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2.75" customHeight="1">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2.75" customHeight="1">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2.75" customHeight="1">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2.75" customHeight="1">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2.75" customHeight="1">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2.75" customHeight="1">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2.75" customHeight="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2.75" customHeight="1">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2.75" customHeight="1">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2.75" customHeight="1">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2.75" customHeight="1">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2.75" customHeight="1">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2.75" customHeight="1">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2.75" customHeight="1">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2.75" customHeight="1">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2.75" customHeight="1">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2.75" customHeight="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2.75" customHeight="1">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2.75" customHeight="1">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2.75" customHeight="1">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2.75" customHeight="1">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2.75" customHeight="1">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2.75" customHeight="1">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2.75" customHeight="1">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2.75" customHeight="1">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2.75" customHeight="1">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2.75" customHeight="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2.75" customHeight="1">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2.75" customHeight="1">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2.75" customHeight="1">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2.75" customHeight="1">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2.75" customHeight="1">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2.75" customHeight="1">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2.75" customHeight="1">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2.75" customHeight="1">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2.75" customHeight="1">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2.75" customHeight="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2.75" customHeight="1">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2.75" customHeight="1">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2.75" customHeight="1">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2.75" customHeight="1">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2.75" customHeight="1">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2.75" customHeight="1">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2.75" customHeight="1">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2.75" customHeight="1">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2.75" customHeight="1">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2.75" customHeight="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2.75" customHeight="1">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2.75" customHeight="1">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2.75" customHeight="1">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2.75" customHeight="1">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2.75" customHeight="1">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2.75" customHeight="1">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2.75" customHeight="1">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2.75" customHeight="1">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2.75" customHeight="1">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2.75" customHeight="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2.75" customHeight="1">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2.75" customHeight="1">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2.75" customHeight="1">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2.75" customHeight="1">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2.75" customHeight="1">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2.75" customHeight="1">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2.75" customHeight="1">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2.75" customHeight="1">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2.75" customHeight="1">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2.75" customHeight="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2.75" customHeight="1">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2.75" customHeight="1">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2.75" customHeight="1">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2.75" customHeight="1">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2.75" customHeight="1">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2.75" customHeight="1">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2.75" customHeight="1">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2.75" customHeight="1">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2.75" customHeight="1">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2.75" customHeight="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2.75" customHeight="1">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2.75" customHeight="1">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2.75" customHeight="1">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2.75" customHeight="1">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2.75" customHeight="1">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2.75" customHeight="1">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2.75" customHeight="1">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2.75" customHeight="1">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2.75" customHeight="1">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2.75" customHeight="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2.75" customHeight="1">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2.75" customHeight="1">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2.75" customHeight="1">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2.75" customHeight="1">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2.75" customHeight="1">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2.75" customHeight="1">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2.75" customHeight="1">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2.75" customHeight="1">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2.75" customHeight="1">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2.75" customHeight="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2.75" customHeight="1">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2.75" customHeight="1">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2.75" customHeight="1">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2.75" customHeight="1">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2.75" customHeight="1">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2.75" customHeight="1">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2.75" customHeight="1">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2.75" customHeight="1">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2.75" customHeight="1">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2.75" customHeight="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2.75" customHeight="1">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2.75" customHeight="1">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2.75" customHeight="1">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2.75" customHeight="1">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2.75" customHeight="1">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2.75" customHeight="1">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2.75" customHeight="1">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2.75" customHeight="1">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2.75" customHeight="1">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2.75" customHeight="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2.75" customHeight="1">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2.75" customHeight="1">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2.75" customHeight="1">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2.75" customHeight="1">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2.75" customHeight="1">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2.75" customHeight="1">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2.75" customHeight="1">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2.75" customHeight="1">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2.75" customHeight="1">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2.75" customHeight="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2.75" customHeight="1">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2.75" customHeight="1">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2.75" customHeight="1">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2.75" customHeight="1">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2.75" customHeight="1">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2.75" customHeight="1">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2.75" customHeight="1">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2.75" customHeight="1">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2.75"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2.75" customHeight="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2.75" customHeight="1">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2.75" customHeight="1">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2.75" customHeight="1">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2.75" customHeight="1">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2.75" customHeight="1">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2.75" customHeight="1">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2.75" customHeight="1">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2.75" customHeight="1">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2.75" customHeight="1">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2.75" customHeight="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2.75" customHeight="1">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2.75" customHeight="1">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2.75" customHeight="1">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2.75" customHeight="1">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2.75" customHeight="1">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2.75" customHeight="1">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2.75" customHeight="1">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2.75" customHeight="1">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2.75" customHeight="1">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2.75" customHeight="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2.75" customHeight="1">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2.75" customHeight="1">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2.75" customHeight="1">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2.75" customHeight="1">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2.75" customHeight="1">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2.75" customHeight="1">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2.75" customHeight="1">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2.75" customHeight="1">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2.75" customHeight="1">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2.75" customHeight="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2.75" customHeight="1">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2.75" customHeight="1">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2.75" customHeight="1">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2.75" customHeight="1">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2.75" customHeight="1">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2.75" customHeight="1">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2.75" customHeight="1">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2.75" customHeight="1">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2.75" customHeight="1">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2.75" customHeight="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2.75" customHeight="1">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2.75" customHeight="1">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2.75" customHeight="1">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2.75" customHeight="1">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2.75" customHeight="1">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2.75" customHeight="1">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2.75" customHeight="1">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2.75" customHeight="1">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2.75" customHeight="1">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2.75" customHeight="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2.75" customHeight="1">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2.75" customHeight="1">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2.75" customHeight="1">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2.75" customHeight="1">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2.75" customHeight="1">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2.75" customHeight="1">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2.75" customHeight="1">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2.75" customHeight="1">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2.75" customHeight="1">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2.75" customHeight="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2.75" customHeight="1">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2.75" customHeight="1">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2.75" customHeight="1">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2.75" customHeight="1">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2.75" customHeight="1">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2.75" customHeight="1">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2.75" customHeight="1">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2.75" customHeight="1">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2.75" customHeight="1">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2.75" customHeight="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2.75" customHeight="1">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2.75" customHeight="1">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2.75" customHeight="1">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2.75" customHeight="1">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2.75" customHeight="1">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2.75" customHeight="1">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2.75" customHeight="1">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2.75" customHeight="1">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2.75" customHeight="1">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2.75" customHeight="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2.75" customHeight="1">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2.75" customHeight="1">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2.75" customHeight="1">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2.75" customHeight="1">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2.75" customHeight="1">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2.75" customHeight="1">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2.75" customHeight="1">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2.75" customHeight="1">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2.75" customHeight="1">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2.75" customHeight="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2.75" customHeight="1">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2.75" customHeight="1">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2.75" customHeight="1">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2.75" customHeight="1">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2.75" customHeight="1">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2.75" customHeight="1">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2.75" customHeight="1">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2.75" customHeight="1">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2.75" customHeight="1">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2.75" customHeight="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2.75" customHeight="1">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2.75" customHeight="1">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2.75" customHeight="1">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2.75" customHeight="1">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2.75" customHeight="1">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2.75" customHeight="1">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2.75" customHeight="1">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2.75" customHeight="1">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2.75" customHeight="1">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2.75" customHeight="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2.75" customHeight="1">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2.75" customHeight="1">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2.75" customHeight="1">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2.75" customHeight="1">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2.75" customHeight="1">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2.75" customHeight="1">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2.75" customHeight="1">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2.75" customHeight="1">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2.75" customHeight="1">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2.75" customHeight="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2.75" customHeight="1">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2.75" customHeight="1">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2.75" customHeight="1">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2.75" customHeight="1">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2.75" customHeight="1">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2.75" customHeight="1">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2.75" customHeight="1">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2.75" customHeight="1">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2.75" customHeight="1">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2.75" customHeight="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2.75" customHeight="1">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2.75" customHeight="1">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2.75" customHeight="1">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2.75" customHeight="1">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2.75" customHeight="1">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2.75" customHeight="1">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2.75" customHeight="1">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2.75" customHeight="1">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2.75" customHeight="1">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2.75" customHeight="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2.75" customHeight="1">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2.75" customHeight="1">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2.75" customHeight="1">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2.75" customHeight="1">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2.75" customHeight="1">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2.75" customHeight="1">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2.75" customHeight="1">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2.75" customHeight="1">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2.75" customHeight="1">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2.75" customHeight="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2.75" customHeight="1">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2.75" customHeight="1">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2.75" customHeight="1">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2.75" customHeight="1">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2.75" customHeight="1">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2.75" customHeight="1">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2.75" customHeight="1">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2.75" customHeight="1">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2.75" customHeight="1">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2.75" customHeight="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2.75" customHeight="1">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2.75" customHeight="1">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2.75" customHeight="1">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2.75" customHeight="1">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2.75" customHeight="1">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2.75" customHeight="1">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2.75" customHeight="1">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2.75" customHeight="1">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2.75" customHeight="1">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2.75" customHeight="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2.75" customHeight="1">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2.75" customHeight="1">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2.75" customHeight="1">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2.75" customHeight="1">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2.75" customHeight="1">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2.75" customHeight="1">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2.75" customHeight="1">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2.75" customHeight="1">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2.75" customHeight="1">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2.75" customHeight="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2.75" customHeight="1">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2.75" customHeight="1">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2.75" customHeight="1">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2.75" customHeight="1">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2.75" customHeight="1">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2.75" customHeight="1">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2.75" customHeight="1">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2.75" customHeight="1">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2.75" customHeight="1">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2.75" customHeight="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2.75" customHeight="1">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2.75" customHeight="1">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2.75" customHeight="1">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2.75" customHeight="1">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2.75" customHeight="1">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2.75" customHeight="1">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2.75" customHeight="1">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2.75" customHeight="1">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2.75" customHeight="1">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2.75" customHeight="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2.75" customHeight="1">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2.75" customHeight="1">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2.75" customHeight="1">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2.75" customHeight="1">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2.75" customHeight="1">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2.75" customHeight="1">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2.75" customHeight="1">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2.75" customHeight="1">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2.75" customHeight="1">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2.75" customHeight="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2.75" customHeight="1">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2.75" customHeight="1">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2.75" customHeight="1">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2.75" customHeight="1">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2.75" customHeight="1">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2.75" customHeight="1">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2.75" customHeight="1">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2.75" customHeight="1">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2.75" customHeight="1">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2.75" customHeight="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2.75" customHeight="1">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2.75" customHeight="1">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2.75" customHeight="1">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2.75" customHeight="1">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2.75" customHeight="1">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2.75" customHeight="1">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2.75" customHeight="1">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2.75" customHeight="1">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2.75" customHeight="1">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2.75" customHeight="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2.75" customHeight="1">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2.75" customHeight="1">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2.75" customHeight="1">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2.75" customHeight="1">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2.75" customHeight="1">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2.75" customHeight="1">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2.75" customHeight="1">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2.75" customHeight="1">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2.75" customHeight="1">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2.75" customHeight="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2.75" customHeight="1">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2.75" customHeight="1">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2.75" customHeight="1">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2.75" customHeight="1">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2.75" customHeight="1">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2.75" customHeight="1">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2.75" customHeight="1">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2.75" customHeight="1">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2.75" customHeight="1">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2.75" customHeight="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2.75" customHeight="1">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2.75" customHeight="1">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2.75" customHeight="1">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2.75" customHeight="1">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2.75" customHeight="1">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2.75" customHeight="1">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2.75" customHeight="1">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2.75" customHeight="1">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2.75" customHeight="1">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2.75" customHeight="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2.75" customHeight="1">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2.75" customHeight="1">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2.75" customHeight="1">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2.75" customHeight="1">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2.75" customHeight="1">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2.75" customHeight="1">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2.75" customHeight="1">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2.75" customHeight="1">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2.75" customHeight="1">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2.75" customHeight="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2.75" customHeight="1">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2.75" customHeight="1">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2.75" customHeight="1">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2.75" customHeight="1">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2.75" customHeight="1">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2.75" customHeight="1">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2.75" customHeight="1">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2.75" customHeight="1">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2.75" customHeight="1">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2.75" customHeight="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2.75" customHeight="1">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2.75" customHeight="1">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2.75" customHeight="1">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2.75" customHeight="1">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2.75" customHeight="1">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2.75" customHeight="1">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2.75" customHeight="1">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2.75" customHeight="1">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2.75" customHeight="1">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2.75" customHeight="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2.75" customHeight="1">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2.75" customHeight="1">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2.75" customHeight="1">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2.75" customHeight="1">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2.75" customHeight="1">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2.75" customHeight="1">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2.75" customHeight="1">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2.75" customHeight="1">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2.75" customHeight="1">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2.75" customHeight="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2.75" customHeight="1">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2.75" customHeight="1">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2.75" customHeight="1">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2.75" customHeight="1">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2.75" customHeight="1">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2.75" customHeight="1">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2.75" customHeight="1">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2.75" customHeight="1">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2.75" customHeight="1">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2.75" customHeight="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2.75" customHeight="1">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2.75" customHeight="1">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2.75" customHeight="1">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2.75" customHeight="1">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2.75" customHeight="1">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2.75" customHeight="1">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2.75" customHeight="1">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2.75" customHeight="1">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2.75" customHeight="1">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2.75" customHeight="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2.75" customHeight="1">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2.75" customHeight="1">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2.75" customHeight="1">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2.75" customHeight="1">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2.75" customHeight="1">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2.75" customHeight="1">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2.75" customHeight="1">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2.75" customHeight="1">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2.75" customHeight="1">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2.75" customHeight="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2.75" customHeight="1">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2.75" customHeight="1">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2.75" customHeight="1">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2.75" customHeight="1">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2.75" customHeight="1">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2.75" customHeight="1">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2.75" customHeight="1">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2.75" customHeight="1">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2.75" customHeight="1">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2.75" customHeight="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2.75" customHeight="1">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2.75" customHeight="1">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2.75" customHeight="1">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2.75" customHeight="1">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2.75" customHeight="1">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2.75" customHeight="1">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2.75" customHeight="1">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2.75" customHeight="1">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2.75" customHeight="1">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2.75" customHeight="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2.75" customHeight="1">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2.75" customHeight="1">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2.75" customHeight="1">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2.75" customHeight="1">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2.75" customHeight="1">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2.75" customHeight="1">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2.75" customHeight="1">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2.75" customHeight="1">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2.75" customHeight="1">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2.75" customHeight="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2.75" customHeight="1">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2.75" customHeight="1">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2.75" customHeight="1">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2.75" customHeight="1">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2.75" customHeight="1">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2.75" customHeight="1">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2.75" customHeight="1">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2.75" customHeight="1">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2.75" customHeight="1">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2.75" customHeight="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2.75" customHeight="1">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2.75" customHeight="1">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2.75" customHeight="1">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2.75" customHeight="1">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2.75" customHeight="1">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2.75" customHeight="1">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2.75" customHeight="1">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2.75" customHeight="1">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2.75" customHeight="1">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2.75" customHeight="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2.75" customHeight="1">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2.75" customHeight="1">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2.75" customHeight="1">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2.75" customHeight="1">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2.75" customHeight="1">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2.75" customHeight="1">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2.75" customHeight="1">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2.75" customHeight="1">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2.75" customHeight="1">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2.75" customHeight="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2.75" customHeight="1">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2.75" customHeight="1">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2.75" customHeight="1">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2.75" customHeight="1">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2.75" customHeight="1">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2.75" customHeight="1">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2.75" customHeight="1">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2.75" customHeight="1">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2.75" customHeight="1">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2.75" customHeight="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2.75" customHeight="1">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2.75" customHeight="1">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2.75" customHeight="1">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2.75" customHeight="1">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2.75" customHeight="1">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2.75" customHeight="1">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2.75" customHeight="1">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2.75" customHeight="1">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2.75" customHeight="1">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2.75" customHeight="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2.75" customHeight="1">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2.75" customHeight="1">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2.75" customHeight="1">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2.75" customHeight="1">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2.75" customHeight="1">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2.75" customHeight="1">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2.75" customHeight="1">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2.75" customHeight="1">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2.75" customHeight="1">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2.75" customHeight="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2.75" customHeight="1">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2.75" customHeight="1">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2.75" customHeight="1">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2.75" customHeight="1">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2.75" customHeight="1">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2.75" customHeight="1">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2.75" customHeight="1">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2.75" customHeight="1">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2.75" customHeight="1">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2.75" customHeight="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2.75" customHeight="1">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2.75" customHeight="1">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2.75" customHeight="1">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2.75" customHeight="1">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2.75" customHeight="1">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2.75" customHeight="1">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2.75" customHeight="1">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2.75" customHeight="1">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2.75" customHeight="1">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2.75" customHeight="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2.75" customHeight="1">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2.75" customHeight="1">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2.75" customHeight="1">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2.75" customHeight="1">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2.75" customHeight="1">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2.75" customHeight="1">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2.75" customHeight="1">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2.75" customHeight="1">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2.75" customHeight="1">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2.75" customHeight="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2.75" customHeight="1">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2.75" customHeight="1">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2.75" customHeight="1">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2.75" customHeight="1">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2.75" customHeight="1">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2.75" customHeight="1">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2.75" customHeight="1">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2.75" customHeight="1">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2.75" customHeight="1">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2.75" customHeight="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2.75" customHeight="1">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2.75" customHeight="1">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2.75" customHeight="1">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2.75" customHeight="1">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2.75" customHeight="1">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2.75" customHeight="1">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2.75" customHeight="1">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2.75" customHeight="1">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2.75" customHeight="1">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2.75" customHeight="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2.75" customHeight="1">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2.75" customHeight="1">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2.75" customHeight="1">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2.75" customHeight="1">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2.75" customHeight="1">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2.75" customHeight="1">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2.75" customHeight="1">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2.75" customHeight="1">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2.75" customHeight="1">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2.75" customHeight="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2.75" customHeight="1">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2.75" customHeight="1">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2.75" customHeight="1">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2.75" customHeight="1">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2.75" customHeight="1">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2.75" customHeight="1">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2.75" customHeight="1">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2.75" customHeight="1">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2.75" customHeight="1">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2.75" customHeight="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2.75" customHeight="1">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2.75" customHeight="1">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2.75" customHeight="1">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2.75" customHeight="1">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2.75" customHeight="1">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2.75" customHeight="1">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2.75" customHeight="1">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2.75" customHeight="1">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2.75" customHeight="1">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2.75" customHeight="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2.75" customHeight="1">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2.75" customHeight="1">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2.75" customHeight="1">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2.75" customHeight="1">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2.75" customHeight="1">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2.75" customHeight="1">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2.75" customHeight="1">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2.75" customHeight="1">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2.75" customHeight="1">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2.75" customHeight="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2.75" customHeight="1">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2.75" customHeight="1">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2.75" customHeight="1">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2.75" customHeight="1">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2.75" customHeight="1">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2.75" customHeight="1">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2.75" customHeight="1">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2.75" customHeight="1">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2.75" customHeight="1">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2.75" customHeight="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2.75" customHeight="1">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2.75" customHeight="1">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2.75" customHeight="1">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2.75" customHeight="1">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2.75" customHeight="1">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2.75" customHeight="1">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2.75" customHeight="1">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2.75" customHeight="1">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2.75" customHeight="1">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2.75" customHeight="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2.75" customHeight="1">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2.75" customHeight="1">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2.75" customHeight="1">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2.75" customHeight="1">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2.75" customHeight="1">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2.75" customHeight="1">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2.75" customHeight="1">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2.75" customHeight="1">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2.75" customHeight="1">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2.75" customHeight="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2.75" customHeight="1">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2.75" customHeight="1">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2.75" customHeight="1">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2.75" customHeight="1">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2.75" customHeight="1">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2.75" customHeight="1">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2.75" customHeight="1">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2.75" customHeight="1">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2.75" customHeight="1">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2.75" customHeight="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2.75" customHeight="1">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2.75" customHeight="1">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2.75" customHeight="1">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2.75" customHeight="1">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2.75" customHeight="1">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2.75" customHeight="1">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2.75" customHeight="1">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2.75" customHeight="1">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2.75" customHeight="1">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2.75" customHeight="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2.75" customHeight="1">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2.75" customHeight="1">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2.75" customHeight="1">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2.75" customHeight="1">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2.75" customHeight="1">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2.75" customHeight="1">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2.75" customHeight="1">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2.75" customHeight="1">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2.75" customHeight="1">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2.75" customHeight="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2.75" customHeight="1">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2.75" customHeight="1">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2.75" customHeight="1">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2.75" customHeight="1">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2.75" customHeight="1">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2.75" customHeight="1">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2.75" customHeight="1">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2.75" customHeight="1">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2.75" customHeight="1">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2.75" customHeight="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2.75" customHeight="1">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2.75" customHeight="1">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2.75" customHeight="1">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2.75" customHeight="1">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2.75" customHeight="1">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2.75" customHeight="1">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2.75" customHeight="1">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2.75" customHeight="1">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2.75" customHeight="1">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2.75" customHeight="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2.75" customHeight="1">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2.75" customHeight="1">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2.75" customHeight="1">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2.75" customHeight="1">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2.75" customHeight="1">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2.75" customHeight="1">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2.75" customHeight="1">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2.75" customHeight="1">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2.75" customHeight="1">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2.75" customHeight="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2.75" customHeight="1">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2.75" customHeight="1">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2.75" customHeight="1">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2.75" customHeight="1">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2.75" customHeight="1">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2.75" customHeight="1">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2.75" customHeight="1">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2.75" customHeight="1">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2.75" customHeight="1">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2.75" customHeight="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2.75" customHeight="1">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2.75" customHeight="1">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2.75" customHeight="1">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2.75" customHeight="1">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2.75" customHeight="1">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2.75" customHeight="1">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2.75" customHeight="1">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2.75" customHeight="1">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2.75" customHeight="1">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2.75" customHeight="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2.75" customHeight="1">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2.75" customHeight="1">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2.75" customHeight="1">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2.75" customHeight="1">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2.75" customHeight="1">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2.75" customHeight="1">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2.75" customHeight="1">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2.75" customHeight="1">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2.75" customHeight="1">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2.75" customHeight="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2.75" customHeight="1">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2.75" customHeight="1">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2.75" customHeight="1">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2.75" customHeight="1">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2.75" customHeight="1">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2.75" customHeight="1">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2.75" customHeight="1">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2.75" customHeight="1">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2.75" customHeight="1">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2.75" customHeight="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2.75" customHeight="1">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2.75" customHeight="1">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2.75" customHeight="1">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2.75" customHeight="1">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2.75" customHeight="1">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2.75" customHeight="1">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2.75" customHeight="1">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2.75" customHeight="1">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2.75" customHeight="1">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2.75" customHeight="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2.75" customHeight="1">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2.75" customHeight="1">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2.75" customHeight="1">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2.75" customHeight="1">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2.75" customHeight="1">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2.75" customHeight="1">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2.75" customHeight="1">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2.75" customHeight="1">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2.75" customHeight="1">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2.75" customHeight="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2.75" customHeight="1">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2.75" customHeight="1">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2.75" customHeight="1">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2.75" customHeight="1">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2.75" customHeight="1">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2.75" customHeight="1">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2.75" customHeight="1">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2.75" customHeight="1">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2.75" customHeight="1">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2.75" customHeight="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2.75" customHeight="1">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2.75" customHeight="1">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2.75" customHeight="1">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2.75" customHeight="1">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2.75" customHeight="1">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2.75" customHeight="1">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2.75" customHeight="1">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2.75" customHeight="1">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2.75" customHeight="1">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2.75" customHeight="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2.75" customHeight="1">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2.75" customHeight="1">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2.75" customHeight="1">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2.75" customHeight="1">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2.75" customHeight="1">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2.75" customHeight="1">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2.75" customHeight="1">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2.75" customHeight="1">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2.75" customHeight="1">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2.75" customHeight="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2.75" customHeight="1">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2.75" customHeight="1">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2.75" customHeight="1">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2.75" customHeight="1">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2.75" customHeight="1">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2.75" customHeight="1">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2.75" customHeight="1">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2.75" customHeight="1">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2.75" customHeight="1">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2.75" customHeight="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2.75" customHeight="1">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2.75" customHeight="1">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2.75" customHeight="1">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2.75" customHeight="1">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2.75" customHeight="1">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2.75" customHeight="1">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2.75" customHeight="1">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2.75" customHeight="1">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2.75" customHeight="1">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2.75" customHeight="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2.75" customHeight="1">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2.75" customHeight="1">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2.75" customHeight="1">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2.75" customHeight="1">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2.75" customHeight="1">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2.75" customHeight="1">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2.75" customHeight="1">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2.75" customHeight="1">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2.75" customHeight="1">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2.75" customHeight="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2.75" customHeight="1">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2.75" customHeight="1">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2.75" customHeight="1">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2.75" customHeight="1">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2.75" customHeight="1">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2.75" customHeight="1">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2.75" customHeight="1">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2.75" customHeight="1">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2.75" customHeight="1">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2.75" customHeight="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2.75" customHeight="1">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2.75" customHeight="1">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2.75" customHeight="1">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2.75" customHeight="1">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2.75" customHeight="1">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2.75" customHeight="1">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2.75" customHeight="1">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2.75" customHeight="1">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2.75" customHeight="1">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2.75" customHeight="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2.75" customHeight="1">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2.75" customHeight="1">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2.75" customHeight="1">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2.75" customHeight="1">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2.75" customHeight="1">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2.75" customHeight="1">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2.75" customHeight="1">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2.75" customHeight="1">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2.75" customHeight="1">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2.75" customHeight="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2.75" customHeight="1">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2.75" customHeight="1">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2.75" customHeight="1">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2.75" customHeight="1">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2.75" customHeight="1">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2.75" customHeight="1">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2.75" customHeight="1">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2.75" customHeight="1">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2.75" customHeight="1">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2.75" customHeight="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2.75" customHeight="1">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2.75" customHeight="1">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2.75" customHeight="1">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2.75" customHeight="1">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2.75" customHeight="1">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2.75" customHeight="1">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2.75" customHeight="1">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2.75" customHeight="1">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2.75" customHeight="1">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2.75" customHeight="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2.75" customHeight="1">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2.75" customHeight="1">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2.75" customHeight="1">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2.75" customHeight="1">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2.75" customHeight="1">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2.75" customHeight="1">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2.75" customHeight="1">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2.75" customHeight="1">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2.75" customHeight="1">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row r="1001" spans="1:26" ht="12.75" customHeight="1">
      <c r="A1001" s="72"/>
      <c r="B1001" s="72"/>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row>
    <row r="1002" spans="1:26" ht="12.75" customHeight="1">
      <c r="A1002" s="72"/>
      <c r="B1002" s="72"/>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row>
    <row r="1003" spans="1:26" ht="12.75" customHeight="1">
      <c r="A1003" s="72"/>
      <c r="B1003" s="72"/>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row>
    <row r="1004" spans="1:26" ht="12.75" customHeight="1">
      <c r="A1004" s="72"/>
      <c r="B1004" s="72"/>
      <c r="C1004" s="72"/>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row>
    <row r="1005" spans="1:26" ht="12.75" customHeight="1">
      <c r="A1005" s="72"/>
      <c r="B1005" s="72"/>
      <c r="C1005" s="72"/>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row>
    <row r="1006" spans="1:26" ht="12.75" customHeight="1">
      <c r="A1006" s="72"/>
      <c r="B1006" s="72"/>
      <c r="C1006" s="72"/>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row>
  </sheetData>
  <mergeCells count="2">
    <mergeCell ref="A7:B7"/>
    <mergeCell ref="A8:B8"/>
  </mergeCells>
  <phoneticPr fontId="1" type="noConversion"/>
  <pageMargins left="0.45" right="0.7" top="0.25" bottom="0.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ECAE5-C350-4023-881D-D2B94D809CD7}">
  <dimension ref="A1:Z970"/>
  <sheetViews>
    <sheetView workbookViewId="0">
      <selection activeCell="A8" sqref="A8"/>
    </sheetView>
  </sheetViews>
  <sheetFormatPr defaultColWidth="14.7265625" defaultRowHeight="15" customHeight="1"/>
  <cols>
    <col min="1" max="1" width="137" style="58" customWidth="1"/>
    <col min="2" max="26" width="9.08984375" style="58" customWidth="1"/>
    <col min="27" max="16384" width="14.7265625" style="58"/>
  </cols>
  <sheetData>
    <row r="1" spans="1:26" ht="5.25" customHeight="1">
      <c r="A1" s="56"/>
      <c r="B1" s="57"/>
      <c r="C1" s="57"/>
      <c r="D1" s="57"/>
      <c r="E1" s="57"/>
      <c r="F1" s="57"/>
      <c r="G1" s="57"/>
      <c r="H1" s="57"/>
      <c r="I1" s="57"/>
      <c r="J1" s="57"/>
      <c r="K1" s="57"/>
      <c r="L1" s="57"/>
      <c r="M1" s="57"/>
      <c r="N1" s="57"/>
      <c r="O1" s="57"/>
      <c r="P1" s="57"/>
      <c r="Q1" s="57"/>
      <c r="R1" s="57"/>
      <c r="S1" s="57"/>
      <c r="T1" s="57"/>
      <c r="U1" s="57"/>
      <c r="V1" s="57"/>
      <c r="W1" s="57"/>
      <c r="X1" s="57"/>
      <c r="Y1" s="57"/>
      <c r="Z1" s="57"/>
    </row>
    <row r="2" spans="1:26" ht="24" customHeight="1">
      <c r="A2" s="56"/>
      <c r="B2" s="57"/>
      <c r="C2" s="57"/>
      <c r="D2" s="57"/>
      <c r="E2" s="57"/>
      <c r="F2" s="57"/>
      <c r="G2" s="57"/>
      <c r="H2" s="57"/>
      <c r="I2" s="57"/>
      <c r="J2" s="57"/>
      <c r="K2" s="57"/>
      <c r="L2" s="57"/>
      <c r="M2" s="57"/>
      <c r="N2" s="57"/>
      <c r="O2" s="57"/>
      <c r="P2" s="57"/>
      <c r="Q2" s="57"/>
      <c r="R2" s="57"/>
      <c r="S2" s="57"/>
      <c r="T2" s="57"/>
      <c r="U2" s="57"/>
      <c r="V2" s="57"/>
      <c r="W2" s="57"/>
      <c r="X2" s="57"/>
      <c r="Y2" s="57"/>
      <c r="Z2" s="57"/>
    </row>
    <row r="3" spans="1:26" ht="5.25" customHeight="1">
      <c r="A3" s="56"/>
      <c r="B3" s="57"/>
      <c r="C3" s="57"/>
      <c r="D3" s="57"/>
      <c r="E3" s="57"/>
      <c r="F3" s="57"/>
      <c r="G3" s="57"/>
      <c r="H3" s="57"/>
      <c r="I3" s="57"/>
      <c r="J3" s="57"/>
      <c r="K3" s="57"/>
      <c r="L3" s="57"/>
      <c r="M3" s="57"/>
      <c r="N3" s="57"/>
      <c r="O3" s="57"/>
      <c r="P3" s="57"/>
      <c r="Q3" s="57"/>
      <c r="R3" s="57"/>
      <c r="S3" s="57"/>
      <c r="T3" s="57"/>
      <c r="U3" s="57"/>
      <c r="V3" s="57"/>
      <c r="W3" s="57"/>
      <c r="X3" s="57"/>
      <c r="Y3" s="57"/>
      <c r="Z3" s="57"/>
    </row>
    <row r="4" spans="1:26" ht="5.25" customHeight="1">
      <c r="A4" s="56"/>
      <c r="B4" s="57"/>
      <c r="C4" s="57"/>
      <c r="D4" s="57"/>
      <c r="E4" s="57"/>
      <c r="F4" s="57"/>
      <c r="G4" s="57"/>
      <c r="H4" s="57"/>
      <c r="I4" s="57"/>
      <c r="J4" s="57"/>
      <c r="K4" s="57"/>
      <c r="L4" s="57"/>
      <c r="M4" s="57"/>
      <c r="N4" s="57"/>
      <c r="O4" s="57"/>
      <c r="P4" s="57"/>
      <c r="Q4" s="57"/>
      <c r="R4" s="57"/>
      <c r="S4" s="57"/>
      <c r="T4" s="57"/>
      <c r="U4" s="57"/>
      <c r="V4" s="57"/>
      <c r="W4" s="57"/>
      <c r="X4" s="57"/>
      <c r="Y4" s="57"/>
      <c r="Z4" s="57"/>
    </row>
    <row r="5" spans="1:26" ht="5.25" customHeight="1">
      <c r="A5" s="56"/>
      <c r="B5" s="57"/>
      <c r="C5" s="57"/>
      <c r="D5" s="57"/>
      <c r="E5" s="57"/>
      <c r="F5" s="57"/>
      <c r="G5" s="57"/>
      <c r="H5" s="57"/>
      <c r="I5" s="57"/>
      <c r="J5" s="57"/>
      <c r="K5" s="57"/>
      <c r="L5" s="57"/>
      <c r="M5" s="57"/>
      <c r="N5" s="57"/>
      <c r="O5" s="57"/>
      <c r="P5" s="57"/>
      <c r="Q5" s="57"/>
      <c r="R5" s="57"/>
      <c r="S5" s="57"/>
      <c r="T5" s="57"/>
      <c r="U5" s="57"/>
      <c r="V5" s="57"/>
      <c r="W5" s="57"/>
      <c r="X5" s="57"/>
      <c r="Y5" s="57"/>
      <c r="Z5" s="57"/>
    </row>
    <row r="6" spans="1:26" ht="5.25" customHeight="1">
      <c r="A6" s="56"/>
      <c r="B6" s="57"/>
      <c r="C6" s="57"/>
      <c r="D6" s="57"/>
      <c r="E6" s="57"/>
      <c r="F6" s="57"/>
      <c r="G6" s="57"/>
      <c r="H6" s="57"/>
      <c r="I6" s="57"/>
      <c r="J6" s="57"/>
      <c r="K6" s="57"/>
      <c r="L6" s="57"/>
      <c r="M6" s="57"/>
      <c r="N6" s="57"/>
      <c r="O6" s="57"/>
      <c r="P6" s="57"/>
      <c r="Q6" s="57"/>
      <c r="R6" s="57"/>
      <c r="S6" s="57"/>
      <c r="T6" s="57"/>
      <c r="U6" s="57"/>
      <c r="V6" s="57"/>
      <c r="W6" s="57"/>
      <c r="X6" s="57"/>
      <c r="Y6" s="57"/>
      <c r="Z6" s="57"/>
    </row>
    <row r="7" spans="1:26" ht="41.25" customHeight="1">
      <c r="A7" s="59" t="s">
        <v>31</v>
      </c>
      <c r="B7" s="57"/>
      <c r="C7" s="57"/>
      <c r="D7" s="57"/>
      <c r="E7" s="57"/>
      <c r="F7" s="57"/>
      <c r="G7" s="57"/>
      <c r="H7" s="57"/>
      <c r="I7" s="57"/>
      <c r="J7" s="57"/>
      <c r="K7" s="57"/>
      <c r="L7" s="57"/>
      <c r="M7" s="57"/>
      <c r="N7" s="57"/>
      <c r="O7" s="57"/>
      <c r="P7" s="57"/>
      <c r="Q7" s="57"/>
      <c r="R7" s="57"/>
      <c r="S7" s="57"/>
      <c r="T7" s="57"/>
      <c r="U7" s="57"/>
      <c r="V7" s="57"/>
      <c r="W7" s="57"/>
      <c r="X7" s="57"/>
      <c r="Y7" s="57"/>
      <c r="Z7" s="57"/>
    </row>
    <row r="8" spans="1:26" ht="15" customHeight="1">
      <c r="A8" s="60" t="s">
        <v>141</v>
      </c>
      <c r="B8" s="61"/>
      <c r="C8" s="61"/>
      <c r="D8" s="61"/>
      <c r="E8" s="61"/>
      <c r="F8" s="61"/>
      <c r="G8" s="61"/>
      <c r="H8" s="61"/>
      <c r="I8" s="61"/>
      <c r="J8" s="61"/>
      <c r="K8" s="61"/>
      <c r="L8" s="61"/>
      <c r="M8" s="61"/>
      <c r="N8" s="61"/>
      <c r="O8" s="61"/>
      <c r="P8" s="61"/>
      <c r="Q8" s="61"/>
      <c r="R8" s="61"/>
      <c r="S8" s="61"/>
      <c r="T8" s="61"/>
      <c r="U8" s="61"/>
      <c r="V8" s="61"/>
      <c r="W8" s="61"/>
      <c r="X8" s="61"/>
      <c r="Y8" s="61"/>
      <c r="Z8" s="61"/>
    </row>
    <row r="9" spans="1:26" ht="7.5" customHeight="1">
      <c r="A9" s="60"/>
      <c r="B9" s="61"/>
      <c r="C9" s="61"/>
      <c r="D9" s="61"/>
      <c r="E9" s="61"/>
      <c r="F9" s="61"/>
      <c r="G9" s="61"/>
      <c r="H9" s="61"/>
      <c r="I9" s="61"/>
      <c r="J9" s="61"/>
      <c r="K9" s="61"/>
      <c r="L9" s="61"/>
      <c r="M9" s="61"/>
      <c r="N9" s="61"/>
      <c r="O9" s="61"/>
      <c r="P9" s="61"/>
      <c r="Q9" s="61"/>
      <c r="R9" s="61"/>
      <c r="S9" s="61"/>
      <c r="T9" s="61"/>
      <c r="U9" s="61"/>
      <c r="V9" s="61"/>
      <c r="W9" s="61"/>
      <c r="X9" s="61"/>
      <c r="Y9" s="61"/>
      <c r="Z9" s="61"/>
    </row>
    <row r="10" spans="1:26" ht="120.75" customHeight="1">
      <c r="A10" s="62" t="s">
        <v>136</v>
      </c>
      <c r="B10" s="61"/>
      <c r="C10" s="61"/>
      <c r="D10" s="61"/>
      <c r="E10" s="61"/>
      <c r="F10" s="61"/>
      <c r="G10" s="61"/>
      <c r="H10" s="61"/>
      <c r="I10" s="61"/>
      <c r="J10" s="61"/>
      <c r="K10" s="61"/>
      <c r="L10" s="61"/>
      <c r="M10" s="61"/>
      <c r="N10" s="61"/>
      <c r="O10" s="61"/>
      <c r="P10" s="61"/>
      <c r="Q10" s="61"/>
      <c r="R10" s="61"/>
      <c r="S10" s="61"/>
      <c r="T10" s="61"/>
      <c r="U10" s="61"/>
      <c r="V10" s="61"/>
      <c r="W10" s="61"/>
      <c r="X10" s="61"/>
      <c r="Y10" s="61"/>
      <c r="Z10" s="61"/>
    </row>
    <row r="11" spans="1:26" ht="7.5" customHeight="1">
      <c r="A11" s="63"/>
      <c r="B11" s="61"/>
      <c r="C11" s="61"/>
      <c r="D11" s="61"/>
      <c r="E11" s="61"/>
      <c r="F11" s="61"/>
      <c r="G11" s="61"/>
      <c r="H11" s="61"/>
      <c r="I11" s="61"/>
      <c r="J11" s="61"/>
      <c r="K11" s="61"/>
      <c r="L11" s="61"/>
      <c r="M11" s="61"/>
      <c r="N11" s="61"/>
      <c r="O11" s="61"/>
      <c r="P11" s="61"/>
      <c r="Q11" s="61"/>
      <c r="R11" s="61"/>
      <c r="S11" s="61"/>
      <c r="T11" s="61"/>
      <c r="U11" s="61"/>
      <c r="V11" s="61"/>
      <c r="W11" s="61"/>
      <c r="X11" s="61"/>
      <c r="Y11" s="61"/>
      <c r="Z11" s="61"/>
    </row>
    <row r="12" spans="1:26" s="66" customFormat="1" ht="19.5" customHeight="1">
      <c r="A12" s="64" t="s">
        <v>33</v>
      </c>
      <c r="B12" s="65"/>
      <c r="C12" s="65"/>
      <c r="D12" s="65"/>
      <c r="E12" s="65"/>
      <c r="F12" s="65"/>
      <c r="G12" s="65"/>
      <c r="H12" s="65"/>
      <c r="I12" s="65"/>
      <c r="J12" s="65"/>
      <c r="K12" s="65"/>
      <c r="L12" s="65"/>
      <c r="M12" s="65"/>
      <c r="N12" s="65"/>
      <c r="O12" s="65"/>
      <c r="P12" s="65"/>
      <c r="Q12" s="65"/>
      <c r="R12" s="65"/>
      <c r="S12" s="65"/>
      <c r="T12" s="65"/>
      <c r="U12" s="65"/>
      <c r="V12" s="65"/>
      <c r="W12" s="65"/>
      <c r="X12" s="65"/>
      <c r="Y12" s="65"/>
      <c r="Z12" s="65"/>
    </row>
    <row r="13" spans="1:26" ht="7.5" customHeight="1">
      <c r="A13" s="60"/>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spans="1:26" s="66" customFormat="1" ht="62.5" customHeight="1">
      <c r="A14" s="64" t="s">
        <v>34</v>
      </c>
      <c r="B14" s="65"/>
      <c r="C14" s="65"/>
      <c r="D14" s="65"/>
      <c r="E14" s="65"/>
      <c r="F14" s="65"/>
      <c r="G14" s="65"/>
      <c r="H14" s="65"/>
      <c r="I14" s="65"/>
      <c r="J14" s="65"/>
      <c r="K14" s="65"/>
      <c r="L14" s="65"/>
      <c r="M14" s="65"/>
      <c r="N14" s="65"/>
      <c r="O14" s="65"/>
      <c r="P14" s="65"/>
      <c r="Q14" s="65"/>
      <c r="R14" s="65"/>
      <c r="S14" s="65"/>
      <c r="T14" s="65"/>
      <c r="U14" s="65"/>
      <c r="V14" s="65"/>
      <c r="W14" s="65"/>
      <c r="X14" s="65"/>
      <c r="Y14" s="65"/>
      <c r="Z14" s="65"/>
    </row>
    <row r="15" spans="1:26" ht="12" customHeight="1">
      <c r="A15" s="60"/>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spans="1:26" s="66" customFormat="1" ht="17.5" customHeight="1">
      <c r="A16" s="67" t="s">
        <v>35</v>
      </c>
      <c r="B16" s="65"/>
      <c r="C16" s="65"/>
      <c r="D16" s="65"/>
      <c r="E16" s="65"/>
      <c r="F16" s="65"/>
      <c r="G16" s="65"/>
      <c r="H16" s="65"/>
      <c r="I16" s="65"/>
      <c r="J16" s="65"/>
      <c r="K16" s="65"/>
      <c r="L16" s="65"/>
      <c r="M16" s="65"/>
      <c r="N16" s="65"/>
      <c r="O16" s="65"/>
      <c r="P16" s="65"/>
      <c r="Q16" s="65"/>
      <c r="R16" s="65"/>
      <c r="S16" s="65"/>
      <c r="T16" s="65"/>
      <c r="U16" s="65"/>
      <c r="V16" s="65"/>
      <c r="W16" s="65"/>
      <c r="X16" s="65"/>
      <c r="Y16" s="65"/>
      <c r="Z16" s="65"/>
    </row>
    <row r="17" spans="1:26" s="66" customFormat="1" ht="6" customHeight="1">
      <c r="A17" s="67"/>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spans="1:26" s="66" customFormat="1" ht="17.5" customHeight="1">
      <c r="A18" s="68" t="s">
        <v>137</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s="66" customFormat="1" ht="16.5" customHeight="1">
      <c r="A19" s="66" t="s">
        <v>138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spans="1:26" s="66" customFormat="1" ht="16.5" customHeight="1">
      <c r="A20" s="68" t="s">
        <v>139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row r="21" spans="1:26" s="66" customFormat="1" ht="16.5" customHeight="1">
      <c r="A21" s="68" t="s">
        <v>36</v>
      </c>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spans="1:26" s="66" customFormat="1" ht="18" customHeight="1">
      <c r="A22" s="69" t="s">
        <v>37</v>
      </c>
      <c r="B22" s="65"/>
      <c r="C22" s="65"/>
      <c r="D22" s="65"/>
      <c r="E22" s="65"/>
      <c r="F22" s="65"/>
      <c r="G22" s="65"/>
      <c r="H22" s="65"/>
      <c r="I22" s="65"/>
      <c r="J22" s="65"/>
      <c r="K22" s="65"/>
      <c r="L22" s="65"/>
      <c r="M22" s="65"/>
      <c r="N22" s="65"/>
      <c r="O22" s="65"/>
      <c r="P22" s="65"/>
      <c r="Q22" s="65"/>
      <c r="R22" s="65"/>
      <c r="S22" s="65"/>
      <c r="T22" s="65"/>
      <c r="U22" s="65"/>
      <c r="V22" s="65"/>
      <c r="W22" s="65"/>
      <c r="X22" s="65"/>
      <c r="Y22" s="65"/>
      <c r="Z22" s="65"/>
    </row>
    <row r="24" spans="1:26" ht="14.5" customHeight="1">
      <c r="A24" s="70" t="s">
        <v>140</v>
      </c>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spans="1:26" ht="18" customHeight="1">
      <c r="A25" s="60"/>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spans="1:26" ht="18" customHeight="1">
      <c r="A26" s="60"/>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spans="1:26" ht="6.75" customHeight="1">
      <c r="A27" s="60"/>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spans="1:26" ht="16.5" customHeight="1">
      <c r="A28" s="70"/>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spans="1:26" ht="14.25" customHeight="1">
      <c r="A29" s="70"/>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spans="1:26" ht="14.25" customHeight="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spans="1:26" ht="5.25" customHeight="1">
      <c r="A31" s="70"/>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spans="1:26" ht="14.25" customHeight="1">
      <c r="A32" s="70"/>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spans="1:26" ht="14.25" customHeight="1">
      <c r="A33" s="70"/>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spans="1:26" ht="14.25" customHeight="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spans="1:26" ht="14.25" customHeight="1">
      <c r="A35" s="70"/>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spans="1:26" ht="60.75" customHeight="1">
      <c r="A36" s="60"/>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spans="1:26" ht="7.5" customHeight="1">
      <c r="A37" s="60"/>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spans="1:26" ht="7.5" customHeight="1">
      <c r="A38" s="60"/>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spans="1:26" ht="37.5" customHeight="1">
      <c r="A39" s="60"/>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spans="1:26" ht="7.5" customHeight="1">
      <c r="A40" s="60"/>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spans="1:26" ht="7.5" customHeight="1">
      <c r="A41" s="60"/>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spans="1:26" ht="7.5" customHeight="1">
      <c r="A42" s="60"/>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spans="1:26" ht="7.5" customHeight="1">
      <c r="A43" s="60"/>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spans="1:26" ht="7.5" customHeight="1">
      <c r="A44" s="60"/>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spans="1:26" ht="15" customHeight="1">
      <c r="A45" s="71"/>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spans="1:26" ht="15" customHeight="1">
      <c r="A46" s="71"/>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spans="1:26" ht="15" customHeight="1">
      <c r="A47" s="71"/>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spans="1:26" ht="15" customHeight="1">
      <c r="A48" s="71"/>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spans="1:26" ht="15" customHeight="1">
      <c r="A49" s="71"/>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spans="1:26" ht="15" customHeight="1">
      <c r="A50" s="71"/>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spans="1:26" ht="15" customHeight="1">
      <c r="A51" s="71"/>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spans="1:26" ht="15" customHeight="1">
      <c r="A52" s="71"/>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spans="1:26" ht="15" customHeight="1">
      <c r="A53" s="71"/>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spans="1:26" ht="15" customHeight="1">
      <c r="A54" s="71"/>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spans="1:26" ht="15" customHeight="1">
      <c r="A55" s="71"/>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spans="1:26" ht="15" customHeight="1">
      <c r="A56" s="71"/>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spans="1:26" ht="15" customHeight="1">
      <c r="A57" s="71"/>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spans="1:26" ht="15" customHeight="1">
      <c r="A58" s="71"/>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spans="1:26" ht="15" customHeight="1">
      <c r="A59" s="71"/>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spans="1:26" ht="15" customHeight="1">
      <c r="A60" s="71"/>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spans="1:26" ht="15" customHeight="1">
      <c r="A61" s="71"/>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spans="1:26" ht="15" customHeight="1">
      <c r="A62" s="71"/>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spans="1:26" ht="15" customHeight="1">
      <c r="A63" s="71"/>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spans="1:26" ht="15" customHeight="1">
      <c r="A64" s="71"/>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spans="1:26" ht="15" customHeight="1">
      <c r="A65" s="71"/>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spans="1:26" ht="15" customHeight="1">
      <c r="A66" s="71"/>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spans="1:26" ht="15" customHeight="1">
      <c r="A67" s="71"/>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spans="1:26" ht="15" customHeight="1">
      <c r="A68" s="71"/>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spans="1:26" ht="15" customHeight="1">
      <c r="A69" s="71"/>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spans="1:26" ht="15" customHeight="1">
      <c r="A70" s="71"/>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spans="1:26" ht="15" customHeight="1">
      <c r="A71" s="71"/>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spans="1:26" ht="15" customHeight="1">
      <c r="A72" s="71"/>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spans="1:26" ht="15" customHeight="1">
      <c r="A73" s="71"/>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spans="1:26" ht="12.75" customHeight="1">
      <c r="A74" s="56"/>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spans="1:26" ht="12.75" customHeight="1">
      <c r="A75" s="56"/>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spans="1:26" ht="12.75" customHeight="1">
      <c r="A76" s="56"/>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spans="1:26" ht="12.75" customHeight="1">
      <c r="A77" s="56"/>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spans="1:26" ht="12.75" customHeight="1">
      <c r="A78" s="56"/>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spans="1:26" ht="12.75" customHeight="1">
      <c r="A79" s="56"/>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spans="1:26" ht="12.75" customHeight="1">
      <c r="A80" s="56"/>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spans="1:26" ht="12.75" customHeight="1">
      <c r="A81" s="56"/>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spans="1:26" ht="12.75" customHeight="1">
      <c r="A82" s="56"/>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spans="1:26" ht="12.75" customHeight="1">
      <c r="A83" s="56"/>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spans="1:26" ht="12.75" customHeight="1">
      <c r="A84" s="56"/>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spans="1:26" ht="12.75" customHeight="1">
      <c r="A85" s="56"/>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spans="1:26" ht="12.75" customHeight="1">
      <c r="A86" s="56"/>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spans="1:26" ht="12.75" customHeight="1">
      <c r="A87" s="56"/>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spans="1:26" ht="12.75" customHeight="1">
      <c r="A88" s="56"/>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spans="1:26" ht="12.75" customHeight="1">
      <c r="A89" s="56"/>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spans="1:26" ht="12.75" customHeight="1">
      <c r="A90" s="56"/>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spans="1:26" ht="12.75" customHeight="1">
      <c r="A91" s="56"/>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spans="1:26" ht="12.75" customHeight="1">
      <c r="A92" s="56"/>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spans="1:26" ht="12.75" customHeight="1">
      <c r="A93" s="56"/>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spans="1:26" ht="12.75" customHeight="1">
      <c r="A94" s="56"/>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spans="1:26" ht="12.75" customHeight="1">
      <c r="A95" s="56"/>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spans="1:26" ht="12.75" customHeight="1">
      <c r="A96" s="56"/>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spans="1:26" ht="12.75" customHeight="1">
      <c r="A97" s="56"/>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spans="1:26" ht="12.75" customHeight="1">
      <c r="A98" s="56"/>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spans="1:26" ht="12.75" customHeight="1">
      <c r="A99" s="56"/>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spans="1:26" ht="12.75" customHeight="1">
      <c r="A100" s="56"/>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spans="1:26" ht="12.75" customHeight="1">
      <c r="A101" s="56"/>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spans="1:26" ht="12.75" customHeight="1">
      <c r="A102" s="56"/>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spans="1:26" ht="12.75" customHeight="1">
      <c r="A103" s="56"/>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spans="1:26" ht="12.75" customHeight="1">
      <c r="A104" s="56"/>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spans="1:26" ht="12.75" customHeight="1">
      <c r="A105" s="56"/>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spans="1:26" ht="12.75" customHeight="1">
      <c r="A106" s="56"/>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spans="1:26" ht="12.75" customHeight="1">
      <c r="A107" s="56"/>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spans="1:26" ht="12.75" customHeight="1">
      <c r="A108" s="56"/>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spans="1:26" ht="12.75" customHeight="1">
      <c r="A109" s="56"/>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spans="1:26" ht="12.75" customHeight="1">
      <c r="A110" s="56"/>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spans="1:26" ht="12.75" customHeight="1">
      <c r="A111" s="56"/>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spans="1:26" ht="12.75" customHeight="1">
      <c r="A112" s="56"/>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spans="1:26" ht="12.75" customHeight="1">
      <c r="A113" s="56"/>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spans="1:26" ht="12.75" customHeight="1">
      <c r="A114" s="56"/>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spans="1:26" ht="12.75" customHeight="1">
      <c r="A115" s="56"/>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spans="1:26" ht="12.75" customHeight="1">
      <c r="A116" s="56"/>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spans="1:26" ht="12.75" customHeight="1">
      <c r="A117" s="56"/>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spans="1:26" ht="12.75" customHeight="1">
      <c r="A118" s="56"/>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spans="1:26" ht="12.75" customHeight="1">
      <c r="A119" s="56"/>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spans="1:26" ht="12.75" customHeight="1">
      <c r="A120" s="56"/>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spans="1:26" ht="12.75" customHeight="1">
      <c r="A121" s="56"/>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spans="1:26" ht="12.75" customHeight="1">
      <c r="A122" s="56"/>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spans="1:26" ht="12.75" customHeight="1">
      <c r="A123" s="56"/>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spans="1:26" ht="12.75" customHeight="1">
      <c r="A124" s="56"/>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spans="1:26" ht="12.75" customHeight="1">
      <c r="A125" s="56"/>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spans="1:26" ht="12.75" customHeight="1">
      <c r="A126" s="56"/>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spans="1:26" ht="12.75" customHeight="1">
      <c r="A127" s="56"/>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spans="1:26" ht="12.75" customHeight="1">
      <c r="A128" s="56"/>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spans="1:26" ht="12.75" customHeight="1">
      <c r="A129" s="56"/>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spans="1:26" ht="12.75" customHeight="1">
      <c r="A130" s="56"/>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spans="1:26" ht="12.75" customHeight="1">
      <c r="A131" s="56"/>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spans="1:26" ht="12.75" customHeight="1">
      <c r="A132" s="56"/>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spans="1:26" ht="12.75" customHeight="1">
      <c r="A133" s="56"/>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spans="1:26" ht="12.75" customHeight="1">
      <c r="A134" s="56"/>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spans="1:26" ht="12.75" customHeight="1">
      <c r="A135" s="56"/>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spans="1:26" ht="12.75" customHeight="1">
      <c r="A136" s="56"/>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spans="1:26" ht="12.75" customHeight="1">
      <c r="A137" s="56"/>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spans="1:26" ht="12.75" customHeight="1">
      <c r="A138" s="56"/>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spans="1:26" ht="12.75" customHeight="1">
      <c r="A139" s="56"/>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spans="1:26" ht="12.75" customHeight="1">
      <c r="A140" s="56"/>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spans="1:26" ht="12.75" customHeight="1">
      <c r="A141" s="56"/>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spans="1:26" ht="12.75" customHeight="1">
      <c r="A142" s="56"/>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spans="1:26" ht="12.75" customHeight="1">
      <c r="A143" s="56"/>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spans="1:26" ht="12.75" customHeight="1">
      <c r="A144" s="56"/>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spans="1:26" ht="12.75" customHeight="1">
      <c r="A145" s="56"/>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spans="1:26" ht="12.75" customHeight="1">
      <c r="A146" s="56"/>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spans="1:26" ht="12.75" customHeight="1">
      <c r="A147" s="56"/>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spans="1:26" ht="12.75" customHeight="1">
      <c r="A148" s="56"/>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spans="1:26" ht="12.75" customHeight="1">
      <c r="A149" s="56"/>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spans="1:26" ht="12.75" customHeight="1">
      <c r="A150" s="56"/>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spans="1:26" ht="12.75" customHeight="1">
      <c r="A151" s="56"/>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spans="1:26" ht="12.75" customHeight="1">
      <c r="A152" s="56"/>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spans="1:26" ht="12.75" customHeight="1">
      <c r="A153" s="56"/>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spans="1:26" ht="12.75" customHeight="1">
      <c r="A154" s="56"/>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spans="1:26" ht="12.75" customHeight="1">
      <c r="A155" s="56"/>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spans="1:26" ht="12.75" customHeight="1">
      <c r="A156" s="56"/>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spans="1:26" ht="12.75" customHeight="1">
      <c r="A157" s="56"/>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spans="1:26" ht="12.75" customHeight="1">
      <c r="A158" s="56"/>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spans="1:26" ht="12.75" customHeight="1">
      <c r="A159" s="56"/>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spans="1:26" ht="12.75" customHeight="1">
      <c r="A160" s="56"/>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spans="1:26" ht="12.75" customHeight="1">
      <c r="A161" s="56"/>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spans="1:26" ht="12.75" customHeight="1">
      <c r="A162" s="56"/>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spans="1:26" ht="12.75" customHeight="1">
      <c r="A163" s="56"/>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spans="1:26" ht="12.75" customHeight="1">
      <c r="A164" s="56"/>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spans="1:26" ht="12.75" customHeight="1">
      <c r="A165" s="56"/>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spans="1:26" ht="12.75" customHeight="1">
      <c r="A166" s="56"/>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spans="1:26" ht="12.75" customHeight="1">
      <c r="A167" s="56"/>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spans="1:26" ht="12.75" customHeight="1">
      <c r="A168" s="56"/>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spans="1:26" ht="12.75" customHeight="1">
      <c r="A169" s="56"/>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spans="1:26" ht="12.75" customHeight="1">
      <c r="A170" s="56"/>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spans="1:26" ht="12.75" customHeight="1">
      <c r="A171" s="56"/>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spans="1:26" ht="12.75" customHeight="1">
      <c r="A172" s="56"/>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spans="1:26" ht="12.75" customHeight="1">
      <c r="A173" s="56"/>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spans="1:26" ht="12.75" customHeight="1">
      <c r="A174" s="56"/>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spans="1:26" ht="12.75" customHeight="1">
      <c r="A175" s="56"/>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spans="1:26" ht="12.75" customHeight="1">
      <c r="A176" s="56"/>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spans="1:26" ht="12.75" customHeight="1">
      <c r="A177" s="56"/>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spans="1:26" ht="12.75" customHeight="1">
      <c r="A178" s="56"/>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spans="1:26" ht="12.75" customHeight="1">
      <c r="A179" s="56"/>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spans="1:26" ht="12.75" customHeight="1">
      <c r="A180" s="56"/>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spans="1:26" ht="12.75" customHeight="1">
      <c r="A181" s="56"/>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spans="1:26" ht="12.75" customHeight="1">
      <c r="A182" s="56"/>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spans="1:26" ht="12.75" customHeight="1">
      <c r="A183" s="56"/>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spans="1:26" ht="12.75" customHeight="1">
      <c r="A184" s="56"/>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spans="1:26" ht="12.75" customHeight="1">
      <c r="A185" s="56"/>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spans="1:26" ht="12.75" customHeight="1">
      <c r="A186" s="56"/>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spans="1:26" ht="12.75" customHeight="1">
      <c r="A187" s="56"/>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spans="1:26" ht="12.75" customHeight="1">
      <c r="A188" s="56"/>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spans="1:26" ht="12.75" customHeight="1">
      <c r="A189" s="56"/>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spans="1:26" ht="12.75" customHeight="1">
      <c r="A190" s="56"/>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spans="1:26" ht="12.75" customHeight="1">
      <c r="A191" s="56"/>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spans="1:26" ht="12.75" customHeight="1">
      <c r="A192" s="56"/>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spans="1:26" ht="12.75" customHeight="1">
      <c r="A193" s="56"/>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spans="1:26" ht="12.75" customHeight="1">
      <c r="A194" s="56"/>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spans="1:26" ht="12.75" customHeight="1">
      <c r="A195" s="56"/>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spans="1:26" ht="12.75" customHeight="1">
      <c r="A196" s="56"/>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spans="1:26" ht="12.75" customHeight="1">
      <c r="A197" s="56"/>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spans="1:26" ht="12.75" customHeight="1">
      <c r="A198" s="56"/>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spans="1:26" ht="12.75" customHeight="1">
      <c r="A199" s="56"/>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spans="1:26" ht="12.75" customHeight="1">
      <c r="A200" s="56"/>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spans="1:26" ht="12.75" customHeight="1">
      <c r="A201" s="56"/>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spans="1:26" ht="12.75" customHeight="1">
      <c r="A202" s="56"/>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spans="1:26" ht="12.75" customHeight="1">
      <c r="A203" s="56"/>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spans="1:26" ht="12.75" customHeight="1">
      <c r="A204" s="56"/>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spans="1:26" ht="12.75" customHeight="1">
      <c r="A205" s="56"/>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spans="1:26" ht="12.75" customHeight="1">
      <c r="A206" s="56"/>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spans="1:26" ht="12.75" customHeight="1">
      <c r="A207" s="56"/>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spans="1:26" ht="12.75" customHeight="1">
      <c r="A208" s="56"/>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spans="1:26" ht="12.75" customHeight="1">
      <c r="A209" s="56"/>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spans="1:26" ht="12.75" customHeight="1">
      <c r="A210" s="56"/>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spans="1:26" ht="12.75" customHeight="1">
      <c r="A211" s="56"/>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spans="1:26" ht="12.75" customHeight="1">
      <c r="A212" s="56"/>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spans="1:26" ht="12.75" customHeight="1">
      <c r="A213" s="56"/>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spans="1:26" ht="12.75" customHeight="1">
      <c r="A214" s="56"/>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spans="1:26" ht="12.75" customHeight="1">
      <c r="A215" s="56"/>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spans="1:26" ht="12.75" customHeight="1">
      <c r="A216" s="56"/>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spans="1:26" ht="12.75" customHeight="1">
      <c r="A217" s="56"/>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spans="1:26" ht="12.75" customHeight="1">
      <c r="A218" s="56"/>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spans="1:26" ht="12.75" customHeight="1">
      <c r="A219" s="56"/>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spans="1:26" ht="12.75" customHeight="1">
      <c r="A220" s="56"/>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spans="1:26" ht="12.75" customHeight="1">
      <c r="A221" s="56"/>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spans="1:26" ht="12.75" customHeight="1">
      <c r="A222" s="56"/>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spans="1:26" ht="12.75" customHeight="1">
      <c r="A223" s="56"/>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spans="1:26" ht="12.75" customHeight="1">
      <c r="A224" s="56"/>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spans="1:26" ht="12.75" customHeight="1">
      <c r="A225" s="56"/>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spans="1:26" ht="12.75" customHeight="1">
      <c r="A226" s="56"/>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spans="1:26" ht="12.75" customHeight="1">
      <c r="A227" s="56"/>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spans="1:26" ht="12.75" customHeight="1">
      <c r="A228" s="56"/>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spans="1:26" ht="12.75" customHeight="1">
      <c r="A229" s="56"/>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spans="1:26" ht="12.75" customHeight="1">
      <c r="A230" s="56"/>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spans="1:26" ht="12.75" customHeight="1">
      <c r="A231" s="56"/>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spans="1:26" ht="12.75" customHeight="1">
      <c r="A232" s="56"/>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spans="1:26" ht="12.75" customHeight="1">
      <c r="A233" s="56"/>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spans="1:26" ht="12.75" customHeight="1">
      <c r="A234" s="56"/>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spans="1:26" ht="12.75" customHeight="1">
      <c r="A235" s="56"/>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spans="1:26" ht="12.75" customHeight="1">
      <c r="A236" s="56"/>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spans="1:26" ht="12.75" customHeight="1">
      <c r="A237" s="56"/>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spans="1:26" ht="12.75" customHeight="1">
      <c r="A238" s="56"/>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spans="1:26" ht="12.75" customHeight="1">
      <c r="A239" s="56"/>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spans="1:26" ht="12.75" customHeight="1">
      <c r="A240" s="56"/>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spans="1:26" ht="12.75" customHeight="1">
      <c r="A241" s="56"/>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spans="1:26" ht="12.75" customHeight="1">
      <c r="A242" s="56"/>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spans="1:26" ht="12.75" customHeight="1">
      <c r="A243" s="56"/>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spans="1:26" ht="12.75" customHeight="1">
      <c r="A244" s="56"/>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spans="1:26" ht="12.75" customHeight="1">
      <c r="A245" s="56"/>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spans="1:26" ht="12.75" customHeight="1">
      <c r="A246" s="56"/>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spans="1:26" ht="12.75" customHeight="1">
      <c r="A247" s="56"/>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spans="1:26" ht="12.75" customHeight="1">
      <c r="A248" s="56"/>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spans="1:26" ht="12.75" customHeight="1">
      <c r="A249" s="56"/>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spans="1:26" ht="12.75" customHeight="1">
      <c r="A250" s="56"/>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spans="1:26" ht="12.75" customHeight="1">
      <c r="A251" s="56"/>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spans="1:26" ht="12.75" customHeight="1">
      <c r="A252" s="56"/>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spans="1:26" ht="12.75" customHeight="1">
      <c r="A253" s="56"/>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spans="1:26" ht="12.75" customHeight="1">
      <c r="A254" s="56"/>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spans="1:26" ht="12.75" customHeight="1">
      <c r="A255" s="56"/>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spans="1:26" ht="12.75" customHeight="1">
      <c r="A256" s="56"/>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spans="1:26" ht="12.75" customHeight="1">
      <c r="A257" s="56"/>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spans="1:26" ht="12.75" customHeight="1">
      <c r="A258" s="56"/>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spans="1:26" ht="12.75" customHeight="1">
      <c r="A259" s="56"/>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spans="1:26" ht="12.75" customHeight="1">
      <c r="A260" s="56"/>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spans="1:26" ht="12.75" customHeight="1">
      <c r="A261" s="56"/>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spans="1:26" ht="12.75" customHeight="1">
      <c r="A262" s="56"/>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spans="1:26" ht="12.75" customHeight="1">
      <c r="A263" s="56"/>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spans="1:26" ht="12.75" customHeight="1">
      <c r="A264" s="56"/>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spans="1:26" ht="12.75" customHeight="1">
      <c r="A265" s="56"/>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spans="1:26" ht="12.75" customHeight="1">
      <c r="A266" s="56"/>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spans="1:26" ht="12.75" customHeight="1">
      <c r="A267" s="56"/>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spans="1:26" ht="12.75" customHeight="1">
      <c r="A268" s="56"/>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spans="1:26" ht="12.75" customHeight="1">
      <c r="A269" s="56"/>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spans="1:26" ht="12.75" customHeight="1">
      <c r="A270" s="56"/>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spans="1:26" ht="12.75" customHeight="1">
      <c r="A271" s="56"/>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spans="1:26" ht="12.75" customHeight="1">
      <c r="A272" s="56"/>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spans="1:26" ht="12.75" customHeight="1">
      <c r="A273" s="56"/>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spans="1:26" ht="12.75" customHeight="1">
      <c r="A274" s="56"/>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spans="1:26" ht="12.75" customHeight="1">
      <c r="A275" s="56"/>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spans="1:26" ht="12.75" customHeight="1">
      <c r="A276" s="56"/>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spans="1:26" ht="12.75" customHeight="1">
      <c r="A277" s="56"/>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spans="1:26" ht="12.75" customHeight="1">
      <c r="A278" s="56"/>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spans="1:26" ht="12.75" customHeight="1">
      <c r="A279" s="56"/>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spans="1:26" ht="12.75" customHeight="1">
      <c r="A280" s="56"/>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spans="1:26" ht="12.75" customHeight="1">
      <c r="A281" s="56"/>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spans="1:26" ht="12.75" customHeight="1">
      <c r="A282" s="56"/>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spans="1:26" ht="12.75" customHeight="1">
      <c r="A283" s="56"/>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spans="1:26" ht="12.75" customHeight="1">
      <c r="A284" s="56"/>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spans="1:26" ht="12.75" customHeight="1">
      <c r="A285" s="56"/>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spans="1:26" ht="12.75" customHeight="1">
      <c r="A286" s="56"/>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spans="1:26" ht="12.75" customHeight="1">
      <c r="A287" s="56"/>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spans="1:26" ht="12.75" customHeight="1">
      <c r="A288" s="56"/>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spans="1:26" ht="12.75" customHeight="1">
      <c r="A289" s="56"/>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spans="1:26" ht="12.75" customHeight="1">
      <c r="A290" s="56"/>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spans="1:26" ht="12.75" customHeight="1">
      <c r="A291" s="56"/>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spans="1:26" ht="12.75" customHeight="1">
      <c r="A292" s="56"/>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spans="1:26" ht="12.75" customHeight="1">
      <c r="A293" s="56"/>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spans="1:26" ht="12.75" customHeight="1">
      <c r="A294" s="56"/>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spans="1:26" ht="12.75" customHeight="1">
      <c r="A295" s="56"/>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spans="1:26" ht="12.75" customHeight="1">
      <c r="A296" s="56"/>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spans="1:26" ht="12.75" customHeight="1">
      <c r="A297" s="56"/>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spans="1:26" ht="12.75" customHeight="1">
      <c r="A298" s="56"/>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spans="1:26" ht="12.75" customHeight="1">
      <c r="A299" s="56"/>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spans="1:26" ht="12.75" customHeight="1">
      <c r="A300" s="56"/>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spans="1:26" ht="12.75" customHeight="1">
      <c r="A301" s="56"/>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spans="1:26" ht="12.75" customHeight="1">
      <c r="A302" s="56"/>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spans="1:26" ht="12.75" customHeight="1">
      <c r="A303" s="56"/>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spans="1:26" ht="12.75" customHeight="1">
      <c r="A304" s="56"/>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spans="1:26" ht="12.75" customHeight="1">
      <c r="A305" s="56"/>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spans="1:26" ht="12.75" customHeight="1">
      <c r="A306" s="56"/>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spans="1:26" ht="12.75" customHeight="1">
      <c r="A307" s="56"/>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spans="1:26" ht="12.75" customHeight="1">
      <c r="A308" s="56"/>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spans="1:26" ht="12.75" customHeight="1">
      <c r="A309" s="56"/>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spans="1:26" ht="12.75" customHeight="1">
      <c r="A310" s="56"/>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spans="1:26" ht="12.75" customHeight="1">
      <c r="A311" s="56"/>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spans="1:26" ht="12.75" customHeight="1">
      <c r="A312" s="56"/>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spans="1:26" ht="12.75" customHeight="1">
      <c r="A313" s="56"/>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spans="1:26" ht="12.75" customHeight="1">
      <c r="A314" s="56"/>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spans="1:26" ht="12.75" customHeight="1">
      <c r="A315" s="56"/>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spans="1:26" ht="12.75" customHeight="1">
      <c r="A316" s="56"/>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spans="1:26" ht="12.75" customHeight="1">
      <c r="A317" s="56"/>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spans="1:26" ht="12.75" customHeight="1">
      <c r="A318" s="56"/>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spans="1:26" ht="12.75" customHeight="1">
      <c r="A319" s="56"/>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spans="1:26" ht="12.75" customHeight="1">
      <c r="A320" s="56"/>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spans="1:26" ht="12.75" customHeight="1">
      <c r="A321" s="56"/>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spans="1:26" ht="12.75" customHeight="1">
      <c r="A322" s="56"/>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spans="1:26" ht="12.75" customHeight="1">
      <c r="A323" s="56"/>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spans="1:26" ht="12.75" customHeight="1">
      <c r="A324" s="56"/>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spans="1:26" ht="12.75" customHeight="1">
      <c r="A325" s="56"/>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spans="1:26" ht="12.75" customHeight="1">
      <c r="A326" s="56"/>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spans="1:26" ht="12.75" customHeight="1">
      <c r="A327" s="56"/>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spans="1:26" ht="12.75" customHeight="1">
      <c r="A328" s="56"/>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spans="1:26" ht="12.75" customHeight="1">
      <c r="A329" s="56"/>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spans="1:26" ht="12.75" customHeight="1">
      <c r="A330" s="56"/>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spans="1:26" ht="12.75" customHeight="1">
      <c r="A331" s="56"/>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spans="1:26" ht="12.75" customHeight="1">
      <c r="A332" s="56"/>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spans="1:26" ht="12.75" customHeight="1">
      <c r="A333" s="56"/>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spans="1:26" ht="12.75" customHeight="1">
      <c r="A334" s="56"/>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spans="1:26" ht="12.75" customHeight="1">
      <c r="A335" s="56"/>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spans="1:26" ht="12.75" customHeight="1">
      <c r="A336" s="56"/>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spans="1:26" ht="12.75" customHeight="1">
      <c r="A337" s="56"/>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spans="1:26" ht="12.75" customHeight="1">
      <c r="A338" s="56"/>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spans="1:26" ht="12.75" customHeight="1">
      <c r="A339" s="56"/>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spans="1:26" ht="12.75" customHeight="1">
      <c r="A340" s="56"/>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spans="1:26" ht="12.75" customHeight="1">
      <c r="A341" s="56"/>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spans="1:26" ht="12.75" customHeight="1">
      <c r="A342" s="56"/>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spans="1:26" ht="12.75" customHeight="1">
      <c r="A343" s="56"/>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spans="1:26" ht="12.75" customHeight="1">
      <c r="A344" s="56"/>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spans="1:26" ht="12.75" customHeight="1">
      <c r="A345" s="56"/>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spans="1:26" ht="12.75" customHeight="1">
      <c r="A346" s="56"/>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spans="1:26" ht="12.75" customHeight="1">
      <c r="A347" s="56"/>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spans="1:26" ht="12.75" customHeight="1">
      <c r="A348" s="56"/>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spans="1:26" ht="12.75" customHeight="1">
      <c r="A349" s="56"/>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spans="1:26" ht="12.75" customHeight="1">
      <c r="A350" s="56"/>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spans="1:26" ht="12.75" customHeight="1">
      <c r="A351" s="56"/>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spans="1:26" ht="12.75" customHeight="1">
      <c r="A352" s="56"/>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spans="1:26" ht="12.75" customHeight="1">
      <c r="A353" s="56"/>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spans="1:26" ht="12.75" customHeight="1">
      <c r="A354" s="56"/>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spans="1:26" ht="12.75" customHeight="1">
      <c r="A355" s="56"/>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spans="1:26" ht="12.75" customHeight="1">
      <c r="A356" s="56"/>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spans="1:26" ht="12.75" customHeight="1">
      <c r="A357" s="56"/>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spans="1:26" ht="12.75" customHeight="1">
      <c r="A358" s="56"/>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spans="1:26" ht="12.75" customHeight="1">
      <c r="A359" s="56"/>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spans="1:26" ht="12.75" customHeight="1">
      <c r="A360" s="56"/>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spans="1:26" ht="12.75" customHeight="1">
      <c r="A361" s="56"/>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spans="1:26" ht="12.75" customHeight="1">
      <c r="A362" s="56"/>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spans="1:26" ht="12.75" customHeight="1">
      <c r="A363" s="56"/>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spans="1:26" ht="12.75" customHeight="1">
      <c r="A364" s="56"/>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spans="1:26" ht="12.75" customHeight="1">
      <c r="A365" s="56"/>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spans="1:26" ht="12.75" customHeight="1">
      <c r="A366" s="56"/>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spans="1:26" ht="12.75" customHeight="1">
      <c r="A367" s="56"/>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spans="1:26" ht="12.75" customHeight="1">
      <c r="A368" s="56"/>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spans="1:26" ht="12.75" customHeight="1">
      <c r="A369" s="56"/>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spans="1:26" ht="12.75" customHeight="1">
      <c r="A370" s="56"/>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spans="1:26" ht="12.75" customHeight="1">
      <c r="A371" s="56"/>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spans="1:26" ht="12.75" customHeight="1">
      <c r="A372" s="56"/>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spans="1:26" ht="12.75" customHeight="1">
      <c r="A373" s="56"/>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spans="1:26" ht="12.75" customHeight="1">
      <c r="A374" s="56"/>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spans="1:26" ht="12.75" customHeight="1">
      <c r="A375" s="56"/>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spans="1:26" ht="12.75" customHeight="1">
      <c r="A376" s="56"/>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spans="1:26" ht="12.75" customHeight="1">
      <c r="A377" s="56"/>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spans="1:26" ht="12.75" customHeight="1">
      <c r="A378" s="56"/>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spans="1:26" ht="12.75" customHeight="1">
      <c r="A379" s="56"/>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spans="1:26" ht="12.75" customHeight="1">
      <c r="A380" s="56"/>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spans="1:26" ht="12.75" customHeight="1">
      <c r="A381" s="56"/>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spans="1:26" ht="12.75" customHeight="1">
      <c r="A382" s="56"/>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spans="1:26" ht="12.75" customHeight="1">
      <c r="A383" s="56"/>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spans="1:26" ht="12.75" customHeight="1">
      <c r="A384" s="56"/>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spans="1:26" ht="12.75" customHeight="1">
      <c r="A385" s="56"/>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spans="1:26" ht="12.75" customHeight="1">
      <c r="A386" s="56"/>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spans="1:26" ht="12.75" customHeight="1">
      <c r="A387" s="56"/>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spans="1:26" ht="12.75" customHeight="1">
      <c r="A388" s="56"/>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spans="1:26" ht="12.75" customHeight="1">
      <c r="A389" s="56"/>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spans="1:26" ht="12.75" customHeight="1">
      <c r="A390" s="56"/>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spans="1:26" ht="12.75" customHeight="1">
      <c r="A391" s="56"/>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spans="1:26" ht="12.75" customHeight="1">
      <c r="A392" s="56"/>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spans="1:26" ht="12.75" customHeight="1">
      <c r="A393" s="56"/>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spans="1:26" ht="12.75" customHeight="1">
      <c r="A394" s="56"/>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spans="1:26" ht="12.75" customHeight="1">
      <c r="A395" s="56"/>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spans="1:26" ht="12.75" customHeight="1">
      <c r="A396" s="56"/>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spans="1:26" ht="12.75" customHeight="1">
      <c r="A397" s="56"/>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spans="1:26" ht="12.75" customHeight="1">
      <c r="A398" s="56"/>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spans="1:26" ht="12.75" customHeight="1">
      <c r="A399" s="56"/>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spans="1:26" ht="12.75" customHeight="1">
      <c r="A400" s="56"/>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spans="1:26" ht="12.75" customHeight="1">
      <c r="A401" s="56"/>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spans="1:26" ht="12.75" customHeight="1">
      <c r="A402" s="56"/>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spans="1:26" ht="12.75" customHeight="1">
      <c r="A403" s="56"/>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spans="1:26" ht="12.75" customHeight="1">
      <c r="A404" s="56"/>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spans="1:26" ht="12.75" customHeight="1">
      <c r="A405" s="56"/>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spans="1:26" ht="12.75" customHeight="1">
      <c r="A406" s="56"/>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spans="1:26" ht="12.75" customHeight="1">
      <c r="A407" s="56"/>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spans="1:26" ht="12.75" customHeight="1">
      <c r="A408" s="56"/>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spans="1:26" ht="12.75" customHeight="1">
      <c r="A409" s="56"/>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spans="1:26" ht="12.75" customHeight="1">
      <c r="A410" s="56"/>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spans="1:26" ht="12.75" customHeight="1">
      <c r="A411" s="56"/>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spans="1:26" ht="12.75" customHeight="1">
      <c r="A412" s="56"/>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spans="1:26" ht="12.75" customHeight="1">
      <c r="A413" s="56"/>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spans="1:26" ht="12.75" customHeight="1">
      <c r="A414" s="56"/>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spans="1:26" ht="12.75" customHeight="1">
      <c r="A415" s="56"/>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spans="1:26" ht="12.75" customHeight="1">
      <c r="A416" s="56"/>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spans="1:26" ht="12.75" customHeight="1">
      <c r="A417" s="56"/>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spans="1:26" ht="12.75" customHeight="1">
      <c r="A418" s="56"/>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spans="1:26" ht="12.75" customHeight="1">
      <c r="A419" s="56"/>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spans="1:26" ht="12.75" customHeight="1">
      <c r="A420" s="56"/>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spans="1:26" ht="12.75" customHeight="1">
      <c r="A421" s="56"/>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spans="1:26" ht="12.75" customHeight="1">
      <c r="A422" s="56"/>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spans="1:26" ht="12.75" customHeight="1">
      <c r="A423" s="56"/>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spans="1:26" ht="12.75" customHeight="1">
      <c r="A424" s="56"/>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spans="1:26" ht="12.75" customHeight="1">
      <c r="A425" s="56"/>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spans="1:26" ht="12.75" customHeight="1">
      <c r="A426" s="56"/>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spans="1:26" ht="12.75" customHeight="1">
      <c r="A427" s="56"/>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spans="1:26" ht="12.75" customHeight="1">
      <c r="A428" s="56"/>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spans="1:26" ht="12.75" customHeight="1">
      <c r="A429" s="56"/>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spans="1:26" ht="12.75" customHeight="1">
      <c r="A430" s="56"/>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spans="1:26" ht="12.75" customHeight="1">
      <c r="A431" s="56"/>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spans="1:26" ht="12.75" customHeight="1">
      <c r="A432" s="56"/>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spans="1:26" ht="12.75" customHeight="1">
      <c r="A433" s="56"/>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spans="1:26" ht="12.75" customHeight="1">
      <c r="A434" s="56"/>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spans="1:26" ht="12.75" customHeight="1">
      <c r="A435" s="56"/>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spans="1:26" ht="12.75" customHeight="1">
      <c r="A436" s="56"/>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spans="1:26" ht="12.75" customHeight="1">
      <c r="A437" s="56"/>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spans="1:26" ht="12.75" customHeight="1">
      <c r="A438" s="56"/>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spans="1:26" ht="12.75" customHeight="1">
      <c r="A439" s="56"/>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spans="1:26" ht="12.75" customHeight="1">
      <c r="A440" s="56"/>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spans="1:26" ht="12.75" customHeight="1">
      <c r="A441" s="56"/>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spans="1:26" ht="12.75" customHeight="1">
      <c r="A442" s="56"/>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spans="1:26" ht="12.75" customHeight="1">
      <c r="A443" s="56"/>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spans="1:26" ht="12.75" customHeight="1">
      <c r="A444" s="56"/>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spans="1:26" ht="12.75" customHeight="1">
      <c r="A445" s="56"/>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spans="1:26" ht="12.75" customHeight="1">
      <c r="A446" s="56"/>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spans="1:26" ht="12.75" customHeight="1">
      <c r="A447" s="56"/>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spans="1:26" ht="12.75" customHeight="1">
      <c r="A448" s="56"/>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spans="1:26" ht="12.75" customHeight="1">
      <c r="A449" s="56"/>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spans="1:26" ht="12.75" customHeight="1">
      <c r="A450" s="56"/>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spans="1:26" ht="12.75" customHeight="1">
      <c r="A451" s="56"/>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spans="1:26" ht="12.75" customHeight="1">
      <c r="A452" s="56"/>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spans="1:26" ht="12.75" customHeight="1">
      <c r="A453" s="56"/>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spans="1:26" ht="12.75" customHeight="1">
      <c r="A454" s="56"/>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spans="1:26" ht="12.75" customHeight="1">
      <c r="A455" s="56"/>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spans="1:26" ht="12.75" customHeight="1">
      <c r="A456" s="56"/>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spans="1:26" ht="12.75" customHeight="1">
      <c r="A457" s="56"/>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spans="1:26" ht="12.75" customHeight="1">
      <c r="A458" s="56"/>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spans="1:26" ht="12.75" customHeight="1">
      <c r="A459" s="56"/>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spans="1:26" ht="12.75" customHeight="1">
      <c r="A460" s="56"/>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spans="1:26" ht="12.75" customHeight="1">
      <c r="A461" s="56"/>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spans="1:26" ht="12.75" customHeight="1">
      <c r="A462" s="56"/>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spans="1:26" ht="12.75" customHeight="1">
      <c r="A463" s="56"/>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spans="1:26" ht="12.75" customHeight="1">
      <c r="A464" s="56"/>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spans="1:26" ht="12.75" customHeight="1">
      <c r="A465" s="56"/>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spans="1:26" ht="12.75" customHeight="1">
      <c r="A466" s="56"/>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spans="1:26" ht="12.75" customHeight="1">
      <c r="A467" s="56"/>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spans="1:26" ht="12.75" customHeight="1">
      <c r="A468" s="56"/>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spans="1:26" ht="12.75" customHeight="1">
      <c r="A469" s="56"/>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spans="1:26" ht="12.75" customHeight="1">
      <c r="A470" s="56"/>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spans="1:26" ht="12.75" customHeight="1">
      <c r="A471" s="56"/>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spans="1:26" ht="12.75" customHeight="1">
      <c r="A472" s="56"/>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spans="1:26" ht="12.75" customHeight="1">
      <c r="A473" s="56"/>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spans="1:26" ht="12.75" customHeight="1">
      <c r="A474" s="56"/>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spans="1:26" ht="12.75" customHeight="1">
      <c r="A475" s="56"/>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spans="1:26" ht="12.75" customHeight="1">
      <c r="A476" s="56"/>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spans="1:26" ht="12.75" customHeight="1">
      <c r="A477" s="56"/>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spans="1:26" ht="12.75" customHeight="1">
      <c r="A478" s="56"/>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spans="1:26" ht="12.75" customHeight="1">
      <c r="A479" s="56"/>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spans="1:26" ht="12.75" customHeight="1">
      <c r="A480" s="56"/>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spans="1:26" ht="12.75" customHeight="1">
      <c r="A481" s="56"/>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spans="1:26" ht="12.75" customHeight="1">
      <c r="A482" s="56"/>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spans="1:26" ht="12.75" customHeight="1">
      <c r="A483" s="56"/>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spans="1:26" ht="12.75" customHeight="1">
      <c r="A484" s="56"/>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spans="1:26" ht="12.75" customHeight="1">
      <c r="A485" s="56"/>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spans="1:26" ht="12.75" customHeight="1">
      <c r="A486" s="56"/>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spans="1:26" ht="12.75" customHeight="1">
      <c r="A487" s="56"/>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spans="1:26" ht="12.75" customHeight="1">
      <c r="A488" s="56"/>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spans="1:26" ht="12.75" customHeight="1">
      <c r="A489" s="56"/>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spans="1:26" ht="12.75" customHeight="1">
      <c r="A490" s="56"/>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spans="1:26" ht="12.75" customHeight="1">
      <c r="A491" s="56"/>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spans="1:26" ht="12.75" customHeight="1">
      <c r="A492" s="56"/>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spans="1:26" ht="12.75" customHeight="1">
      <c r="A493" s="56"/>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spans="1:26" ht="12.75" customHeight="1">
      <c r="A494" s="56"/>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spans="1:26" ht="12.75" customHeight="1">
      <c r="A495" s="56"/>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spans="1:26" ht="12.75" customHeight="1">
      <c r="A496" s="56"/>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spans="1:26" ht="12.75" customHeight="1">
      <c r="A497" s="56"/>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spans="1:26" ht="12.75" customHeight="1">
      <c r="A498" s="56"/>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spans="1:26" ht="12.75" customHeight="1">
      <c r="A499" s="56"/>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spans="1:26" ht="12.75" customHeight="1">
      <c r="A500" s="56"/>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spans="1:26" ht="12.75" customHeight="1">
      <c r="A501" s="56"/>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spans="1:26" ht="12.75" customHeight="1">
      <c r="A502" s="56"/>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spans="1:26" ht="12.75" customHeight="1">
      <c r="A503" s="56"/>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spans="1:26" ht="12.75" customHeight="1">
      <c r="A504" s="56"/>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spans="1:26" ht="12.75" customHeight="1">
      <c r="A505" s="56"/>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spans="1:26" ht="12.75" customHeight="1">
      <c r="A506" s="56"/>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spans="1:26" ht="12.75" customHeight="1">
      <c r="A507" s="56"/>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spans="1:26" ht="12.75" customHeight="1">
      <c r="A508" s="56"/>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spans="1:26" ht="12.75" customHeight="1">
      <c r="A509" s="56"/>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spans="1:26" ht="12.75" customHeight="1">
      <c r="A510" s="56"/>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spans="1:26" ht="12.75" customHeight="1">
      <c r="A511" s="56"/>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spans="1:26" ht="12.75" customHeight="1">
      <c r="A512" s="56"/>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spans="1:26" ht="12.75" customHeight="1">
      <c r="A513" s="56"/>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spans="1:26" ht="12.75" customHeight="1">
      <c r="A514" s="56"/>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spans="1:26" ht="12.75" customHeight="1">
      <c r="A515" s="56"/>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spans="1:26" ht="12.75" customHeight="1">
      <c r="A516" s="56"/>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spans="1:26" ht="12.75" customHeight="1">
      <c r="A517" s="56"/>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spans="1:26" ht="12.75" customHeight="1">
      <c r="A518" s="56"/>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spans="1:26" ht="12.75" customHeight="1">
      <c r="A519" s="56"/>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spans="1:26" ht="12.75" customHeight="1">
      <c r="A520" s="56"/>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spans="1:26" ht="12.75" customHeight="1">
      <c r="A521" s="56"/>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spans="1:26" ht="12.75" customHeight="1">
      <c r="A522" s="56"/>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spans="1:26" ht="12.75" customHeight="1">
      <c r="A523" s="56"/>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spans="1:26" ht="12.75" customHeight="1">
      <c r="A524" s="56"/>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spans="1:26" ht="12.75" customHeight="1">
      <c r="A525" s="56"/>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spans="1:26" ht="12.75" customHeight="1">
      <c r="A526" s="56"/>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spans="1:26" ht="12.75" customHeight="1">
      <c r="A527" s="56"/>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spans="1:26" ht="12.75" customHeight="1">
      <c r="A528" s="56"/>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spans="1:26" ht="12.75" customHeight="1">
      <c r="A529" s="56"/>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spans="1:26" ht="12.75" customHeight="1">
      <c r="A530" s="56"/>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spans="1:26" ht="12.75" customHeight="1">
      <c r="A531" s="56"/>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spans="1:26" ht="12.75" customHeight="1">
      <c r="A532" s="56"/>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spans="1:26" ht="12.75" customHeight="1">
      <c r="A533" s="56"/>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spans="1:26" ht="12.75" customHeight="1">
      <c r="A534" s="56"/>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spans="1:26" ht="12.75" customHeight="1">
      <c r="A535" s="56"/>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spans="1:26" ht="12.75" customHeight="1">
      <c r="A536" s="56"/>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spans="1:26" ht="12.75" customHeight="1">
      <c r="A537" s="56"/>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spans="1:26" ht="12.75" customHeight="1">
      <c r="A538" s="56"/>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spans="1:26" ht="12.75" customHeight="1">
      <c r="A539" s="56"/>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spans="1:26" ht="12.75" customHeight="1">
      <c r="A540" s="56"/>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spans="1:26" ht="12.75" customHeight="1">
      <c r="A541" s="56"/>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spans="1:26" ht="12.75" customHeight="1">
      <c r="A542" s="56"/>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spans="1:26" ht="12.75" customHeight="1">
      <c r="A543" s="56"/>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spans="1:26" ht="12.75" customHeight="1">
      <c r="A544" s="56"/>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spans="1:26" ht="12.75" customHeight="1">
      <c r="A545" s="56"/>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spans="1:26" ht="12.75" customHeight="1">
      <c r="A546" s="56"/>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spans="1:26" ht="12.75" customHeight="1">
      <c r="A547" s="56"/>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spans="1:26" ht="12.75" customHeight="1">
      <c r="A548" s="56"/>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spans="1:26" ht="12.75" customHeight="1">
      <c r="A549" s="56"/>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spans="1:26" ht="12.75" customHeight="1">
      <c r="A550" s="56"/>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spans="1:26" ht="12.75" customHeight="1">
      <c r="A551" s="56"/>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spans="1:26" ht="12.75" customHeight="1">
      <c r="A552" s="56"/>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spans="1:26" ht="12.75" customHeight="1">
      <c r="A553" s="56"/>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spans="1:26" ht="12.75" customHeight="1">
      <c r="A554" s="56"/>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spans="1:26" ht="12.75" customHeight="1">
      <c r="A555" s="56"/>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spans="1:26" ht="12.75" customHeight="1">
      <c r="A556" s="56"/>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spans="1:26" ht="12.75" customHeight="1">
      <c r="A557" s="56"/>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spans="1:26" ht="12.75" customHeight="1">
      <c r="A558" s="56"/>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spans="1:26" ht="12.75" customHeight="1">
      <c r="A559" s="56"/>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spans="1:26" ht="12.75" customHeight="1">
      <c r="A560" s="56"/>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spans="1:26" ht="12.75" customHeight="1">
      <c r="A561" s="56"/>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spans="1:26" ht="12.75" customHeight="1">
      <c r="A562" s="56"/>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spans="1:26" ht="12.75" customHeight="1">
      <c r="A563" s="56"/>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spans="1:26" ht="12.75" customHeight="1">
      <c r="A564" s="56"/>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spans="1:26" ht="12.75" customHeight="1">
      <c r="A565" s="56"/>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spans="1:26" ht="12.75" customHeight="1">
      <c r="A566" s="56"/>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spans="1:26" ht="12.75" customHeight="1">
      <c r="A567" s="56"/>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spans="1:26" ht="12.75" customHeight="1">
      <c r="A568" s="56"/>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spans="1:26" ht="12.75" customHeight="1">
      <c r="A569" s="56"/>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spans="1:26" ht="12.75" customHeight="1">
      <c r="A570" s="56"/>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spans="1:26" ht="12.75" customHeight="1">
      <c r="A571" s="56"/>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spans="1:26" ht="12.75" customHeight="1">
      <c r="A572" s="56"/>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spans="1:26" ht="12.75" customHeight="1">
      <c r="A573" s="56"/>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spans="1:26" ht="12.75" customHeight="1">
      <c r="A574" s="56"/>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spans="1:26" ht="12.75" customHeight="1">
      <c r="A575" s="56"/>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spans="1:26" ht="12.75" customHeight="1">
      <c r="A576" s="56"/>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spans="1:26" ht="12.75" customHeight="1">
      <c r="A577" s="56"/>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spans="1:26" ht="12.75" customHeight="1">
      <c r="A578" s="56"/>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spans="1:26" ht="12.75" customHeight="1">
      <c r="A579" s="56"/>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spans="1:26" ht="12.75" customHeight="1">
      <c r="A580" s="56"/>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spans="1:26" ht="12.75" customHeight="1">
      <c r="A581" s="56"/>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spans="1:26" ht="12.75" customHeight="1">
      <c r="A582" s="56"/>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spans="1:26" ht="12.75" customHeight="1">
      <c r="A583" s="56"/>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spans="1:26" ht="12.75" customHeight="1">
      <c r="A584" s="56"/>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spans="1:26" ht="12.75" customHeight="1">
      <c r="A585" s="56"/>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spans="1:26" ht="12.75" customHeight="1">
      <c r="A586" s="56"/>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spans="1:26" ht="12.75" customHeight="1">
      <c r="A587" s="56"/>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spans="1:26" ht="12.75" customHeight="1">
      <c r="A588" s="56"/>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spans="1:26" ht="12.75" customHeight="1">
      <c r="A589" s="56"/>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spans="1:26" ht="12.75" customHeight="1">
      <c r="A590" s="56"/>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spans="1:26" ht="12.75" customHeight="1">
      <c r="A591" s="56"/>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spans="1:26" ht="12.75" customHeight="1">
      <c r="A592" s="56"/>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spans="1:26" ht="12.75" customHeight="1">
      <c r="A593" s="56"/>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spans="1:26" ht="12.75" customHeight="1">
      <c r="A594" s="56"/>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spans="1:26" ht="12.75" customHeight="1">
      <c r="A595" s="56"/>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spans="1:26" ht="12.75" customHeight="1">
      <c r="A596" s="56"/>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spans="1:26" ht="12.75" customHeight="1">
      <c r="A597" s="56"/>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spans="1:26" ht="12.75" customHeight="1">
      <c r="A598" s="56"/>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spans="1:26" ht="12.75" customHeight="1">
      <c r="A599" s="56"/>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spans="1:26" ht="12.75" customHeight="1">
      <c r="A600" s="56"/>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spans="1:26" ht="12.75" customHeight="1">
      <c r="A601" s="56"/>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spans="1:26" ht="12.75" customHeight="1">
      <c r="A602" s="56"/>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spans="1:26" ht="12.75" customHeight="1">
      <c r="A603" s="56"/>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spans="1:26" ht="12.75" customHeight="1">
      <c r="A604" s="56"/>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spans="1:26" ht="12.75" customHeight="1">
      <c r="A605" s="56"/>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spans="1:26" ht="12.75" customHeight="1">
      <c r="A606" s="56"/>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spans="1:26" ht="12.75" customHeight="1">
      <c r="A607" s="56"/>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spans="1:26" ht="12.75" customHeight="1">
      <c r="A608" s="56"/>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spans="1:26" ht="12.75" customHeight="1">
      <c r="A609" s="56"/>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spans="1:26" ht="12.75" customHeight="1">
      <c r="A610" s="56"/>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spans="1:26" ht="12.75" customHeight="1">
      <c r="A611" s="56"/>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spans="1:26" ht="12.75" customHeight="1">
      <c r="A612" s="56"/>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spans="1:26" ht="12.75" customHeight="1">
      <c r="A613" s="56"/>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spans="1:26" ht="12.75" customHeight="1">
      <c r="A614" s="56"/>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spans="1:26" ht="12.75" customHeight="1">
      <c r="A615" s="56"/>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spans="1:26" ht="12.75" customHeight="1">
      <c r="A616" s="56"/>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spans="1:26" ht="12.75" customHeight="1">
      <c r="A617" s="56"/>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spans="1:26" ht="12.75" customHeight="1">
      <c r="A618" s="56"/>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spans="1:26" ht="12.75" customHeight="1">
      <c r="A619" s="56"/>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spans="1:26" ht="12.75" customHeight="1">
      <c r="A620" s="56"/>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spans="1:26" ht="12.75" customHeight="1">
      <c r="A621" s="56"/>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spans="1:26" ht="12.75" customHeight="1">
      <c r="A622" s="56"/>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spans="1:26" ht="12.75" customHeight="1">
      <c r="A623" s="56"/>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spans="1:26" ht="12.75" customHeight="1">
      <c r="A624" s="56"/>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spans="1:26" ht="12.75" customHeight="1">
      <c r="A625" s="56"/>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spans="1:26" ht="12.75" customHeight="1">
      <c r="A626" s="56"/>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spans="1:26" ht="12.75" customHeight="1">
      <c r="A627" s="56"/>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spans="1:26" ht="12.75" customHeight="1">
      <c r="A628" s="56"/>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spans="1:26" ht="12.75" customHeight="1">
      <c r="A629" s="56"/>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spans="1:26" ht="12.75" customHeight="1">
      <c r="A630" s="56"/>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spans="1:26" ht="12.75" customHeight="1">
      <c r="A631" s="56"/>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spans="1:26" ht="12.75" customHeight="1">
      <c r="A632" s="56"/>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spans="1:26" ht="12.75" customHeight="1">
      <c r="A633" s="56"/>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spans="1:26" ht="12.75" customHeight="1">
      <c r="A634" s="56"/>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spans="1:26" ht="12.75" customHeight="1">
      <c r="A635" s="56"/>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spans="1:26" ht="12.75" customHeight="1">
      <c r="A636" s="56"/>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spans="1:26" ht="12.75" customHeight="1">
      <c r="A637" s="56"/>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spans="1:26" ht="12.75" customHeight="1">
      <c r="A638" s="56"/>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spans="1:26" ht="12.75" customHeight="1">
      <c r="A639" s="56"/>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spans="1:26" ht="12.75" customHeight="1">
      <c r="A640" s="56"/>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spans="1:26" ht="12.75" customHeight="1">
      <c r="A641" s="56"/>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spans="1:26" ht="12.75" customHeight="1">
      <c r="A642" s="56"/>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spans="1:26" ht="12.75" customHeight="1">
      <c r="A643" s="56"/>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spans="1:26" ht="12.75" customHeight="1">
      <c r="A644" s="56"/>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spans="1:26" ht="12.75" customHeight="1">
      <c r="A645" s="56"/>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spans="1:26" ht="12.75" customHeight="1">
      <c r="A646" s="56"/>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spans="1:26" ht="12.75" customHeight="1">
      <c r="A647" s="56"/>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spans="1:26" ht="12.75" customHeight="1">
      <c r="A648" s="56"/>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spans="1:26" ht="12.75" customHeight="1">
      <c r="A649" s="56"/>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spans="1:26" ht="12.75" customHeight="1">
      <c r="A650" s="56"/>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spans="1:26" ht="12.75" customHeight="1">
      <c r="A651" s="56"/>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spans="1:26" ht="12.75" customHeight="1">
      <c r="A652" s="56"/>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spans="1:26" ht="12.75" customHeight="1">
      <c r="A653" s="56"/>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spans="1:26" ht="12.75" customHeight="1">
      <c r="A654" s="56"/>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spans="1:26" ht="12.75" customHeight="1">
      <c r="A655" s="56"/>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spans="1:26" ht="12.75" customHeight="1">
      <c r="A656" s="56"/>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spans="1:26" ht="12.75" customHeight="1">
      <c r="A657" s="56"/>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spans="1:26" ht="12.75" customHeight="1">
      <c r="A658" s="56"/>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spans="1:26" ht="12.75" customHeight="1">
      <c r="A659" s="56"/>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spans="1:26" ht="12.75" customHeight="1">
      <c r="A660" s="56"/>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spans="1:26" ht="12.75" customHeight="1">
      <c r="A661" s="56"/>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spans="1:26" ht="12.75" customHeight="1">
      <c r="A662" s="56"/>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spans="1:26" ht="12.75" customHeight="1">
      <c r="A663" s="56"/>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spans="1:26" ht="12.75" customHeight="1">
      <c r="A664" s="56"/>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spans="1:26" ht="12.75" customHeight="1">
      <c r="A665" s="56"/>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spans="1:26" ht="12.75" customHeight="1">
      <c r="A666" s="56"/>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spans="1:26" ht="12.75" customHeight="1">
      <c r="A667" s="56"/>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spans="1:26" ht="12.75" customHeight="1">
      <c r="A668" s="56"/>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spans="1:26" ht="12.75" customHeight="1">
      <c r="A669" s="56"/>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spans="1:26" ht="12.75" customHeight="1">
      <c r="A670" s="56"/>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spans="1:26" ht="12.75" customHeight="1">
      <c r="A671" s="56"/>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spans="1:26" ht="12.75" customHeight="1">
      <c r="A672" s="56"/>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spans="1:26" ht="12.75" customHeight="1">
      <c r="A673" s="56"/>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spans="1:26" ht="12.75" customHeight="1">
      <c r="A674" s="56"/>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spans="1:26" ht="12.75" customHeight="1">
      <c r="A675" s="56"/>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spans="1:26" ht="12.75" customHeight="1">
      <c r="A676" s="56"/>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spans="1:26" ht="12.75" customHeight="1">
      <c r="A677" s="56"/>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spans="1:26" ht="12.75" customHeight="1">
      <c r="A678" s="56"/>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spans="1:26" ht="12.75" customHeight="1">
      <c r="A679" s="56"/>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spans="1:26" ht="12.75" customHeight="1">
      <c r="A680" s="56"/>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spans="1:26" ht="12.75" customHeight="1">
      <c r="A681" s="56"/>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spans="1:26" ht="12.75" customHeight="1">
      <c r="A682" s="56"/>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spans="1:26" ht="12.75" customHeight="1">
      <c r="A683" s="56"/>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spans="1:26" ht="12.75" customHeight="1">
      <c r="A684" s="56"/>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spans="1:26" ht="12.75" customHeight="1">
      <c r="A685" s="56"/>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spans="1:26" ht="12.75" customHeight="1">
      <c r="A686" s="56"/>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spans="1:26" ht="12.75" customHeight="1">
      <c r="A687" s="56"/>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spans="1:26" ht="12.75" customHeight="1">
      <c r="A688" s="56"/>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spans="1:26" ht="12.75" customHeight="1">
      <c r="A689" s="56"/>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spans="1:26" ht="12.75" customHeight="1">
      <c r="A690" s="56"/>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spans="1:26" ht="12.75" customHeight="1">
      <c r="A691" s="56"/>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spans="1:26" ht="12.75" customHeight="1">
      <c r="A692" s="56"/>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spans="1:26" ht="12.75" customHeight="1">
      <c r="A693" s="56"/>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spans="1:26" ht="12.75" customHeight="1">
      <c r="A694" s="56"/>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spans="1:26" ht="12.75" customHeight="1">
      <c r="A695" s="56"/>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spans="1:26" ht="12.75" customHeight="1">
      <c r="A696" s="56"/>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spans="1:26" ht="12.75" customHeight="1">
      <c r="A697" s="56"/>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spans="1:26" ht="12.75" customHeight="1">
      <c r="A698" s="56"/>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spans="1:26" ht="12.75" customHeight="1">
      <c r="A699" s="56"/>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spans="1:26" ht="12.75" customHeight="1">
      <c r="A700" s="56"/>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spans="1:26" ht="12.75" customHeight="1">
      <c r="A701" s="56"/>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spans="1:26" ht="12.75" customHeight="1">
      <c r="A702" s="56"/>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spans="1:26" ht="12.75" customHeight="1">
      <c r="A703" s="56"/>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spans="1:26" ht="12.75" customHeight="1">
      <c r="A704" s="56"/>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spans="1:26" ht="12.75" customHeight="1">
      <c r="A705" s="56"/>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spans="1:26" ht="12.75" customHeight="1">
      <c r="A706" s="56"/>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spans="1:26" ht="12.75" customHeight="1">
      <c r="A707" s="56"/>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spans="1:26" ht="12.75" customHeight="1">
      <c r="A708" s="56"/>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spans="1:26" ht="12.75" customHeight="1">
      <c r="A709" s="56"/>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spans="1:26" ht="12.75" customHeight="1">
      <c r="A710" s="56"/>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spans="1:26" ht="12.75" customHeight="1">
      <c r="A711" s="56"/>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spans="1:26" ht="12.75" customHeight="1">
      <c r="A712" s="56"/>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spans="1:26" ht="12.75" customHeight="1">
      <c r="A713" s="56"/>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spans="1:26" ht="12.75" customHeight="1">
      <c r="A714" s="56"/>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spans="1:26" ht="12.75" customHeight="1">
      <c r="A715" s="56"/>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spans="1:26" ht="12.75" customHeight="1">
      <c r="A716" s="56"/>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spans="1:26" ht="12.75" customHeight="1">
      <c r="A717" s="56"/>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spans="1:26" ht="12.75" customHeight="1">
      <c r="A718" s="56"/>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spans="1:26" ht="12.75" customHeight="1">
      <c r="A719" s="56"/>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spans="1:26" ht="12.75" customHeight="1">
      <c r="A720" s="56"/>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spans="1:26" ht="12.75" customHeight="1">
      <c r="A721" s="56"/>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spans="1:26" ht="12.75" customHeight="1">
      <c r="A722" s="56"/>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spans="1:26" ht="12.75" customHeight="1">
      <c r="A723" s="56"/>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spans="1:26" ht="12.75" customHeight="1">
      <c r="A724" s="56"/>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spans="1:26" ht="12.75" customHeight="1">
      <c r="A725" s="56"/>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spans="1:26" ht="12.75" customHeight="1">
      <c r="A726" s="56"/>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spans="1:26" ht="12.75" customHeight="1">
      <c r="A727" s="56"/>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spans="1:26" ht="12.75" customHeight="1">
      <c r="A728" s="56"/>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spans="1:26" ht="12.75" customHeight="1">
      <c r="A729" s="56"/>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spans="1:26" ht="12.75" customHeight="1">
      <c r="A730" s="56"/>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spans="1:26" ht="12.75" customHeight="1">
      <c r="A731" s="56"/>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spans="1:26" ht="12.75" customHeight="1">
      <c r="A732" s="56"/>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spans="1:26" ht="12.75" customHeight="1">
      <c r="A733" s="56"/>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spans="1:26" ht="12.75" customHeight="1">
      <c r="A734" s="56"/>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spans="1:26" ht="12.75" customHeight="1">
      <c r="A735" s="56"/>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spans="1:26" ht="12.75" customHeight="1">
      <c r="A736" s="56"/>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spans="1:26" ht="12.75" customHeight="1">
      <c r="A737" s="56"/>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spans="1:26" ht="12.75" customHeight="1">
      <c r="A738" s="56"/>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spans="1:26" ht="12.75" customHeight="1">
      <c r="A739" s="56"/>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spans="1:26" ht="12.75" customHeight="1">
      <c r="A740" s="56"/>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spans="1:26" ht="12.75" customHeight="1">
      <c r="A741" s="56"/>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spans="1:26" ht="12.75" customHeight="1">
      <c r="A742" s="56"/>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spans="1:26" ht="12.75" customHeight="1">
      <c r="A743" s="56"/>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spans="1:26" ht="12.75" customHeight="1">
      <c r="A744" s="56"/>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spans="1:26" ht="12.75" customHeight="1">
      <c r="A745" s="56"/>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spans="1:26" ht="12.75" customHeight="1">
      <c r="A746" s="56"/>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spans="1:26" ht="12.75" customHeight="1">
      <c r="A747" s="56"/>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spans="1:26" ht="12.75" customHeight="1">
      <c r="A748" s="56"/>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spans="1:26" ht="12.75" customHeight="1">
      <c r="A749" s="56"/>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spans="1:26" ht="12.75" customHeight="1">
      <c r="A750" s="56"/>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spans="1:26" ht="12.75" customHeight="1">
      <c r="A751" s="56"/>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spans="1:26" ht="12.75" customHeight="1">
      <c r="A752" s="56"/>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spans="1:26" ht="12.75" customHeight="1">
      <c r="A753" s="56"/>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spans="1:26" ht="12.75" customHeight="1">
      <c r="A754" s="56"/>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spans="1:26" ht="12.75" customHeight="1">
      <c r="A755" s="56"/>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spans="1:26" ht="12.75" customHeight="1">
      <c r="A756" s="56"/>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spans="1:26" ht="12.75" customHeight="1">
      <c r="A757" s="56"/>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spans="1:26" ht="12.75" customHeight="1">
      <c r="A758" s="56"/>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spans="1:26" ht="12.75" customHeight="1">
      <c r="A759" s="56"/>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spans="1:26" ht="12.75" customHeight="1">
      <c r="A760" s="56"/>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spans="1:26" ht="12.75" customHeight="1">
      <c r="A761" s="56"/>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spans="1:26" ht="12.75" customHeight="1">
      <c r="A762" s="56"/>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spans="1:26" ht="12.75" customHeight="1">
      <c r="A763" s="56"/>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spans="1:26" ht="12.75" customHeight="1">
      <c r="A764" s="56"/>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spans="1:26" ht="12.75" customHeight="1">
      <c r="A765" s="56"/>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spans="1:26" ht="12.75" customHeight="1">
      <c r="A766" s="56"/>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spans="1:26" ht="12.75" customHeight="1">
      <c r="A767" s="56"/>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spans="1:26" ht="12.75" customHeight="1">
      <c r="A768" s="56"/>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spans="1:26" ht="12.75" customHeight="1">
      <c r="A769" s="56"/>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spans="1:26" ht="12.75" customHeight="1">
      <c r="A770" s="56"/>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spans="1:26" ht="12.75" customHeight="1">
      <c r="A771" s="56"/>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spans="1:26" ht="12.75" customHeight="1">
      <c r="A772" s="56"/>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spans="1:26" ht="12.75" customHeight="1">
      <c r="A773" s="56"/>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spans="1:26" ht="12.75" customHeight="1">
      <c r="A774" s="56"/>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spans="1:26" ht="12.75" customHeight="1">
      <c r="A775" s="56"/>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spans="1:26" ht="12.75" customHeight="1">
      <c r="A776" s="56"/>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spans="1:26" ht="12.75" customHeight="1">
      <c r="A777" s="56"/>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spans="1:26" ht="12.75" customHeight="1">
      <c r="A778" s="56"/>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spans="1:26" ht="12.75" customHeight="1">
      <c r="A779" s="56"/>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spans="1:26" ht="12.75" customHeight="1">
      <c r="A780" s="56"/>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spans="1:26" ht="12.75" customHeight="1">
      <c r="A781" s="56"/>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spans="1:26" ht="12.75" customHeight="1">
      <c r="A782" s="56"/>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spans="1:26" ht="12.75" customHeight="1">
      <c r="A783" s="56"/>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spans="1:26" ht="12.75" customHeight="1">
      <c r="A784" s="56"/>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spans="1:26" ht="12.75" customHeight="1">
      <c r="A785" s="56"/>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spans="1:26" ht="12.75" customHeight="1">
      <c r="A786" s="56"/>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spans="1:26" ht="12.75" customHeight="1">
      <c r="A787" s="56"/>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spans="1:26" ht="12.75" customHeight="1">
      <c r="A788" s="56"/>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spans="1:26" ht="12.75" customHeight="1">
      <c r="A789" s="56"/>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spans="1:26" ht="12.75" customHeight="1">
      <c r="A790" s="56"/>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spans="1:26" ht="12.75" customHeight="1">
      <c r="A791" s="56"/>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spans="1:26" ht="12.75" customHeight="1">
      <c r="A792" s="56"/>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spans="1:26" ht="12.75" customHeight="1">
      <c r="A793" s="56"/>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spans="1:26" ht="12.75" customHeight="1">
      <c r="A794" s="56"/>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spans="1:26" ht="12.75" customHeight="1">
      <c r="A795" s="56"/>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spans="1:26" ht="12.75" customHeight="1">
      <c r="A796" s="56"/>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spans="1:26" ht="12.75" customHeight="1">
      <c r="A797" s="56"/>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spans="1:26" ht="12.75" customHeight="1">
      <c r="A798" s="56"/>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spans="1:26" ht="12.75" customHeight="1">
      <c r="A799" s="56"/>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spans="1:26" ht="12.75" customHeight="1">
      <c r="A800" s="56"/>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spans="1:26" ht="12.75" customHeight="1">
      <c r="A801" s="56"/>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spans="1:26" ht="12.75" customHeight="1">
      <c r="A802" s="56"/>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spans="1:26" ht="12.75" customHeight="1">
      <c r="A803" s="56"/>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spans="1:26" ht="12.75" customHeight="1">
      <c r="A804" s="56"/>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spans="1:26" ht="12.75" customHeight="1">
      <c r="A805" s="56"/>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spans="1:26" ht="12.75" customHeight="1">
      <c r="A806" s="56"/>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spans="1:26" ht="12.75" customHeight="1">
      <c r="A807" s="56"/>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spans="1:26" ht="12.75" customHeight="1">
      <c r="A808" s="56"/>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spans="1:26" ht="12.75" customHeight="1">
      <c r="A809" s="56"/>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spans="1:26" ht="12.75" customHeight="1">
      <c r="A810" s="56"/>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spans="1:26" ht="12.75" customHeight="1">
      <c r="A811" s="56"/>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spans="1:26" ht="12.75" customHeight="1">
      <c r="A812" s="56"/>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spans="1:26" ht="12.75" customHeight="1">
      <c r="A813" s="56"/>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spans="1:26" ht="12.75" customHeight="1">
      <c r="A814" s="56"/>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spans="1:26" ht="12.75" customHeight="1">
      <c r="A815" s="56"/>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spans="1:26" ht="12.75" customHeight="1">
      <c r="A816" s="56"/>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spans="1:26" ht="12.75" customHeight="1">
      <c r="A817" s="56"/>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spans="1:26" ht="12.75" customHeight="1">
      <c r="A818" s="56"/>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spans="1:26" ht="12.75" customHeight="1">
      <c r="A819" s="56"/>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spans="1:26" ht="12.75" customHeight="1">
      <c r="A820" s="56"/>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spans="1:26" ht="12.75" customHeight="1">
      <c r="A821" s="56"/>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spans="1:26" ht="12.75" customHeight="1">
      <c r="A822" s="56"/>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spans="1:26" ht="12.75" customHeight="1">
      <c r="A823" s="56"/>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spans="1:26" ht="12.75" customHeight="1">
      <c r="A824" s="56"/>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spans="1:26" ht="12.75" customHeight="1">
      <c r="A825" s="56"/>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spans="1:26" ht="12.75" customHeight="1">
      <c r="A826" s="56"/>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spans="1:26" ht="12.75" customHeight="1">
      <c r="A827" s="56"/>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spans="1:26" ht="12.75" customHeight="1">
      <c r="A828" s="56"/>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spans="1:26" ht="12.75" customHeight="1">
      <c r="A829" s="56"/>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spans="1:26" ht="12.75" customHeight="1">
      <c r="A830" s="56"/>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spans="1:26" ht="12.75" customHeight="1">
      <c r="A831" s="56"/>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spans="1:26" ht="12.75" customHeight="1">
      <c r="A832" s="56"/>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spans="1:26" ht="12.75" customHeight="1">
      <c r="A833" s="56"/>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spans="1:26" ht="12.75" customHeight="1">
      <c r="A834" s="56"/>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spans="1:26" ht="12.75" customHeight="1">
      <c r="A835" s="56"/>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spans="1:26" ht="12.75" customHeight="1">
      <c r="A836" s="56"/>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spans="1:26" ht="12.75" customHeight="1">
      <c r="A837" s="56"/>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spans="1:26" ht="12.75" customHeight="1">
      <c r="A838" s="56"/>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spans="1:26" ht="12.75" customHeight="1">
      <c r="A839" s="56"/>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spans="1:26" ht="12.75" customHeight="1">
      <c r="A840" s="56"/>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spans="1:26" ht="12.75" customHeight="1">
      <c r="A841" s="56"/>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spans="1:26" ht="12.75" customHeight="1">
      <c r="A842" s="56"/>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spans="1:26" ht="12.75" customHeight="1">
      <c r="A843" s="56"/>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spans="1:26" ht="12.75" customHeight="1">
      <c r="A844" s="56"/>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spans="1:26" ht="12.75" customHeight="1">
      <c r="A845" s="56"/>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spans="1:26" ht="12.75" customHeight="1">
      <c r="A846" s="56"/>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spans="1:26" ht="12.75" customHeight="1">
      <c r="A847" s="56"/>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spans="1:26" ht="12.75" customHeight="1">
      <c r="A848" s="56"/>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spans="1:26" ht="12.75" customHeight="1">
      <c r="A849" s="56"/>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spans="1:26" ht="12.75" customHeight="1">
      <c r="A850" s="56"/>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spans="1:26" ht="12.75" customHeight="1">
      <c r="A851" s="56"/>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spans="1:26" ht="12.75" customHeight="1">
      <c r="A852" s="56"/>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spans="1:26" ht="12.75" customHeight="1">
      <c r="A853" s="56"/>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spans="1:26" ht="12.75" customHeight="1">
      <c r="A854" s="56"/>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spans="1:26" ht="12.75" customHeight="1">
      <c r="A855" s="56"/>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spans="1:26" ht="12.75" customHeight="1">
      <c r="A856" s="56"/>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spans="1:26" ht="12.75" customHeight="1">
      <c r="A857" s="56"/>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spans="1:26" ht="12.75" customHeight="1">
      <c r="A858" s="56"/>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spans="1:26" ht="12.75" customHeight="1">
      <c r="A859" s="56"/>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spans="1:26" ht="12.75" customHeight="1">
      <c r="A860" s="56"/>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spans="1:26" ht="12.75" customHeight="1">
      <c r="A861" s="56"/>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spans="1:26" ht="12.75" customHeight="1">
      <c r="A862" s="56"/>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spans="1:26" ht="12.75" customHeight="1">
      <c r="A863" s="56"/>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spans="1:26" ht="12.75" customHeight="1">
      <c r="A864" s="56"/>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spans="1:26" ht="12.75" customHeight="1">
      <c r="A865" s="56"/>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spans="1:26" ht="12.75" customHeight="1">
      <c r="A866" s="56"/>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spans="1:26" ht="12.75" customHeight="1">
      <c r="A867" s="56"/>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spans="1:26" ht="12.75" customHeight="1">
      <c r="A868" s="56"/>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spans="1:26" ht="12.75" customHeight="1">
      <c r="A869" s="56"/>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spans="1:26" ht="12.75" customHeight="1">
      <c r="A870" s="56"/>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spans="1:26" ht="12.75" customHeight="1">
      <c r="A871" s="56"/>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spans="1:26" ht="12.75" customHeight="1">
      <c r="A872" s="56"/>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spans="1:26" ht="12.75" customHeight="1">
      <c r="A873" s="56"/>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spans="1:26" ht="12.75" customHeight="1">
      <c r="A874" s="56"/>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spans="1:26" ht="12.75" customHeight="1">
      <c r="A875" s="56"/>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spans="1:26" ht="12.75" customHeight="1">
      <c r="A876" s="56"/>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spans="1:26" ht="12.75" customHeight="1">
      <c r="A877" s="56"/>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spans="1:26" ht="12.75" customHeight="1">
      <c r="A878" s="56"/>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spans="1:26" ht="12.75" customHeight="1">
      <c r="A879" s="56"/>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spans="1:26" ht="12.75" customHeight="1">
      <c r="A880" s="56"/>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spans="1:26" ht="12.75" customHeight="1">
      <c r="A881" s="56"/>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spans="1:26" ht="12.75" customHeight="1">
      <c r="A882" s="56"/>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spans="1:26" ht="12.75" customHeight="1">
      <c r="A883" s="56"/>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spans="1:26" ht="12.75" customHeight="1">
      <c r="A884" s="56"/>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spans="1:26" ht="12.75" customHeight="1">
      <c r="A885" s="56"/>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spans="1:26" ht="12.75" customHeight="1">
      <c r="A886" s="56"/>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spans="1:26" ht="12.75" customHeight="1">
      <c r="A887" s="56"/>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spans="1:26" ht="12.75" customHeight="1">
      <c r="A888" s="56"/>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spans="1:26" ht="12.75" customHeight="1">
      <c r="A889" s="56"/>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spans="1:26" ht="12.75" customHeight="1">
      <c r="A890" s="56"/>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spans="1:26" ht="12.75" customHeight="1">
      <c r="A891" s="56"/>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spans="1:26" ht="12.75" customHeight="1">
      <c r="A892" s="56"/>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spans="1:26" ht="12.75" customHeight="1">
      <c r="A893" s="56"/>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spans="1:26" ht="12.75" customHeight="1">
      <c r="A894" s="56"/>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spans="1:26" ht="12.75" customHeight="1">
      <c r="A895" s="56"/>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spans="1:26" ht="12.75" customHeight="1">
      <c r="A896" s="56"/>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spans="1:26" ht="12.75" customHeight="1">
      <c r="A897" s="56"/>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spans="1:26" ht="12.75" customHeight="1">
      <c r="A898" s="56"/>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spans="1:26" ht="12.75" customHeight="1">
      <c r="A899" s="56"/>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spans="1:26" ht="12.75" customHeight="1">
      <c r="A900" s="56"/>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spans="1:26" ht="12.75" customHeight="1">
      <c r="A901" s="56"/>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spans="1:26" ht="12.75" customHeight="1">
      <c r="A902" s="56"/>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spans="1:26" ht="12.75" customHeight="1">
      <c r="A903" s="56"/>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spans="1:26" ht="12.75" customHeight="1">
      <c r="A904" s="56"/>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spans="1:26" ht="12.75" customHeight="1">
      <c r="A905" s="56"/>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spans="1:26" ht="12.75" customHeight="1">
      <c r="A906" s="56"/>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spans="1:26" ht="12.75" customHeight="1">
      <c r="A907" s="56"/>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spans="1:26" ht="12.75" customHeight="1">
      <c r="A908" s="56"/>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spans="1:26" ht="12.75" customHeight="1">
      <c r="A909" s="56"/>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spans="1:26" ht="12.75" customHeight="1">
      <c r="A910" s="56"/>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spans="1:26" ht="12.75" customHeight="1">
      <c r="A911" s="56"/>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spans="1:26" ht="12.75" customHeight="1">
      <c r="A912" s="56"/>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spans="1:26" ht="12.75" customHeight="1">
      <c r="A913" s="56"/>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spans="1:26" ht="12.75" customHeight="1">
      <c r="A914" s="56"/>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spans="1:26" ht="12.75" customHeight="1">
      <c r="A915" s="56"/>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spans="1:26" ht="12.75" customHeight="1">
      <c r="A916" s="56"/>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spans="1:26" ht="12.75" customHeight="1">
      <c r="A917" s="56"/>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spans="1:26" ht="12.75" customHeight="1">
      <c r="A918" s="56"/>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spans="1:26" ht="12.75" customHeight="1">
      <c r="A919" s="56"/>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spans="1:26" ht="12.75" customHeight="1">
      <c r="A920" s="56"/>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spans="1:26" ht="12.75" customHeight="1">
      <c r="A921" s="56"/>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spans="1:26" ht="12.75" customHeight="1">
      <c r="A922" s="56"/>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spans="1:26" ht="12.75" customHeight="1">
      <c r="A923" s="56"/>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spans="1:26" ht="12.75" customHeight="1">
      <c r="A924" s="56"/>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spans="1:26" ht="12.75" customHeight="1">
      <c r="A925" s="56"/>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spans="1:26" ht="12.75" customHeight="1">
      <c r="A926" s="56"/>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spans="1:26" ht="12.75" customHeight="1">
      <c r="A927" s="56"/>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spans="1:26" ht="12.75" customHeight="1">
      <c r="A928" s="56"/>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spans="1:26" ht="12.75" customHeight="1">
      <c r="A929" s="56"/>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spans="1:26" ht="12.75" customHeight="1">
      <c r="A930" s="56"/>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spans="1:26" ht="12.75" customHeight="1">
      <c r="A931" s="56"/>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spans="1:26" ht="12.75" customHeight="1">
      <c r="A932" s="56"/>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spans="1:26" ht="12.75" customHeight="1">
      <c r="A933" s="56"/>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spans="1:26" ht="12.75" customHeight="1">
      <c r="A934" s="56"/>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spans="1:26" ht="12.75" customHeight="1">
      <c r="A935" s="56"/>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spans="1:26" ht="12.75" customHeight="1">
      <c r="A936" s="56"/>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spans="1:26" ht="12.75" customHeight="1">
      <c r="A937" s="56"/>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spans="1:26" ht="12.75" customHeight="1">
      <c r="A938" s="56"/>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spans="1:26" ht="12.75" customHeight="1">
      <c r="A939" s="56"/>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spans="1:26" ht="12.75" customHeight="1">
      <c r="A940" s="56"/>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spans="1:26" ht="12.75" customHeight="1">
      <c r="A941" s="56"/>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spans="1:26" ht="12.75" customHeight="1">
      <c r="A942" s="56"/>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spans="1:26" ht="12.75" customHeight="1">
      <c r="A943" s="56"/>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spans="1:26" ht="12.75" customHeight="1">
      <c r="A944" s="56"/>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spans="1:26" ht="12.75" customHeight="1">
      <c r="A945" s="56"/>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spans="1:26" ht="12.75" customHeight="1">
      <c r="A946" s="56"/>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spans="1:26" ht="12.75" customHeight="1">
      <c r="A947" s="56"/>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spans="1:26" ht="12.75" customHeight="1">
      <c r="A948" s="56"/>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spans="1:26" ht="12.75" customHeight="1">
      <c r="A949" s="56"/>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spans="1:26" ht="12.75" customHeight="1">
      <c r="A950" s="56"/>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spans="1:26" ht="12.75" customHeight="1">
      <c r="A951" s="56"/>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spans="1:26" ht="12.75" customHeight="1">
      <c r="A952" s="56"/>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spans="1:26" ht="12.75" customHeight="1">
      <c r="A953" s="56"/>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spans="1:26" ht="12.75" customHeight="1">
      <c r="A954" s="56"/>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spans="1:26" ht="12.75" customHeight="1">
      <c r="A955" s="56"/>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spans="1:26" ht="12.75" customHeight="1">
      <c r="A956" s="56"/>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spans="1:26" ht="12.75" customHeight="1">
      <c r="A957" s="56"/>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spans="1:26" ht="12.75" customHeight="1">
      <c r="A958" s="56"/>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spans="1:26" ht="12.75" customHeight="1">
      <c r="A959" s="56"/>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spans="1:26" ht="12.75" customHeight="1">
      <c r="A960" s="56"/>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spans="1:26" ht="12.75" customHeight="1">
      <c r="A961" s="56"/>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spans="1:26" ht="12.75" customHeight="1">
      <c r="A962" s="56"/>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spans="1:26" ht="12.75" customHeight="1">
      <c r="A963" s="56"/>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spans="1:26" ht="12.75" customHeight="1">
      <c r="A964" s="56"/>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spans="1:26" ht="12.75" customHeight="1">
      <c r="A965" s="56"/>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spans="1:26" ht="12.75" customHeight="1">
      <c r="A966" s="56"/>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spans="1:26" ht="12.75" customHeight="1">
      <c r="A967" s="56"/>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spans="1:26" ht="12.75" customHeight="1">
      <c r="A968" s="56"/>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spans="1:26" ht="12.75" customHeight="1">
      <c r="A969" s="56"/>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spans="1:26" ht="12.75" customHeight="1">
      <c r="A970" s="56"/>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sheetData>
  <phoneticPr fontId="1" type="noConversion"/>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A4BB1580-CEDB-42A6-9B0D-9E0794C734DB}"/>
    <hyperlink ref="A22" r:id="rId2" xr:uid="{D226C4B4-E0FA-492E-8284-8AE5EBA0DE44}"/>
  </hyperlinks>
  <pageMargins left="0.7" right="0.45" top="0.75" bottom="0.5" header="0" footer="0"/>
  <pageSetup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D8A5F-2E57-4935-9CBC-24AB811FC9BC}">
  <dimension ref="B1:H28"/>
  <sheetViews>
    <sheetView topLeftCell="A19" zoomScale="55" zoomScaleNormal="55" workbookViewId="0">
      <selection activeCell="C27" sqref="C27"/>
    </sheetView>
  </sheetViews>
  <sheetFormatPr defaultColWidth="8.36328125" defaultRowHeight="13"/>
  <cols>
    <col min="1" max="1" width="3.81640625" style="90" customWidth="1"/>
    <col min="2" max="2" width="11.1796875" style="90" customWidth="1"/>
    <col min="3" max="3" width="18.453125" style="90" customWidth="1"/>
    <col min="4" max="4" width="84.81640625" style="90" customWidth="1"/>
    <col min="5" max="5" width="126.08984375" style="90" customWidth="1"/>
    <col min="6" max="16384" width="8.36328125" style="90"/>
  </cols>
  <sheetData>
    <row r="1" spans="2:5" ht="13.5" thickBot="1"/>
    <row r="2" spans="2:5" s="91" customFormat="1" ht="16" thickBot="1">
      <c r="B2" s="168" t="s">
        <v>169</v>
      </c>
      <c r="C2" s="169"/>
      <c r="D2" s="169"/>
      <c r="E2" s="170"/>
    </row>
    <row r="3" spans="2:5" s="91" customFormat="1" ht="14.5">
      <c r="B3" s="171" t="s">
        <v>181</v>
      </c>
      <c r="C3" s="156"/>
      <c r="D3" s="156"/>
      <c r="E3" s="172"/>
    </row>
    <row r="4" spans="2:5" s="91" customFormat="1" ht="14.5">
      <c r="B4" s="173" t="s">
        <v>170</v>
      </c>
      <c r="C4" s="174"/>
      <c r="D4" s="174"/>
      <c r="E4" s="175"/>
    </row>
    <row r="5" spans="2:5" s="91" customFormat="1" ht="14.5">
      <c r="B5" s="173" t="s">
        <v>171</v>
      </c>
      <c r="C5" s="174"/>
      <c r="D5" s="174"/>
      <c r="E5" s="175"/>
    </row>
    <row r="6" spans="2:5" s="91" customFormat="1" ht="14.5">
      <c r="B6" s="173" t="s">
        <v>182</v>
      </c>
      <c r="C6" s="174"/>
      <c r="D6" s="174"/>
      <c r="E6" s="175"/>
    </row>
    <row r="7" spans="2:5" s="91" customFormat="1" ht="14.5">
      <c r="B7" s="173" t="s">
        <v>183</v>
      </c>
      <c r="C7" s="174"/>
      <c r="D7" s="174"/>
      <c r="E7" s="175"/>
    </row>
    <row r="8" spans="2:5" s="91" customFormat="1" ht="14.5">
      <c r="B8" s="173" t="s">
        <v>172</v>
      </c>
      <c r="C8" s="174"/>
      <c r="D8" s="174"/>
      <c r="E8" s="175"/>
    </row>
    <row r="9" spans="2:5" s="91" customFormat="1" ht="17.25" customHeight="1" thickBot="1">
      <c r="B9" s="179" t="s">
        <v>173</v>
      </c>
      <c r="C9" s="180"/>
      <c r="D9" s="180"/>
      <c r="E9" s="181"/>
    </row>
    <row r="10" spans="2:5" s="91" customFormat="1" ht="17.25" customHeight="1"/>
    <row r="11" spans="2:5" s="91" customFormat="1" ht="17.25" customHeight="1" thickBot="1"/>
    <row r="12" spans="2:5" s="91" customFormat="1" ht="17.25" customHeight="1" thickBot="1">
      <c r="B12" s="168" t="s">
        <v>174</v>
      </c>
      <c r="C12" s="169"/>
      <c r="D12" s="169"/>
      <c r="E12" s="170"/>
    </row>
    <row r="13" spans="2:5" s="91" customFormat="1" ht="17.25" customHeight="1">
      <c r="B13" s="182" t="s">
        <v>184</v>
      </c>
      <c r="C13" s="183"/>
      <c r="D13" s="183"/>
      <c r="E13" s="184"/>
    </row>
    <row r="14" spans="2:5" s="91" customFormat="1" ht="31.9" customHeight="1">
      <c r="B14" s="176" t="s">
        <v>185</v>
      </c>
      <c r="C14" s="177"/>
      <c r="D14" s="177"/>
      <c r="E14" s="178"/>
    </row>
    <row r="15" spans="2:5" s="91" customFormat="1" ht="31.5" customHeight="1">
      <c r="B15" s="165" t="s">
        <v>186</v>
      </c>
      <c r="C15" s="166"/>
      <c r="D15" s="166"/>
      <c r="E15" s="167"/>
    </row>
    <row r="16" spans="2:5" s="91" customFormat="1" ht="17.25" customHeight="1"/>
    <row r="18" spans="2:8" ht="15.5">
      <c r="B18" s="88"/>
      <c r="C18" s="162" t="s">
        <v>187</v>
      </c>
      <c r="D18" s="162"/>
      <c r="E18" s="162"/>
    </row>
    <row r="19" spans="2:8" ht="39">
      <c r="B19" s="92" t="s">
        <v>175</v>
      </c>
      <c r="C19" s="92" t="s">
        <v>176</v>
      </c>
      <c r="D19" s="92" t="s">
        <v>177</v>
      </c>
      <c r="E19" s="92" t="s">
        <v>178</v>
      </c>
    </row>
    <row r="20" spans="2:8" ht="63">
      <c r="B20" s="93" t="s">
        <v>179</v>
      </c>
      <c r="C20" s="12" t="str">
        <f>'Fault Management'!C4</f>
        <v>Intent-driven</v>
      </c>
      <c r="D20" s="130" t="s">
        <v>96</v>
      </c>
      <c r="E20" s="96" t="s">
        <v>194</v>
      </c>
      <c r="F20" s="99"/>
      <c r="G20" s="99"/>
      <c r="H20" s="99"/>
    </row>
    <row r="21" spans="2:8" ht="50">
      <c r="B21" s="97" t="s">
        <v>15</v>
      </c>
      <c r="C21" s="12" t="str">
        <f>'Fault Management'!C5</f>
        <v>Anomaly detection</v>
      </c>
      <c r="D21" s="87" t="s">
        <v>150</v>
      </c>
      <c r="E21" s="95" t="s">
        <v>195</v>
      </c>
      <c r="F21" s="99"/>
      <c r="G21" s="99"/>
      <c r="H21" s="100"/>
    </row>
    <row r="22" spans="2:8" ht="62.5">
      <c r="B22" s="163" t="s">
        <v>16</v>
      </c>
      <c r="C22" s="12" t="str">
        <f>'Fault Management'!C6</f>
        <v>Root-cause analysis and demarcation</v>
      </c>
      <c r="D22" s="87" t="s">
        <v>100</v>
      </c>
      <c r="E22" s="95" t="s">
        <v>196</v>
      </c>
      <c r="F22" s="99"/>
      <c r="G22" s="99"/>
      <c r="H22" s="99"/>
    </row>
    <row r="23" spans="2:8" ht="75">
      <c r="B23" s="164"/>
      <c r="C23" s="12" t="str">
        <f>'Fault Management'!C7</f>
        <v>Service Impact Analysis</v>
      </c>
      <c r="D23" s="87" t="s">
        <v>80</v>
      </c>
      <c r="E23" s="98" t="s">
        <v>197</v>
      </c>
      <c r="F23" s="101"/>
      <c r="G23" s="101"/>
      <c r="H23" s="101"/>
    </row>
    <row r="24" spans="2:8" ht="50">
      <c r="B24" s="164"/>
      <c r="C24" s="12" t="str">
        <f>'Fault Management'!C8</f>
        <v>Root-cause fault locating</v>
      </c>
      <c r="D24" s="87" t="s">
        <v>146</v>
      </c>
      <c r="E24" s="95" t="s">
        <v>198</v>
      </c>
      <c r="F24" s="99"/>
      <c r="G24" s="99"/>
      <c r="H24" s="99"/>
    </row>
    <row r="25" spans="2:8" ht="75">
      <c r="B25" s="164"/>
      <c r="C25" s="12" t="str">
        <f>'Fault Management'!C9</f>
        <v>Solution generation</v>
      </c>
      <c r="D25" s="87" t="s">
        <v>101</v>
      </c>
      <c r="E25" s="95" t="s">
        <v>199</v>
      </c>
      <c r="F25" s="99"/>
      <c r="G25" s="99"/>
      <c r="H25" s="99"/>
    </row>
    <row r="26" spans="2:8" ht="87.5">
      <c r="B26" s="94" t="s">
        <v>17</v>
      </c>
      <c r="C26" s="12" t="str">
        <f>'Fault Management'!C10</f>
        <v>Evaluation and decision making</v>
      </c>
      <c r="D26" s="87" t="s">
        <v>106</v>
      </c>
      <c r="E26" s="95" t="s">
        <v>200</v>
      </c>
      <c r="F26" s="99"/>
      <c r="G26" s="99"/>
      <c r="H26" s="99"/>
    </row>
    <row r="27" spans="2:8" ht="145">
      <c r="B27" s="94" t="s">
        <v>180</v>
      </c>
      <c r="C27" s="12" t="str">
        <f>'Fault Management'!C11</f>
        <v>Solution execution and verification</v>
      </c>
      <c r="D27" s="87" t="s">
        <v>108</v>
      </c>
      <c r="E27" s="103" t="s">
        <v>202</v>
      </c>
      <c r="F27" s="102"/>
      <c r="G27" s="102"/>
      <c r="H27" s="102"/>
    </row>
    <row r="28" spans="2:8">
      <c r="D28" s="161"/>
      <c r="E28" s="161"/>
    </row>
  </sheetData>
  <mergeCells count="15">
    <mergeCell ref="D28:E28"/>
    <mergeCell ref="C18:E18"/>
    <mergeCell ref="B22:B25"/>
    <mergeCell ref="B15:E15"/>
    <mergeCell ref="B2:E2"/>
    <mergeCell ref="B3:E3"/>
    <mergeCell ref="B4:E4"/>
    <mergeCell ref="B5:E5"/>
    <mergeCell ref="B6:E6"/>
    <mergeCell ref="B14:E14"/>
    <mergeCell ref="B7:E7"/>
    <mergeCell ref="B8:E8"/>
    <mergeCell ref="B9:E9"/>
    <mergeCell ref="B12:E12"/>
    <mergeCell ref="B13:E1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FC588-DAE8-48E2-AA75-2E7EF3E43CFB}">
  <sheetPr>
    <pageSetUpPr fitToPage="1"/>
  </sheetPr>
  <dimension ref="A1:O25"/>
  <sheetViews>
    <sheetView showGridLines="0" zoomScale="55" zoomScaleNormal="55" workbookViewId="0">
      <selection activeCell="F11" sqref="F11"/>
    </sheetView>
  </sheetViews>
  <sheetFormatPr defaultColWidth="8.81640625" defaultRowHeight="14.5"/>
  <cols>
    <col min="1" max="1" width="21" style="2" bestFit="1" customWidth="1"/>
    <col min="2" max="2" width="26.36328125" style="2" bestFit="1" customWidth="1"/>
    <col min="3" max="3" width="18.7265625" style="2" bestFit="1" customWidth="1"/>
    <col min="4" max="4" width="7.7265625" style="2" bestFit="1" customWidth="1"/>
    <col min="5" max="5" width="76.08984375" style="2" bestFit="1" customWidth="1"/>
    <col min="6" max="6" width="37.26953125" style="40" bestFit="1" customWidth="1"/>
    <col min="7" max="7" width="37" style="40" bestFit="1" customWidth="1"/>
    <col min="8" max="8" width="38" style="40" bestFit="1" customWidth="1"/>
    <col min="9" max="9" width="27" style="40" bestFit="1" customWidth="1"/>
    <col min="10" max="10" width="9.08984375" style="8" bestFit="1" customWidth="1"/>
    <col min="11" max="11" width="59.36328125" style="2" bestFit="1" customWidth="1"/>
    <col min="12" max="12" width="15.26953125" style="1" bestFit="1" customWidth="1"/>
    <col min="13" max="13" width="18.08984375" style="1" customWidth="1"/>
    <col min="14" max="14" width="25" style="1" bestFit="1" customWidth="1"/>
    <col min="15" max="15" width="36.08984375" style="1" bestFit="1" customWidth="1"/>
    <col min="16" max="16384" width="8.81640625" style="1"/>
  </cols>
  <sheetData>
    <row r="1" spans="1:15" ht="27.75" customHeight="1">
      <c r="A1" s="149" t="s">
        <v>0</v>
      </c>
      <c r="B1" s="149" t="s">
        <v>1</v>
      </c>
      <c r="C1" s="149" t="s">
        <v>2</v>
      </c>
      <c r="D1" s="149" t="s">
        <v>3</v>
      </c>
      <c r="E1" s="149" t="s">
        <v>4</v>
      </c>
      <c r="F1" s="147" t="s">
        <v>5</v>
      </c>
      <c r="G1" s="147" t="s">
        <v>6</v>
      </c>
      <c r="H1" s="147" t="s">
        <v>7</v>
      </c>
      <c r="I1" s="147" t="s">
        <v>8</v>
      </c>
      <c r="J1" s="145" t="s">
        <v>9</v>
      </c>
      <c r="K1" s="143" t="s">
        <v>10</v>
      </c>
      <c r="L1" s="142" t="s">
        <v>99</v>
      </c>
      <c r="M1" s="142"/>
      <c r="N1" s="154" t="s">
        <v>12</v>
      </c>
      <c r="O1" s="137" t="s">
        <v>19</v>
      </c>
    </row>
    <row r="2" spans="1:15" ht="29">
      <c r="A2" s="149"/>
      <c r="B2" s="149"/>
      <c r="C2" s="149"/>
      <c r="D2" s="149"/>
      <c r="E2" s="149"/>
      <c r="F2" s="147"/>
      <c r="G2" s="147"/>
      <c r="H2" s="147"/>
      <c r="I2" s="147"/>
      <c r="J2" s="145"/>
      <c r="K2" s="143"/>
      <c r="L2" s="42" t="s">
        <v>78</v>
      </c>
      <c r="M2" s="42" t="s">
        <v>79</v>
      </c>
      <c r="N2" s="154"/>
      <c r="O2" s="137"/>
    </row>
    <row r="3" spans="1:15" ht="24" customHeight="1" thickBot="1">
      <c r="A3" s="150"/>
      <c r="B3" s="150"/>
      <c r="C3" s="150"/>
      <c r="D3" s="150"/>
      <c r="E3" s="150"/>
      <c r="F3" s="148"/>
      <c r="G3" s="148"/>
      <c r="H3" s="148"/>
      <c r="I3" s="148"/>
      <c r="J3" s="146"/>
      <c r="K3" s="144"/>
      <c r="L3" s="36">
        <v>0.7</v>
      </c>
      <c r="M3" s="36">
        <v>0.3</v>
      </c>
      <c r="N3" s="154"/>
      <c r="O3" s="137"/>
    </row>
    <row r="4" spans="1:15" ht="63" thickBot="1">
      <c r="A4" s="141" t="s">
        <v>89</v>
      </c>
      <c r="B4" s="3" t="s">
        <v>13</v>
      </c>
      <c r="C4" s="12" t="s">
        <v>14</v>
      </c>
      <c r="D4" s="10">
        <v>0.1</v>
      </c>
      <c r="E4" s="34" t="s">
        <v>96</v>
      </c>
      <c r="F4" s="38" t="s">
        <v>93</v>
      </c>
      <c r="G4" s="38" t="s">
        <v>90</v>
      </c>
      <c r="H4" s="38" t="s">
        <v>91</v>
      </c>
      <c r="I4" s="38" t="s">
        <v>148</v>
      </c>
      <c r="J4" s="9" t="s">
        <v>81</v>
      </c>
      <c r="K4" s="4"/>
      <c r="L4" s="5"/>
      <c r="M4" s="5"/>
      <c r="N4" s="7"/>
      <c r="O4" s="6"/>
    </row>
    <row r="5" spans="1:15" ht="75.5" thickBot="1">
      <c r="A5" s="141"/>
      <c r="B5" s="3" t="s">
        <v>15</v>
      </c>
      <c r="C5" s="12" t="s">
        <v>111</v>
      </c>
      <c r="D5" s="10">
        <v>0.1</v>
      </c>
      <c r="E5" s="35" t="s">
        <v>150</v>
      </c>
      <c r="F5" s="38" t="s">
        <v>149</v>
      </c>
      <c r="G5" s="38" t="s">
        <v>151</v>
      </c>
      <c r="H5" s="38" t="s">
        <v>144</v>
      </c>
      <c r="I5" s="83"/>
      <c r="J5" s="9" t="s">
        <v>82</v>
      </c>
      <c r="K5" s="4" t="s">
        <v>84</v>
      </c>
      <c r="L5" s="5"/>
      <c r="M5" s="5"/>
      <c r="N5" s="6"/>
      <c r="O5" s="6"/>
    </row>
    <row r="6" spans="1:15" ht="75.5" thickBot="1">
      <c r="A6" s="141"/>
      <c r="B6" s="138" t="s">
        <v>16</v>
      </c>
      <c r="C6" s="12" t="s">
        <v>68</v>
      </c>
      <c r="D6" s="11">
        <v>0.15</v>
      </c>
      <c r="E6" s="35" t="s">
        <v>100</v>
      </c>
      <c r="F6" s="38" t="s">
        <v>69</v>
      </c>
      <c r="G6" s="38" t="s">
        <v>94</v>
      </c>
      <c r="H6" s="38" t="s">
        <v>95</v>
      </c>
      <c r="I6" s="38" t="s">
        <v>70</v>
      </c>
      <c r="J6" s="9" t="s">
        <v>82</v>
      </c>
      <c r="K6" s="4" t="s">
        <v>86</v>
      </c>
      <c r="L6" s="5"/>
      <c r="M6" s="5"/>
      <c r="N6" s="6"/>
      <c r="O6" s="6"/>
    </row>
    <row r="7" spans="1:15" ht="75.5" thickBot="1">
      <c r="A7" s="141"/>
      <c r="B7" s="139"/>
      <c r="C7" s="12" t="s">
        <v>67</v>
      </c>
      <c r="D7" s="11">
        <v>0.1</v>
      </c>
      <c r="E7" s="35" t="s">
        <v>80</v>
      </c>
      <c r="F7" s="39" t="s">
        <v>103</v>
      </c>
      <c r="G7" s="39" t="s">
        <v>109</v>
      </c>
      <c r="H7" s="39" t="s">
        <v>71</v>
      </c>
      <c r="I7" s="39" t="s">
        <v>72</v>
      </c>
      <c r="J7" s="9" t="s">
        <v>82</v>
      </c>
      <c r="K7" s="4" t="s">
        <v>87</v>
      </c>
      <c r="L7" s="5"/>
      <c r="M7" s="5"/>
      <c r="N7" s="6"/>
      <c r="O7" s="6"/>
    </row>
    <row r="8" spans="1:15" ht="63" thickBot="1">
      <c r="A8" s="141"/>
      <c r="B8" s="139"/>
      <c r="C8" s="12" t="s">
        <v>145</v>
      </c>
      <c r="D8" s="11">
        <v>0.1</v>
      </c>
      <c r="E8" s="35" t="s">
        <v>146</v>
      </c>
      <c r="F8" s="38" t="s">
        <v>102</v>
      </c>
      <c r="G8" s="38" t="s">
        <v>73</v>
      </c>
      <c r="H8" s="38" t="s">
        <v>74</v>
      </c>
      <c r="I8" s="38" t="s">
        <v>75</v>
      </c>
      <c r="J8" s="9" t="s">
        <v>82</v>
      </c>
      <c r="K8" s="4" t="s">
        <v>83</v>
      </c>
      <c r="L8" s="5"/>
      <c r="M8" s="5"/>
      <c r="N8" s="6"/>
      <c r="O8" s="6"/>
    </row>
    <row r="9" spans="1:15" ht="66" customHeight="1" thickBot="1">
      <c r="A9" s="141"/>
      <c r="B9" s="140"/>
      <c r="C9" s="12" t="s">
        <v>98</v>
      </c>
      <c r="D9" s="11">
        <v>0.1</v>
      </c>
      <c r="E9" s="35" t="s">
        <v>101</v>
      </c>
      <c r="F9" s="38" t="s">
        <v>112</v>
      </c>
      <c r="G9" s="38" t="s">
        <v>107</v>
      </c>
      <c r="H9" s="38" t="s">
        <v>104</v>
      </c>
      <c r="I9" s="38" t="s">
        <v>76</v>
      </c>
      <c r="J9" s="9" t="s">
        <v>82</v>
      </c>
      <c r="K9" s="4" t="s">
        <v>110</v>
      </c>
      <c r="L9" s="5"/>
      <c r="M9" s="5"/>
      <c r="N9" s="6"/>
      <c r="O9" s="6"/>
    </row>
    <row r="10" spans="1:15" ht="88" thickBot="1">
      <c r="A10" s="141"/>
      <c r="B10" s="47" t="s">
        <v>17</v>
      </c>
      <c r="C10" s="12" t="s">
        <v>105</v>
      </c>
      <c r="D10" s="11">
        <v>0.15</v>
      </c>
      <c r="E10" s="35" t="s">
        <v>106</v>
      </c>
      <c r="F10" s="38" t="s">
        <v>153</v>
      </c>
      <c r="G10" s="38" t="s">
        <v>154</v>
      </c>
      <c r="H10" s="38" t="s">
        <v>155</v>
      </c>
      <c r="I10" s="38" t="s">
        <v>152</v>
      </c>
      <c r="J10" s="9" t="s">
        <v>82</v>
      </c>
      <c r="K10" s="4" t="s">
        <v>88</v>
      </c>
      <c r="L10" s="5"/>
      <c r="M10" s="5"/>
      <c r="N10" s="6"/>
      <c r="O10" s="6"/>
    </row>
    <row r="11" spans="1:15" ht="145.5" thickBot="1">
      <c r="A11" s="141"/>
      <c r="B11" s="119" t="s">
        <v>48</v>
      </c>
      <c r="C11" s="12" t="s">
        <v>222</v>
      </c>
      <c r="D11" s="48">
        <v>0.2</v>
      </c>
      <c r="E11" s="35" t="s">
        <v>223</v>
      </c>
      <c r="F11" s="43" t="s">
        <v>201</v>
      </c>
      <c r="G11" s="43" t="s">
        <v>158</v>
      </c>
      <c r="H11" s="43" t="s">
        <v>156</v>
      </c>
      <c r="I11" s="43" t="s">
        <v>157</v>
      </c>
      <c r="J11" s="9" t="s">
        <v>82</v>
      </c>
      <c r="K11" s="45" t="s">
        <v>85</v>
      </c>
      <c r="L11" s="5"/>
      <c r="M11" s="5"/>
      <c r="N11" s="37"/>
      <c r="O11" s="37"/>
    </row>
    <row r="12" spans="1:15">
      <c r="C12" s="2" t="s">
        <v>77</v>
      </c>
      <c r="D12" s="41">
        <f>SUM(D4:D11)</f>
        <v>1</v>
      </c>
    </row>
    <row r="14" spans="1:15" ht="89.25" customHeight="1">
      <c r="A14" s="155" t="s">
        <v>220</v>
      </c>
      <c r="B14" s="156"/>
      <c r="C14" s="156"/>
      <c r="D14" s="156"/>
      <c r="E14" s="156"/>
      <c r="F14" s="156"/>
    </row>
    <row r="17" spans="1:14">
      <c r="A17" s="151" t="s">
        <v>159</v>
      </c>
      <c r="B17" s="152"/>
      <c r="C17" s="153"/>
      <c r="D17" s="85" t="s">
        <v>160</v>
      </c>
      <c r="E17" s="85" t="s">
        <v>161</v>
      </c>
      <c r="F17" s="86" t="s">
        <v>162</v>
      </c>
      <c r="G17" s="89" t="s">
        <v>163</v>
      </c>
      <c r="H17" s="104" t="s">
        <v>164</v>
      </c>
      <c r="I17" s="105" t="s">
        <v>165</v>
      </c>
      <c r="J17" s="120" t="s">
        <v>209</v>
      </c>
      <c r="K17" s="120" t="s">
        <v>217</v>
      </c>
      <c r="L17" s="157" t="s">
        <v>216</v>
      </c>
      <c r="M17" s="158"/>
      <c r="N17" s="158"/>
    </row>
    <row r="18" spans="1:14" ht="216.5">
      <c r="A18" s="134" t="s">
        <v>168</v>
      </c>
      <c r="B18" s="135"/>
      <c r="C18" s="136"/>
      <c r="D18" s="11">
        <v>0.5</v>
      </c>
      <c r="E18" s="127" t="s">
        <v>218</v>
      </c>
      <c r="F18" s="129" t="s">
        <v>167</v>
      </c>
      <c r="G18" s="123" t="s">
        <v>188</v>
      </c>
      <c r="H18" s="124" t="s">
        <v>190</v>
      </c>
      <c r="I18" s="123" t="s">
        <v>189</v>
      </c>
      <c r="J18" s="121"/>
      <c r="K18" s="122"/>
      <c r="L18" s="131"/>
      <c r="M18" s="132"/>
      <c r="N18" s="133"/>
    </row>
    <row r="19" spans="1:14" ht="150">
      <c r="A19" s="134" t="s">
        <v>203</v>
      </c>
      <c r="B19" s="135"/>
      <c r="C19" s="136"/>
      <c r="D19" s="10">
        <v>0.5</v>
      </c>
      <c r="E19" s="128" t="s">
        <v>219</v>
      </c>
      <c r="F19" s="125" t="s">
        <v>166</v>
      </c>
      <c r="G19" s="125" t="s">
        <v>191</v>
      </c>
      <c r="H19" s="126" t="s">
        <v>192</v>
      </c>
      <c r="I19" s="123" t="s">
        <v>193</v>
      </c>
      <c r="J19" s="121"/>
      <c r="K19" s="122"/>
      <c r="L19" s="131"/>
      <c r="M19" s="132"/>
      <c r="N19" s="133"/>
    </row>
    <row r="25" spans="1:14" ht="15">
      <c r="E25"/>
    </row>
  </sheetData>
  <mergeCells count="23">
    <mergeCell ref="A1:A3"/>
    <mergeCell ref="A17:C17"/>
    <mergeCell ref="A18:C18"/>
    <mergeCell ref="N1:N3"/>
    <mergeCell ref="A14:F14"/>
    <mergeCell ref="L17:N17"/>
    <mergeCell ref="L18:N18"/>
    <mergeCell ref="L19:N19"/>
    <mergeCell ref="A19:C19"/>
    <mergeCell ref="O1:O3"/>
    <mergeCell ref="B6:B9"/>
    <mergeCell ref="A4:A11"/>
    <mergeCell ref="L1:M1"/>
    <mergeCell ref="K1:K3"/>
    <mergeCell ref="J1:J3"/>
    <mergeCell ref="I1:I3"/>
    <mergeCell ref="H1:H3"/>
    <mergeCell ref="G1:G3"/>
    <mergeCell ref="F1:F3"/>
    <mergeCell ref="E1:E3"/>
    <mergeCell ref="D1:D3"/>
    <mergeCell ref="C1:C3"/>
    <mergeCell ref="B1:B3"/>
  </mergeCells>
  <phoneticPr fontId="1" type="noConversion"/>
  <dataValidations count="2">
    <dataValidation type="list" allowBlank="1" showInputMessage="1" showErrorMessage="1" sqref="K18:K19 L5 M5" xr:uid="{CE922AEE-1DB4-4E6A-9EB4-B092159C6ADF}">
      <formula1>"A,B,C"</formula1>
    </dataValidation>
    <dataValidation type="list" allowBlank="1" showInputMessage="1" showErrorMessage="1" sqref="J18:J19 L6:L11 L4 M4 M6:M11" xr:uid="{E3297840-EF6B-4731-87EB-DFD0AE89EA58}">
      <formula1>"A,B,C,D"</formula1>
    </dataValidation>
  </dataValidations>
  <pageMargins left="0.7" right="0.7" top="0.75" bottom="0.75" header="0.3" footer="0.3"/>
  <pageSetup paperSize="9" scale="2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0DD35-3179-4A23-9F61-CF5ED88062B9}">
  <dimension ref="A1:AH31"/>
  <sheetViews>
    <sheetView showGridLines="0" zoomScale="70" zoomScaleNormal="70" workbookViewId="0">
      <pane ySplit="4" topLeftCell="A8" activePane="bottomLeft" state="frozen"/>
      <selection pane="bottomLeft" activeCell="B12" sqref="B12"/>
    </sheetView>
  </sheetViews>
  <sheetFormatPr defaultRowHeight="14.5"/>
  <cols>
    <col min="2" max="2" width="10.08984375" customWidth="1"/>
    <col min="3" max="3" width="15" customWidth="1"/>
    <col min="4" max="4" width="7.36328125" customWidth="1"/>
    <col min="5" max="5" width="57.81640625" customWidth="1"/>
    <col min="6" max="10" width="9.81640625" style="24"/>
    <col min="11" max="11" width="11.81640625" style="24" customWidth="1"/>
    <col min="12" max="17" width="9.81640625" style="24"/>
    <col min="18" max="18" width="14.36328125" style="24" customWidth="1"/>
    <col min="19" max="19" width="8.7265625" style="24"/>
  </cols>
  <sheetData>
    <row r="1" spans="1:34" ht="23.25" customHeight="1">
      <c r="A1" s="222" t="s">
        <v>0</v>
      </c>
      <c r="B1" s="225" t="s">
        <v>1</v>
      </c>
      <c r="C1" s="227" t="s">
        <v>2</v>
      </c>
      <c r="D1" s="149" t="s">
        <v>3</v>
      </c>
      <c r="E1" s="224" t="s">
        <v>4</v>
      </c>
      <c r="F1" s="219" t="s">
        <v>63</v>
      </c>
      <c r="G1" s="220"/>
      <c r="H1" s="220"/>
      <c r="I1" s="220"/>
      <c r="J1" s="220"/>
      <c r="K1" s="220"/>
      <c r="L1" s="220"/>
      <c r="M1" s="220"/>
      <c r="N1" s="220"/>
      <c r="O1" s="220"/>
      <c r="P1" s="220"/>
      <c r="Q1" s="220"/>
      <c r="R1" s="221"/>
    </row>
    <row r="2" spans="1:34" ht="93" customHeight="1">
      <c r="A2" s="222"/>
      <c r="B2" s="226"/>
      <c r="C2" s="149"/>
      <c r="D2" s="149"/>
      <c r="E2" s="222"/>
      <c r="F2" s="237" t="s">
        <v>38</v>
      </c>
      <c r="G2" s="237"/>
      <c r="H2" s="237"/>
      <c r="I2" s="237"/>
      <c r="J2" s="237" t="s">
        <v>39</v>
      </c>
      <c r="K2" s="237"/>
      <c r="L2" s="238" t="s">
        <v>78</v>
      </c>
      <c r="M2" s="235"/>
      <c r="N2" s="235"/>
      <c r="O2" s="228" t="s">
        <v>79</v>
      </c>
      <c r="P2" s="229"/>
      <c r="Q2" s="230"/>
      <c r="R2" s="231" t="s">
        <v>208</v>
      </c>
    </row>
    <row r="3" spans="1:34" ht="24" customHeight="1">
      <c r="A3" s="222"/>
      <c r="B3" s="226"/>
      <c r="C3" s="149"/>
      <c r="D3" s="149"/>
      <c r="E3" s="222"/>
      <c r="F3" s="237"/>
      <c r="G3" s="237"/>
      <c r="H3" s="237"/>
      <c r="I3" s="237"/>
      <c r="J3" s="237"/>
      <c r="K3" s="237"/>
      <c r="L3" s="234">
        <v>0.7</v>
      </c>
      <c r="M3" s="235"/>
      <c r="N3" s="235"/>
      <c r="O3" s="236">
        <v>0.3</v>
      </c>
      <c r="P3" s="229"/>
      <c r="Q3" s="230"/>
      <c r="R3" s="232"/>
    </row>
    <row r="4" spans="1:34" ht="39.5" thickBot="1">
      <c r="A4" s="223"/>
      <c r="B4" s="226"/>
      <c r="C4" s="149"/>
      <c r="D4" s="149"/>
      <c r="E4" s="223"/>
      <c r="F4" s="13" t="s">
        <v>40</v>
      </c>
      <c r="G4" s="14" t="s">
        <v>41</v>
      </c>
      <c r="H4" s="14" t="s">
        <v>42</v>
      </c>
      <c r="I4" s="14" t="s">
        <v>43</v>
      </c>
      <c r="J4" s="15" t="s">
        <v>78</v>
      </c>
      <c r="K4" s="15" t="s">
        <v>79</v>
      </c>
      <c r="L4" s="81" t="s">
        <v>18</v>
      </c>
      <c r="M4" s="81" t="s">
        <v>44</v>
      </c>
      <c r="N4" s="82" t="s">
        <v>45</v>
      </c>
      <c r="O4" s="16" t="s">
        <v>18</v>
      </c>
      <c r="P4" s="16" t="s">
        <v>44</v>
      </c>
      <c r="Q4" s="17" t="s">
        <v>45</v>
      </c>
      <c r="R4" s="233"/>
    </row>
    <row r="5" spans="1:34" ht="39.5" thickBot="1">
      <c r="A5" s="141" t="s">
        <v>89</v>
      </c>
      <c r="B5" s="3" t="s">
        <v>13</v>
      </c>
      <c r="C5" s="12" t="s">
        <v>14</v>
      </c>
      <c r="D5" s="10">
        <v>0.1</v>
      </c>
      <c r="E5" s="34" t="s">
        <v>96</v>
      </c>
      <c r="F5" s="18">
        <v>4</v>
      </c>
      <c r="G5" s="19">
        <v>3</v>
      </c>
      <c r="H5" s="19">
        <v>2</v>
      </c>
      <c r="I5" s="84">
        <v>1</v>
      </c>
      <c r="J5" s="21">
        <f>'Fault Management'!L4</f>
        <v>0</v>
      </c>
      <c r="K5" s="21">
        <f>'Fault Management'!M4</f>
        <v>0</v>
      </c>
      <c r="L5" s="22" t="b">
        <f t="shared" ref="L5:L12" si="0">IF(J5="A",F5,IF(J5="B",G5,IF(J5="C",H5,IF(J5="D",I5))))</f>
        <v>0</v>
      </c>
      <c r="M5" s="23" t="b">
        <f>L5</f>
        <v>0</v>
      </c>
      <c r="N5" s="241" t="e">
        <f>SUMPRODUCT(M5:M12,D5:D12)</f>
        <v>#DIV/0!</v>
      </c>
      <c r="O5" s="22" t="b">
        <f t="shared" ref="O5:O12" si="1">IF(K5="A",F5,IF(K5="B",G5,IF(K5="C",H5,IF(K5="D",I5))))</f>
        <v>0</v>
      </c>
      <c r="P5" s="23" t="b">
        <f>O5</f>
        <v>0</v>
      </c>
      <c r="Q5" s="243" t="e">
        <f>SUMPRODUCT(P5:P12,D5:D12)</f>
        <v>#DIV/0!</v>
      </c>
      <c r="R5" s="239" t="e">
        <f>(N5*L3+Q5*O3)/(L3+O3)</f>
        <v>#DIV/0!</v>
      </c>
    </row>
    <row r="6" spans="1:34" ht="65.5" thickBot="1">
      <c r="A6" s="141"/>
      <c r="B6" s="3" t="s">
        <v>15</v>
      </c>
      <c r="C6" s="12" t="s">
        <v>111</v>
      </c>
      <c r="D6" s="10">
        <v>0.1</v>
      </c>
      <c r="E6" s="35" t="s">
        <v>143</v>
      </c>
      <c r="F6" s="18">
        <v>3</v>
      </c>
      <c r="G6" s="19">
        <v>2</v>
      </c>
      <c r="H6" s="19">
        <v>1</v>
      </c>
      <c r="I6" s="80"/>
      <c r="J6" s="21">
        <f>'Fault Management'!L5</f>
        <v>0</v>
      </c>
      <c r="K6" s="21">
        <f>'Fault Management'!M5</f>
        <v>0</v>
      </c>
      <c r="L6" s="22" t="b">
        <f t="shared" si="0"/>
        <v>0</v>
      </c>
      <c r="M6" s="23" t="e">
        <f>IF(AND(L6=3,AVERAGE(L5,L7,L8,L9,L10,L11,L12)&gt;3),AVERAGE(L5,L7,L8,L9,L10,L11,L12),L6)</f>
        <v>#DIV/0!</v>
      </c>
      <c r="N6" s="242"/>
      <c r="O6" s="22" t="b">
        <f t="shared" si="1"/>
        <v>0</v>
      </c>
      <c r="P6" s="23" t="e">
        <f>IF(AND(O6=3,AVERAGE(O5,O7,O8,O9,O10,O11,O12)&gt;3),AVERAGE(O5,O7,O8,O9,O10,O11,O12),O6)</f>
        <v>#DIV/0!</v>
      </c>
      <c r="Q6" s="244"/>
      <c r="R6" s="240"/>
    </row>
    <row r="7" spans="1:34" ht="52.5" thickBot="1">
      <c r="A7" s="141"/>
      <c r="B7" s="138" t="s">
        <v>16</v>
      </c>
      <c r="C7" s="12" t="s">
        <v>68</v>
      </c>
      <c r="D7" s="11">
        <v>0.15</v>
      </c>
      <c r="E7" s="35" t="s">
        <v>100</v>
      </c>
      <c r="F7" s="18">
        <v>4</v>
      </c>
      <c r="G7" s="19">
        <v>3</v>
      </c>
      <c r="H7" s="19">
        <v>2</v>
      </c>
      <c r="I7" s="20">
        <v>1</v>
      </c>
      <c r="J7" s="21">
        <f>'Fault Management'!L6</f>
        <v>0</v>
      </c>
      <c r="K7" s="21">
        <f>'Fault Management'!M6</f>
        <v>0</v>
      </c>
      <c r="L7" s="22" t="b">
        <f t="shared" si="0"/>
        <v>0</v>
      </c>
      <c r="M7" s="23" t="b">
        <f t="shared" ref="M7:M8" si="2">L7</f>
        <v>0</v>
      </c>
      <c r="N7" s="242"/>
      <c r="O7" s="22" t="b">
        <f t="shared" si="1"/>
        <v>0</v>
      </c>
      <c r="P7" s="23" t="b">
        <f t="shared" ref="P7:P10" si="3">O7</f>
        <v>0</v>
      </c>
      <c r="Q7" s="244"/>
      <c r="R7" s="240"/>
    </row>
    <row r="8" spans="1:34" ht="52.5" thickBot="1">
      <c r="A8" s="141"/>
      <c r="B8" s="139"/>
      <c r="C8" s="12" t="s">
        <v>67</v>
      </c>
      <c r="D8" s="11">
        <v>0.1</v>
      </c>
      <c r="E8" s="35" t="s">
        <v>80</v>
      </c>
      <c r="F8" s="18">
        <v>4</v>
      </c>
      <c r="G8" s="19">
        <v>3</v>
      </c>
      <c r="H8" s="19">
        <v>2</v>
      </c>
      <c r="I8" s="20">
        <v>1</v>
      </c>
      <c r="J8" s="21">
        <f>'Fault Management'!L7</f>
        <v>0</v>
      </c>
      <c r="K8" s="21">
        <f>'Fault Management'!M7</f>
        <v>0</v>
      </c>
      <c r="L8" s="22" t="b">
        <f t="shared" si="0"/>
        <v>0</v>
      </c>
      <c r="M8" s="23" t="b">
        <f t="shared" si="2"/>
        <v>0</v>
      </c>
      <c r="N8" s="242"/>
      <c r="O8" s="22" t="b">
        <f t="shared" si="1"/>
        <v>0</v>
      </c>
      <c r="P8" s="23" t="b">
        <f t="shared" si="3"/>
        <v>0</v>
      </c>
      <c r="Q8" s="244"/>
      <c r="R8" s="240"/>
    </row>
    <row r="9" spans="1:34" ht="52.5" thickBot="1">
      <c r="A9" s="141"/>
      <c r="B9" s="139"/>
      <c r="C9" s="12" t="s">
        <v>97</v>
      </c>
      <c r="D9" s="11">
        <v>0.1</v>
      </c>
      <c r="E9" s="35" t="s">
        <v>146</v>
      </c>
      <c r="F9" s="18">
        <v>4</v>
      </c>
      <c r="G9" s="19">
        <v>3</v>
      </c>
      <c r="H9" s="19">
        <v>2</v>
      </c>
      <c r="I9" s="20">
        <v>1</v>
      </c>
      <c r="J9" s="21">
        <f>'Fault Management'!L8</f>
        <v>0</v>
      </c>
      <c r="K9" s="21">
        <f>'Fault Management'!M8</f>
        <v>0</v>
      </c>
      <c r="L9" s="22" t="b">
        <f t="shared" si="0"/>
        <v>0</v>
      </c>
      <c r="M9" s="23" t="b">
        <f t="shared" ref="M9:M10" si="4">L9</f>
        <v>0</v>
      </c>
      <c r="N9" s="242"/>
      <c r="O9" s="22" t="b">
        <f t="shared" si="1"/>
        <v>0</v>
      </c>
      <c r="P9" s="23" t="b">
        <f t="shared" si="3"/>
        <v>0</v>
      </c>
      <c r="Q9" s="244"/>
      <c r="R9" s="240"/>
    </row>
    <row r="10" spans="1:34" ht="39.5" thickBot="1">
      <c r="A10" s="141"/>
      <c r="B10" s="140"/>
      <c r="C10" s="12" t="s">
        <v>98</v>
      </c>
      <c r="D10" s="11">
        <v>0.1</v>
      </c>
      <c r="E10" s="35" t="s">
        <v>101</v>
      </c>
      <c r="F10" s="18">
        <v>4</v>
      </c>
      <c r="G10" s="19">
        <v>3</v>
      </c>
      <c r="H10" s="19">
        <v>2</v>
      </c>
      <c r="I10" s="20">
        <v>1</v>
      </c>
      <c r="J10" s="21">
        <f>'Fault Management'!L9</f>
        <v>0</v>
      </c>
      <c r="K10" s="21">
        <f>'Fault Management'!M9</f>
        <v>0</v>
      </c>
      <c r="L10" s="22" t="b">
        <f t="shared" si="0"/>
        <v>0</v>
      </c>
      <c r="M10" s="23" t="b">
        <f t="shared" si="4"/>
        <v>0</v>
      </c>
      <c r="N10" s="242"/>
      <c r="O10" s="22" t="b">
        <f t="shared" si="1"/>
        <v>0</v>
      </c>
      <c r="P10" s="23" t="b">
        <f t="shared" si="3"/>
        <v>0</v>
      </c>
      <c r="Q10" s="244"/>
      <c r="R10" s="240"/>
    </row>
    <row r="11" spans="1:34" ht="39.5" thickBot="1">
      <c r="A11" s="141"/>
      <c r="B11" s="47" t="s">
        <v>17</v>
      </c>
      <c r="C11" s="12" t="s">
        <v>105</v>
      </c>
      <c r="D11" s="11">
        <v>0.15</v>
      </c>
      <c r="E11" s="35" t="s">
        <v>106</v>
      </c>
      <c r="F11" s="18">
        <v>4</v>
      </c>
      <c r="G11" s="19">
        <v>3</v>
      </c>
      <c r="H11" s="19">
        <v>2</v>
      </c>
      <c r="I11" s="19">
        <v>1</v>
      </c>
      <c r="J11" s="21">
        <f>'Fault Management'!L10</f>
        <v>0</v>
      </c>
      <c r="K11" s="21">
        <f>'Fault Management'!M10</f>
        <v>0</v>
      </c>
      <c r="L11" s="22" t="b">
        <f t="shared" si="0"/>
        <v>0</v>
      </c>
      <c r="M11" s="23" t="b">
        <f>L11</f>
        <v>0</v>
      </c>
      <c r="N11" s="242"/>
      <c r="O11" s="22" t="b">
        <f t="shared" si="1"/>
        <v>0</v>
      </c>
      <c r="P11" s="23" t="b">
        <f>O11</f>
        <v>0</v>
      </c>
      <c r="Q11" s="244"/>
      <c r="R11" s="240"/>
    </row>
    <row r="12" spans="1:34" ht="78.5" thickBot="1">
      <c r="A12" s="141"/>
      <c r="B12" s="119" t="s">
        <v>48</v>
      </c>
      <c r="C12" s="12" t="s">
        <v>222</v>
      </c>
      <c r="D12" s="48">
        <v>0.2</v>
      </c>
      <c r="E12" s="35" t="s">
        <v>108</v>
      </c>
      <c r="F12" s="18">
        <v>4</v>
      </c>
      <c r="G12" s="19">
        <v>3</v>
      </c>
      <c r="H12" s="19">
        <v>2</v>
      </c>
      <c r="I12" s="19">
        <v>1</v>
      </c>
      <c r="J12" s="21">
        <f>'Fault Management'!L11</f>
        <v>0</v>
      </c>
      <c r="K12" s="21">
        <f>'Fault Management'!M11</f>
        <v>0</v>
      </c>
      <c r="L12" s="22" t="b">
        <f t="shared" si="0"/>
        <v>0</v>
      </c>
      <c r="M12" s="23" t="b">
        <f>L12</f>
        <v>0</v>
      </c>
      <c r="N12" s="242"/>
      <c r="O12" s="22" t="b">
        <f t="shared" si="1"/>
        <v>0</v>
      </c>
      <c r="P12" s="23" t="b">
        <f>O12</f>
        <v>0</v>
      </c>
      <c r="Q12" s="244"/>
      <c r="R12" s="240"/>
    </row>
    <row r="13" spans="1:34">
      <c r="D13" s="46">
        <f>SUM(D3:D12)</f>
        <v>1</v>
      </c>
    </row>
    <row r="16" spans="1:34" s="110" customFormat="1" ht="43.5" customHeight="1">
      <c r="A16" s="210" t="s">
        <v>159</v>
      </c>
      <c r="B16" s="211"/>
      <c r="C16" s="212"/>
      <c r="D16" s="106" t="s">
        <v>204</v>
      </c>
      <c r="E16" s="107" t="s">
        <v>161</v>
      </c>
      <c r="F16" s="108" t="s">
        <v>40</v>
      </c>
      <c r="G16" s="108" t="s">
        <v>41</v>
      </c>
      <c r="H16" s="108" t="s">
        <v>42</v>
      </c>
      <c r="I16" s="108" t="s">
        <v>43</v>
      </c>
      <c r="J16" s="109" t="s">
        <v>11</v>
      </c>
      <c r="K16" s="109" t="s">
        <v>205</v>
      </c>
      <c r="L16" s="188" t="s">
        <v>207</v>
      </c>
      <c r="M16" s="189"/>
      <c r="N16" s="189"/>
      <c r="O16" s="189"/>
      <c r="P16" s="189"/>
      <c r="Q16" s="189"/>
      <c r="R16" s="190"/>
      <c r="S16"/>
      <c r="T16"/>
      <c r="U16"/>
      <c r="V16"/>
      <c r="W16"/>
      <c r="X16"/>
      <c r="Y16"/>
      <c r="Z16"/>
      <c r="AA16"/>
      <c r="AB16"/>
      <c r="AC16"/>
      <c r="AD16"/>
      <c r="AE16"/>
      <c r="AF16"/>
      <c r="AG16"/>
      <c r="AH16"/>
    </row>
    <row r="17" spans="1:34" s="110" customFormat="1" ht="112" customHeight="1">
      <c r="A17" s="213" t="str">
        <f>'Fault Management'!A18:C18</f>
        <v>Mean Time to Repair (MTTR)</v>
      </c>
      <c r="B17" s="214"/>
      <c r="C17" s="215"/>
      <c r="D17" s="111">
        <f>'Fault Management'!D18</f>
        <v>0.5</v>
      </c>
      <c r="E17" s="112" t="str">
        <f>'Fault Management'!E18</f>
        <v xml:space="preserve">What is the average mean time for the fault repair (time period between fault recovery time and fault detected time)? This duration includes the time taken for fault awareness, analysis, solution generation, and repair.
Calculation formula:
MTTR Benchmark = (Fault recovery time - Fault detected time) / Number of trouble tickets within a specific period of time
Definition:
Fault recovery time is the time when the impacted network equipment reports that the alarm is cleared.
Fault detected time is the time when the fault occured and alarm detected .
Notes:
1. CSP to provide one month trouble tickets and log file. 
2. Each of the trouble ticket needs to be recorded with fault detect and recovery time.
3. MTTR Benchmark refers to remote recovery of fault (critical and major alarms).
</v>
      </c>
      <c r="F17" s="113">
        <v>4</v>
      </c>
      <c r="G17" s="113">
        <v>3</v>
      </c>
      <c r="H17" s="113">
        <v>2</v>
      </c>
      <c r="I17" s="113">
        <v>1</v>
      </c>
      <c r="J17" s="113">
        <f>'Fault Management'!J18</f>
        <v>0</v>
      </c>
      <c r="K17" s="114" t="b">
        <f>IF(J17="A",F17,IF(J17="B",G17,IF(J17="C",H17,IF(J17="D",I17))))</f>
        <v>0</v>
      </c>
      <c r="L17" s="191">
        <f>(D17*K17+D18*K18)/(D17+D18)</f>
        <v>0</v>
      </c>
      <c r="M17" s="191"/>
      <c r="N17" s="191"/>
      <c r="O17" s="191"/>
      <c r="P17" s="191"/>
      <c r="Q17" s="191"/>
      <c r="R17" s="191"/>
      <c r="S17"/>
      <c r="T17"/>
      <c r="U17"/>
      <c r="V17"/>
      <c r="W17"/>
      <c r="X17"/>
      <c r="Y17"/>
      <c r="Z17"/>
      <c r="AA17"/>
      <c r="AB17"/>
      <c r="AC17"/>
      <c r="AD17"/>
      <c r="AE17"/>
      <c r="AF17"/>
      <c r="AG17"/>
      <c r="AH17"/>
    </row>
    <row r="18" spans="1:34" s="110" customFormat="1" ht="125" customHeight="1">
      <c r="A18" s="216" t="str">
        <f>'Fault Management'!A19:C19</f>
        <v>Zero-touch Trouble Ticket(TT) ratio</v>
      </c>
      <c r="B18" s="217"/>
      <c r="C18" s="218"/>
      <c r="D18" s="115">
        <f>'Fault Management'!D19</f>
        <v>0.5</v>
      </c>
      <c r="E18" s="112" t="str">
        <f>'Fault Management'!E19</f>
        <v xml:space="preserve">What is the percentage of trouble tickets without NOC manual intervention among all trouble tickets?
Formula: 
Zero-touch TT ratio =  Number of trouble tickets without NOC manual intervention / Number of trouble tickets within a specific period of time 
Notes:
1. CSP to provide one month trouble tickets and log information.
2. No manual intervention with NOC means that no NOC human employee effort on O&amp;M activities such as correlation, root cause analysis, diagnosis, network configuration, etc. The activities exclude information review and decision approval.
</v>
      </c>
      <c r="F18" s="113">
        <v>4</v>
      </c>
      <c r="G18" s="113">
        <v>3</v>
      </c>
      <c r="H18" s="113">
        <v>2</v>
      </c>
      <c r="I18" s="113">
        <v>1</v>
      </c>
      <c r="J18" s="113">
        <f>'Fault Management'!J19</f>
        <v>0</v>
      </c>
      <c r="K18" s="114" t="b">
        <f>IF(J18="A",F18,IF(J18="B",G18,IF(J18="C",H18,IF(J18="D",I18))))</f>
        <v>0</v>
      </c>
      <c r="L18" s="191"/>
      <c r="M18" s="191"/>
      <c r="N18" s="191"/>
      <c r="O18" s="191"/>
      <c r="P18" s="191"/>
      <c r="Q18" s="191"/>
      <c r="R18" s="191"/>
      <c r="S18"/>
      <c r="T18"/>
      <c r="U18"/>
      <c r="V18"/>
      <c r="W18"/>
      <c r="X18"/>
      <c r="Y18"/>
      <c r="Z18"/>
      <c r="AA18"/>
      <c r="AB18"/>
      <c r="AC18"/>
      <c r="AD18"/>
      <c r="AE18"/>
      <c r="AF18"/>
      <c r="AG18"/>
      <c r="AH18"/>
    </row>
    <row r="19" spans="1:34" s="110" customFormat="1">
      <c r="F19" s="116"/>
      <c r="G19" s="116"/>
      <c r="H19" s="116"/>
      <c r="I19" s="116"/>
      <c r="J19" s="116"/>
      <c r="K19" s="116"/>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row>
    <row r="20" spans="1:34" s="110" customFormat="1">
      <c r="F20" s="116"/>
      <c r="G20" s="116"/>
      <c r="H20" s="116"/>
      <c r="I20" s="116"/>
      <c r="J20" s="116"/>
      <c r="K20" s="116"/>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row>
    <row r="21" spans="1:34" s="110" customFormat="1">
      <c r="E21" s="110" t="s">
        <v>206</v>
      </c>
      <c r="F21" s="116"/>
      <c r="G21" s="116"/>
      <c r="H21" s="116"/>
      <c r="I21" s="116"/>
      <c r="J21" s="116"/>
      <c r="K21" s="116"/>
      <c r="L21" s="116"/>
      <c r="M21" s="116"/>
      <c r="N21" s="116"/>
      <c r="O21" s="116"/>
      <c r="P21" s="116"/>
      <c r="Q21" s="116"/>
      <c r="R21" s="116"/>
      <c r="S21" s="116"/>
      <c r="T21" s="116"/>
      <c r="U21" s="116"/>
      <c r="V21" s="116"/>
      <c r="W21" s="116"/>
      <c r="X21" s="116"/>
      <c r="Y21" s="116"/>
      <c r="Z21" s="116"/>
      <c r="AA21" s="116"/>
      <c r="AB21" s="116"/>
      <c r="AC21" s="116"/>
      <c r="AD21" s="116"/>
      <c r="AE21" s="116"/>
      <c r="AF21" s="116"/>
      <c r="AG21" s="116"/>
      <c r="AH21" s="116"/>
    </row>
    <row r="22" spans="1:34" s="110" customFormat="1">
      <c r="F22" s="116"/>
      <c r="G22" s="116"/>
      <c r="H22" s="116"/>
      <c r="I22" s="116"/>
      <c r="J22" s="116"/>
      <c r="K22" s="116"/>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row>
    <row r="23" spans="1:34" s="110" customFormat="1">
      <c r="F23" s="116"/>
      <c r="G23" s="116"/>
      <c r="H23" s="116"/>
      <c r="I23" s="116"/>
      <c r="J23" s="116"/>
      <c r="K23" s="116"/>
      <c r="L23" s="116"/>
      <c r="M23" s="116"/>
      <c r="N23" s="116"/>
      <c r="O23" s="116"/>
      <c r="P23" s="116"/>
      <c r="Q23" s="116"/>
      <c r="R23" s="116"/>
      <c r="S23" s="116"/>
      <c r="T23" s="116"/>
      <c r="U23" s="116"/>
      <c r="V23" s="116"/>
      <c r="W23" s="116"/>
      <c r="X23" s="116"/>
      <c r="Y23" s="116"/>
      <c r="Z23" s="116"/>
      <c r="AA23" s="116"/>
      <c r="AB23" s="116"/>
      <c r="AC23" s="116"/>
      <c r="AD23" s="116"/>
      <c r="AE23" s="116"/>
      <c r="AF23" s="116"/>
      <c r="AG23" s="116"/>
      <c r="AH23" s="116"/>
    </row>
    <row r="24" spans="1:34" s="110" customFormat="1" ht="13.5" customHeight="1">
      <c r="F24" s="116"/>
      <c r="G24" s="116"/>
      <c r="H24" s="116"/>
      <c r="I24" s="185" t="s">
        <v>214</v>
      </c>
      <c r="J24" s="185"/>
      <c r="K24" s="185"/>
      <c r="L24" s="192" t="e">
        <f>R5</f>
        <v>#DIV/0!</v>
      </c>
      <c r="M24" s="193"/>
      <c r="N24" s="193"/>
      <c r="O24" s="193"/>
      <c r="P24" s="193"/>
      <c r="Q24" s="193"/>
      <c r="R24" s="194"/>
      <c r="S24"/>
      <c r="T24"/>
      <c r="U24"/>
      <c r="V24"/>
      <c r="W24"/>
      <c r="X24"/>
      <c r="Y24"/>
      <c r="Z24"/>
      <c r="AA24"/>
      <c r="AB24"/>
      <c r="AC24"/>
      <c r="AD24"/>
      <c r="AE24"/>
      <c r="AF24"/>
      <c r="AG24"/>
      <c r="AH24"/>
    </row>
    <row r="25" spans="1:34" s="110" customFormat="1" ht="13.5" customHeight="1">
      <c r="F25" s="116"/>
      <c r="G25" s="116"/>
      <c r="H25" s="116"/>
      <c r="I25" s="186"/>
      <c r="J25" s="186"/>
      <c r="K25" s="186"/>
      <c r="L25" s="195"/>
      <c r="M25" s="196"/>
      <c r="N25" s="196"/>
      <c r="O25" s="196"/>
      <c r="P25" s="196"/>
      <c r="Q25" s="196"/>
      <c r="R25" s="197"/>
      <c r="S25"/>
      <c r="T25"/>
      <c r="U25"/>
      <c r="V25"/>
      <c r="W25"/>
      <c r="X25"/>
      <c r="Y25"/>
      <c r="Z25"/>
      <c r="AA25"/>
      <c r="AB25"/>
      <c r="AC25"/>
      <c r="AD25"/>
      <c r="AE25"/>
      <c r="AF25"/>
      <c r="AG25"/>
      <c r="AH25"/>
    </row>
    <row r="26" spans="1:34" s="110" customFormat="1" ht="13.5" customHeight="1">
      <c r="F26" s="116"/>
      <c r="G26" s="116"/>
      <c r="H26" s="116"/>
      <c r="I26" s="187"/>
      <c r="J26" s="187"/>
      <c r="K26" s="187"/>
      <c r="L26" s="198"/>
      <c r="M26" s="199"/>
      <c r="N26" s="199"/>
      <c r="O26" s="199"/>
      <c r="P26" s="199"/>
      <c r="Q26" s="199"/>
      <c r="R26" s="200"/>
      <c r="S26"/>
      <c r="T26"/>
      <c r="U26"/>
      <c r="V26"/>
      <c r="W26"/>
      <c r="X26"/>
      <c r="Y26"/>
      <c r="Z26"/>
      <c r="AA26"/>
      <c r="AB26"/>
      <c r="AC26"/>
      <c r="AD26"/>
      <c r="AE26"/>
      <c r="AF26"/>
      <c r="AG26"/>
      <c r="AH26"/>
    </row>
    <row r="27" spans="1:34" s="110" customFormat="1">
      <c r="F27" s="116"/>
      <c r="G27" s="116"/>
      <c r="H27" s="116"/>
      <c r="I27" s="116"/>
      <c r="J27" s="116"/>
      <c r="K27" s="116"/>
      <c r="L27" s="116"/>
      <c r="M27" s="116"/>
      <c r="N27" s="116"/>
      <c r="O27" s="116"/>
      <c r="P27" s="116"/>
      <c r="Q27" s="116"/>
      <c r="R27" s="116"/>
      <c r="S27"/>
      <c r="T27"/>
      <c r="U27"/>
      <c r="V27"/>
      <c r="W27"/>
      <c r="X27"/>
      <c r="Y27"/>
      <c r="Z27"/>
      <c r="AA27"/>
      <c r="AB27"/>
      <c r="AC27"/>
      <c r="AD27"/>
      <c r="AE27"/>
      <c r="AF27"/>
      <c r="AG27"/>
      <c r="AH27"/>
    </row>
    <row r="28" spans="1:34" s="110" customFormat="1" ht="14" customHeight="1">
      <c r="F28" s="116"/>
      <c r="G28" s="116"/>
      <c r="H28" s="116"/>
      <c r="I28" s="185" t="s">
        <v>215</v>
      </c>
      <c r="J28" s="185"/>
      <c r="K28" s="185"/>
      <c r="L28" s="201">
        <f>L17</f>
        <v>0</v>
      </c>
      <c r="M28" s="202"/>
      <c r="N28" s="202"/>
      <c r="O28" s="202"/>
      <c r="P28" s="202"/>
      <c r="Q28" s="202"/>
      <c r="R28" s="203"/>
      <c r="S28"/>
      <c r="T28"/>
      <c r="U28"/>
      <c r="V28"/>
      <c r="W28"/>
      <c r="X28"/>
      <c r="Y28"/>
      <c r="Z28"/>
      <c r="AA28"/>
      <c r="AB28"/>
      <c r="AC28"/>
      <c r="AD28"/>
      <c r="AE28"/>
      <c r="AF28"/>
      <c r="AG28"/>
      <c r="AH28"/>
    </row>
    <row r="29" spans="1:34" s="110" customFormat="1" ht="14" customHeight="1">
      <c r="F29" s="116"/>
      <c r="G29" s="116"/>
      <c r="H29" s="116"/>
      <c r="I29" s="186"/>
      <c r="J29" s="186"/>
      <c r="K29" s="186"/>
      <c r="L29" s="204"/>
      <c r="M29" s="205"/>
      <c r="N29" s="205"/>
      <c r="O29" s="205"/>
      <c r="P29" s="205"/>
      <c r="Q29" s="205"/>
      <c r="R29" s="206"/>
      <c r="S29"/>
      <c r="T29"/>
      <c r="U29"/>
      <c r="V29"/>
      <c r="W29"/>
      <c r="X29"/>
      <c r="Y29"/>
      <c r="Z29"/>
      <c r="AA29"/>
      <c r="AB29"/>
      <c r="AC29"/>
      <c r="AD29"/>
      <c r="AE29"/>
      <c r="AF29"/>
      <c r="AG29"/>
      <c r="AH29"/>
    </row>
    <row r="30" spans="1:34" s="110" customFormat="1" ht="14" customHeight="1">
      <c r="F30" s="116"/>
      <c r="G30" s="116"/>
      <c r="H30" s="116"/>
      <c r="I30" s="187"/>
      <c r="J30" s="187"/>
      <c r="K30" s="187"/>
      <c r="L30" s="207"/>
      <c r="M30" s="208"/>
      <c r="N30" s="208"/>
      <c r="O30" s="208"/>
      <c r="P30" s="208"/>
      <c r="Q30" s="208"/>
      <c r="R30" s="209"/>
      <c r="S30"/>
      <c r="T30"/>
      <c r="U30"/>
      <c r="V30"/>
      <c r="W30"/>
      <c r="X30"/>
      <c r="Y30"/>
      <c r="Z30"/>
      <c r="AA30"/>
      <c r="AB30"/>
      <c r="AC30"/>
      <c r="AD30"/>
      <c r="AE30"/>
      <c r="AF30"/>
      <c r="AG30"/>
      <c r="AH30"/>
    </row>
    <row r="31" spans="1:34">
      <c r="S31"/>
    </row>
  </sheetData>
  <mergeCells count="27">
    <mergeCell ref="R5:R12"/>
    <mergeCell ref="N5:N12"/>
    <mergeCell ref="Q5:Q12"/>
    <mergeCell ref="A5:A12"/>
    <mergeCell ref="B7:B10"/>
    <mergeCell ref="A16:C16"/>
    <mergeCell ref="A17:C17"/>
    <mergeCell ref="A18:C18"/>
    <mergeCell ref="F1:R1"/>
    <mergeCell ref="A1:A4"/>
    <mergeCell ref="D1:D4"/>
    <mergeCell ref="E1:E4"/>
    <mergeCell ref="B1:B4"/>
    <mergeCell ref="C1:C4"/>
    <mergeCell ref="O2:Q2"/>
    <mergeCell ref="R2:R4"/>
    <mergeCell ref="L3:N3"/>
    <mergeCell ref="O3:Q3"/>
    <mergeCell ref="F2:I3"/>
    <mergeCell ref="J2:K3"/>
    <mergeCell ref="L2:N2"/>
    <mergeCell ref="I24:K26"/>
    <mergeCell ref="I28:K30"/>
    <mergeCell ref="L16:R16"/>
    <mergeCell ref="L17:R18"/>
    <mergeCell ref="L24:R26"/>
    <mergeCell ref="L28:R30"/>
  </mergeCells>
  <phoneticPr fontId="1" type="noConversion"/>
  <dataValidations count="1">
    <dataValidation type="list" allowBlank="1" showInputMessage="1" showErrorMessage="1" sqref="F24:F25" xr:uid="{16CE04CA-30F3-492A-B2CA-E1F0DCF8EB68}">
      <formula1>"A,B,C"</formula1>
    </dataValidation>
  </dataValidation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A089-45D0-4F6A-B9F3-D9AB78175048}">
  <dimension ref="C3:F24"/>
  <sheetViews>
    <sheetView zoomScaleNormal="100" workbookViewId="0">
      <selection activeCell="J16" sqref="J16"/>
    </sheetView>
  </sheetViews>
  <sheetFormatPr defaultColWidth="8.81640625" defaultRowHeight="14.5"/>
  <cols>
    <col min="1" max="1" width="1" style="51" customWidth="1"/>
    <col min="2" max="2" width="2.08984375" style="51" customWidth="1"/>
    <col min="3" max="3" width="4" style="51" customWidth="1"/>
    <col min="4" max="4" width="34.26953125" style="51" customWidth="1"/>
    <col min="5" max="5" width="29.7265625" style="51" bestFit="1" customWidth="1"/>
    <col min="6" max="6" width="21.36328125" style="51" customWidth="1"/>
    <col min="7" max="16384" width="8.81640625" style="51"/>
  </cols>
  <sheetData>
    <row r="3" spans="3:6">
      <c r="C3" s="49"/>
      <c r="D3" s="50"/>
    </row>
    <row r="4" spans="3:6">
      <c r="C4" s="49"/>
      <c r="D4" s="50"/>
    </row>
    <row r="5" spans="3:6" s="49" customFormat="1">
      <c r="D5" s="52" t="s">
        <v>28</v>
      </c>
      <c r="E5" s="52" t="s">
        <v>27</v>
      </c>
      <c r="F5" s="52" t="s">
        <v>26</v>
      </c>
    </row>
    <row r="6" spans="3:6" s="49" customFormat="1" ht="20.25" customHeight="1">
      <c r="D6" s="53" t="s">
        <v>114</v>
      </c>
      <c r="E6" s="54" t="s">
        <v>20</v>
      </c>
      <c r="F6" s="55" t="s">
        <v>25</v>
      </c>
    </row>
    <row r="7" spans="3:6" s="49" customFormat="1" ht="20.25" customHeight="1">
      <c r="D7" s="53" t="s">
        <v>115</v>
      </c>
      <c r="E7" s="54" t="s">
        <v>29</v>
      </c>
      <c r="F7" s="55" t="s">
        <v>24</v>
      </c>
    </row>
    <row r="8" spans="3:6" ht="20.25" customHeight="1">
      <c r="D8" s="53" t="s">
        <v>116</v>
      </c>
      <c r="E8" s="54" t="s">
        <v>20</v>
      </c>
      <c r="F8" s="55" t="s">
        <v>24</v>
      </c>
    </row>
    <row r="9" spans="3:6" s="49" customFormat="1" ht="20.25" customHeight="1">
      <c r="D9" s="53" t="s">
        <v>117</v>
      </c>
      <c r="E9" s="54" t="s">
        <v>20</v>
      </c>
      <c r="F9" s="55" t="s">
        <v>23</v>
      </c>
    </row>
    <row r="10" spans="3:6" ht="20.25" customHeight="1">
      <c r="D10" s="53" t="s">
        <v>118</v>
      </c>
      <c r="E10" s="54" t="s">
        <v>20</v>
      </c>
      <c r="F10" s="55" t="s">
        <v>30</v>
      </c>
    </row>
    <row r="11" spans="3:6" ht="20.25" customHeight="1">
      <c r="D11" s="117" t="s">
        <v>210</v>
      </c>
      <c r="E11" s="54" t="s">
        <v>20</v>
      </c>
      <c r="F11" s="55" t="s">
        <v>30</v>
      </c>
    </row>
    <row r="12" spans="3:6" ht="20.25" customHeight="1">
      <c r="D12" s="118" t="s">
        <v>213</v>
      </c>
      <c r="E12" s="54" t="s">
        <v>212</v>
      </c>
      <c r="F12" s="55" t="s">
        <v>211</v>
      </c>
    </row>
    <row r="13" spans="3:6" ht="20.25" customHeight="1">
      <c r="D13" s="53" t="s">
        <v>119</v>
      </c>
      <c r="E13" s="54" t="s">
        <v>21</v>
      </c>
      <c r="F13" s="55" t="s">
        <v>211</v>
      </c>
    </row>
    <row r="14" spans="3:6" ht="20.25" customHeight="1">
      <c r="D14" s="53" t="s">
        <v>120</v>
      </c>
      <c r="E14" s="54" t="s">
        <v>21</v>
      </c>
      <c r="F14" s="55" t="s">
        <v>121</v>
      </c>
    </row>
    <row r="15" spans="3:6" ht="20.25" customHeight="1">
      <c r="D15" s="53" t="s">
        <v>122</v>
      </c>
      <c r="E15" s="54" t="s">
        <v>123</v>
      </c>
      <c r="F15" s="55" t="s">
        <v>121</v>
      </c>
    </row>
    <row r="16" spans="3:6" ht="20.25" customHeight="1">
      <c r="D16" s="53" t="s">
        <v>124</v>
      </c>
      <c r="E16" s="54" t="s">
        <v>125</v>
      </c>
      <c r="F16" s="55" t="s">
        <v>121</v>
      </c>
    </row>
    <row r="17" spans="4:6" ht="20.25" customHeight="1">
      <c r="D17" s="53" t="s">
        <v>126</v>
      </c>
      <c r="E17" s="54" t="s">
        <v>21</v>
      </c>
      <c r="F17" s="55" t="s">
        <v>121</v>
      </c>
    </row>
    <row r="18" spans="4:6" ht="20.25" customHeight="1">
      <c r="D18" s="53" t="s">
        <v>127</v>
      </c>
      <c r="E18" s="54" t="s">
        <v>21</v>
      </c>
      <c r="F18" s="55" t="s">
        <v>121</v>
      </c>
    </row>
    <row r="19" spans="4:6" ht="20.25" customHeight="1">
      <c r="D19" s="53" t="s">
        <v>128</v>
      </c>
      <c r="E19" s="54" t="s">
        <v>129</v>
      </c>
      <c r="F19" s="55" t="s">
        <v>121</v>
      </c>
    </row>
    <row r="20" spans="4:6" ht="20.25" customHeight="1">
      <c r="D20" s="53" t="s">
        <v>130</v>
      </c>
      <c r="E20" s="54" t="s">
        <v>131</v>
      </c>
      <c r="F20" s="55" t="s">
        <v>121</v>
      </c>
    </row>
    <row r="21" spans="4:6" ht="20.25" customHeight="1">
      <c r="D21" s="53" t="s">
        <v>132</v>
      </c>
      <c r="E21" s="54" t="s">
        <v>20</v>
      </c>
      <c r="F21" s="55" t="s">
        <v>121</v>
      </c>
    </row>
    <row r="22" spans="4:6" ht="20.25" customHeight="1">
      <c r="D22" s="53" t="s">
        <v>133</v>
      </c>
      <c r="E22" s="54" t="s">
        <v>20</v>
      </c>
      <c r="F22" s="55" t="s">
        <v>121</v>
      </c>
    </row>
    <row r="23" spans="4:6" ht="20.25" customHeight="1">
      <c r="D23" s="53" t="s">
        <v>134</v>
      </c>
      <c r="E23" s="54" t="s">
        <v>21</v>
      </c>
      <c r="F23" s="55" t="s">
        <v>121</v>
      </c>
    </row>
    <row r="24" spans="4:6" ht="20.25" customHeight="1">
      <c r="D24" s="53" t="s">
        <v>135</v>
      </c>
      <c r="E24" s="54" t="s">
        <v>22</v>
      </c>
      <c r="F24" s="55" t="s">
        <v>121</v>
      </c>
    </row>
  </sheetData>
  <sheetProtection formatCells="0" insertHyperlinks="0" autoFilter="0"/>
  <phoneticPr fontId="1" type="noConversion"/>
  <hyperlinks>
    <hyperlink ref="D6" r:id="rId1" display="https://projects.tmforum.org/wiki/display/~kevin.mcdonnell@huawei.com" xr:uid="{EC478C7D-37FD-4010-9959-0FEA779C7F31}"/>
    <hyperlink ref="D7" r:id="rId2" display="https://projects.tmforum.org/wiki/display/~pedro.garciaparra@telefonica.com" xr:uid="{429CCAA8-CFB8-4CC7-9774-3F391C44944B}"/>
    <hyperlink ref="D8" r:id="rId3" display="https://projects.tmforum.org/wiki/display/~fernando.camacho1@huawei.com" xr:uid="{AA974B75-26B1-4A06-973F-BC54E0E432DE}"/>
    <hyperlink ref="D9" r:id="rId4" display="https://projects.tmforum.org/wiki/display/~goh.khiang.chew@huawei.com" xr:uid="{0551C99B-435E-4499-88C0-F3317AE91373}"/>
    <hyperlink ref="D10" r:id="rId5" display="https://projects.tmforum.org/wiki/display/~delia@huawei.com" xr:uid="{AC765FAF-3D94-4BE9-AF9B-4DB4341E43F8}"/>
    <hyperlink ref="D13" r:id="rId6" display="https://projects.tmforum.org/wiki/display/~tony.salim@ericsson.com" xr:uid="{435E48BD-B79C-4FEA-A444-F931CCEA1F6C}"/>
    <hyperlink ref="D14" r:id="rId7" display="https://projects.tmforum.org/wiki/display/~saeed.mohamed@ericsson.com" xr:uid="{5D7453DF-68AB-468B-A900-A81F75FBB636}"/>
    <hyperlink ref="D15" r:id="rId8" display="https://projects.tmforum.org/wiki/display/~luqman@makman.co" xr:uid="{E244CE6C-DCBF-4C42-83B5-ADE17E57E075}"/>
    <hyperlink ref="D16" r:id="rId9" display="https://projects.tmforum.org/wiki/display/~menno.groen@kpn.com" xr:uid="{D00F55C9-EBF6-48E2-8783-D91F6575E290}"/>
    <hyperlink ref="D17" r:id="rId10" display="https://projects.tmforum.org/wiki/display/~jorgen.holmstrom@ericsson.com" xr:uid="{8FF8EFFC-C7DD-4456-A594-F425228DD934}"/>
    <hyperlink ref="D18" r:id="rId11" display="https://projects.tmforum.org/wiki/display/~david.condon@ericsson.com" xr:uid="{C1BA670B-95FC-4BDB-BC98-E81FE5C5762C}"/>
    <hyperlink ref="D19" r:id="rId12" display="https://projects.tmforum.org/wiki/display/~asser.elnahas@orange.com" xr:uid="{0D8B1FB9-8B25-4ED3-B912-FDE8FD7A20E1}"/>
    <hyperlink ref="D20" r:id="rId13" display="https://projects.tmforum.org/wiki/display/~yinruowei@cmdi.chinamobile.com" xr:uid="{2D7C3821-8399-4A40-8312-31685D8598B9}"/>
    <hyperlink ref="D21" r:id="rId14" display="https://projects.tmforum.org/wiki/display/~xuruiyue@huawei.com" xr:uid="{80150537-F43F-4DD7-95C2-7211702639A9}"/>
    <hyperlink ref="D22" r:id="rId15" display="https://projects.tmforum.org/wiki/display/~zhilong.yang@huawei.com" xr:uid="{AF7D23A4-C984-4E28-89F7-64B94C3475DB}"/>
    <hyperlink ref="D23" r:id="rId16" display="https://projects.tmforum.org/wiki/display/~dinis.diogo@ericsson.com" xr:uid="{BE46CC2B-98CF-41C5-A345-D4B6E7F23BE9}"/>
    <hyperlink ref="D24" r:id="rId17" display="https://projects.tmforum.org/wiki/display/~esa.vesterinen@detecon.com" xr:uid="{5C5EC046-275F-4ACA-BC0F-1725766D170D}"/>
    <hyperlink ref="D11" r:id="rId18" xr:uid="{14C5214C-3575-4C48-B977-65E1937E4283}"/>
    <hyperlink ref="D12" r:id="rId19" xr:uid="{EAD055B3-CEE4-48C9-A503-C92AF706ECED}"/>
  </hyperlinks>
  <pageMargins left="0.7" right="0.7" top="0.75" bottom="0.75" header="0.3" footer="0.3"/>
  <pageSetup orientation="portrait" horizontalDpi="1200" verticalDpi="1200" r:id="rId2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FC119-AF26-4683-A2A4-4B7D4CAAA599}">
  <dimension ref="A1:F25"/>
  <sheetViews>
    <sheetView zoomScaleNormal="100" workbookViewId="0">
      <selection activeCell="A12" sqref="A12:B12"/>
    </sheetView>
  </sheetViews>
  <sheetFormatPr defaultColWidth="8.7265625" defaultRowHeight="14.5"/>
  <cols>
    <col min="1" max="4" width="19.6328125" style="24" customWidth="1"/>
    <col min="5" max="16384" width="8.7265625" style="24"/>
  </cols>
  <sheetData>
    <row r="1" spans="1:6">
      <c r="A1" s="246" t="s">
        <v>46</v>
      </c>
      <c r="B1" s="247"/>
      <c r="C1" s="252" t="s">
        <v>11</v>
      </c>
      <c r="D1" s="253"/>
      <c r="E1" s="25"/>
      <c r="F1" s="25"/>
    </row>
    <row r="2" spans="1:6">
      <c r="A2" s="248"/>
      <c r="B2" s="249"/>
      <c r="C2" s="26" t="s">
        <v>78</v>
      </c>
      <c r="D2" s="26" t="s">
        <v>79</v>
      </c>
      <c r="E2" s="25"/>
      <c r="F2" s="25"/>
    </row>
    <row r="3" spans="1:6" ht="27.75" customHeight="1">
      <c r="A3" s="250" t="s">
        <v>47</v>
      </c>
      <c r="B3" s="250"/>
      <c r="C3" s="44">
        <f>'Fault Management'!L3</f>
        <v>0.7</v>
      </c>
      <c r="D3" s="44">
        <f>'Fault Management'!M3</f>
        <v>0.3</v>
      </c>
      <c r="E3" s="25"/>
      <c r="F3" s="25"/>
    </row>
    <row r="4" spans="1:6">
      <c r="A4" s="3" t="s">
        <v>13</v>
      </c>
      <c r="B4" s="12" t="s">
        <v>14</v>
      </c>
      <c r="C4" s="27" t="str">
        <f>IF('Fault Management'!L4="A", "S","P")</f>
        <v>P</v>
      </c>
      <c r="D4" s="27" t="str">
        <f>IF('Fault Management'!M4="A", "S","P")</f>
        <v>P</v>
      </c>
      <c r="E4" s="25"/>
      <c r="F4" s="25"/>
    </row>
    <row r="5" spans="1:6">
      <c r="A5" s="3" t="s">
        <v>15</v>
      </c>
      <c r="B5" s="12" t="s">
        <v>66</v>
      </c>
      <c r="C5" s="27" t="str">
        <f>IF('Fault Management'!L5="A", "S","P")</f>
        <v>P</v>
      </c>
      <c r="D5" s="27" t="str">
        <f>IF('Fault Management'!M5="A", "S","P")</f>
        <v>P</v>
      </c>
      <c r="E5" s="25"/>
      <c r="F5" s="25"/>
    </row>
    <row r="6" spans="1:6" ht="26">
      <c r="A6" s="138" t="s">
        <v>16</v>
      </c>
      <c r="B6" s="12" t="s">
        <v>68</v>
      </c>
      <c r="C6" s="27" t="str">
        <f>IF('Fault Management'!L6="A", "S","P")</f>
        <v>P</v>
      </c>
      <c r="D6" s="27" t="str">
        <f>IF('Fault Management'!M6="A", "S","P")</f>
        <v>P</v>
      </c>
      <c r="E6" s="25"/>
      <c r="F6" s="25"/>
    </row>
    <row r="7" spans="1:6">
      <c r="A7" s="139"/>
      <c r="B7" s="12" t="s">
        <v>67</v>
      </c>
      <c r="C7" s="27" t="str">
        <f>IF('Fault Management'!L7="A", "S","P")</f>
        <v>P</v>
      </c>
      <c r="D7" s="27" t="str">
        <f>IF('Fault Management'!M7="A", "S","P")</f>
        <v>P</v>
      </c>
      <c r="E7" s="25"/>
      <c r="F7" s="25"/>
    </row>
    <row r="8" spans="1:6" ht="26">
      <c r="A8" s="139"/>
      <c r="B8" s="12" t="s">
        <v>145</v>
      </c>
      <c r="C8" s="27" t="str">
        <f>IF('Fault Management'!L8="A", "S","P")</f>
        <v>P</v>
      </c>
      <c r="D8" s="27" t="str">
        <f>IF('Fault Management'!M8="A", "S","P")</f>
        <v>P</v>
      </c>
      <c r="E8" s="25"/>
      <c r="F8" s="25"/>
    </row>
    <row r="9" spans="1:6">
      <c r="A9" s="140"/>
      <c r="B9" s="12" t="s">
        <v>98</v>
      </c>
      <c r="C9" s="27" t="str">
        <f>IF('Fault Management'!L9="A", "S","P")</f>
        <v>P</v>
      </c>
      <c r="D9" s="27" t="str">
        <f>IF('Fault Management'!M9="A", "S","P")</f>
        <v>P</v>
      </c>
      <c r="E9" s="25"/>
      <c r="F9" s="25"/>
    </row>
    <row r="10" spans="1:6" ht="22.5" customHeight="1">
      <c r="A10" s="47" t="s">
        <v>17</v>
      </c>
      <c r="B10" s="12" t="s">
        <v>105</v>
      </c>
      <c r="C10" s="27" t="str">
        <f>IF('Fault Management'!L10="A", "S","P")</f>
        <v>P</v>
      </c>
      <c r="D10" s="27" t="str">
        <f>IF('Fault Management'!M10="A", "S","P")</f>
        <v>P</v>
      </c>
      <c r="E10" s="25"/>
      <c r="F10" s="25"/>
    </row>
    <row r="11" spans="1:6" ht="26">
      <c r="A11" s="119" t="s">
        <v>48</v>
      </c>
      <c r="B11" s="12" t="s">
        <v>222</v>
      </c>
      <c r="C11" s="27" t="str">
        <f>IF('Fault Management'!L11="A", "S","P")</f>
        <v>P</v>
      </c>
      <c r="D11" s="27" t="str">
        <f>IF('Fault Management'!M11="A", "S","P")</f>
        <v>P</v>
      </c>
      <c r="E11" s="25"/>
      <c r="F11" s="25"/>
    </row>
    <row r="12" spans="1:6" ht="15.5">
      <c r="A12" s="251" t="s">
        <v>49</v>
      </c>
      <c r="B12" s="251"/>
      <c r="C12" s="28"/>
      <c r="D12" s="28"/>
      <c r="E12" s="25"/>
      <c r="F12" s="25"/>
    </row>
    <row r="13" spans="1:6">
      <c r="A13" s="245" t="s">
        <v>50</v>
      </c>
      <c r="B13" s="245"/>
      <c r="C13" s="245"/>
      <c r="D13" s="245"/>
      <c r="E13" s="25"/>
      <c r="F13" s="25"/>
    </row>
    <row r="14" spans="1:6">
      <c r="A14" s="25"/>
      <c r="B14" s="25"/>
      <c r="C14" s="25"/>
      <c r="D14" s="25"/>
      <c r="E14" s="25"/>
      <c r="F14" s="25"/>
    </row>
    <row r="15" spans="1:6">
      <c r="A15" s="29" t="s">
        <v>51</v>
      </c>
      <c r="B15" s="29" t="s">
        <v>52</v>
      </c>
      <c r="C15" s="29" t="s">
        <v>53</v>
      </c>
      <c r="D15" s="25"/>
      <c r="E15" s="25"/>
      <c r="F15" s="25"/>
    </row>
    <row r="16" spans="1:6">
      <c r="A16" s="30" t="s">
        <v>54</v>
      </c>
      <c r="B16" s="25"/>
      <c r="C16" s="25"/>
      <c r="D16" s="25"/>
      <c r="E16" s="25"/>
      <c r="F16" s="25"/>
    </row>
    <row r="17" spans="1:6">
      <c r="A17" s="31" t="s">
        <v>55</v>
      </c>
      <c r="B17" s="25"/>
      <c r="C17" s="25"/>
      <c r="D17" s="25"/>
      <c r="E17" s="25"/>
      <c r="F17" s="25"/>
    </row>
    <row r="18" spans="1:6">
      <c r="A18" s="32" t="s">
        <v>56</v>
      </c>
      <c r="B18" s="30"/>
      <c r="C18" s="25"/>
      <c r="D18" s="25"/>
      <c r="E18" s="25"/>
      <c r="F18" s="25"/>
    </row>
    <row r="19" spans="1:6">
      <c r="A19" s="33" t="s">
        <v>57</v>
      </c>
      <c r="B19" s="30"/>
      <c r="C19" s="25"/>
      <c r="D19" s="25"/>
      <c r="E19" s="25"/>
      <c r="F19" s="25"/>
    </row>
    <row r="20" spans="1:6">
      <c r="A20" s="33" t="s">
        <v>58</v>
      </c>
      <c r="B20" s="30"/>
      <c r="C20" s="25"/>
      <c r="D20" s="25"/>
      <c r="E20" s="25"/>
      <c r="F20" s="25"/>
    </row>
    <row r="21" spans="1:6">
      <c r="A21" s="33" t="s">
        <v>59</v>
      </c>
      <c r="B21" s="30"/>
      <c r="C21" s="25"/>
      <c r="D21" s="25"/>
      <c r="E21" s="25"/>
      <c r="F21" s="25"/>
    </row>
    <row r="22" spans="1:6">
      <c r="A22" s="32" t="s">
        <v>60</v>
      </c>
      <c r="B22" s="30"/>
      <c r="C22" s="25"/>
      <c r="D22" s="25"/>
      <c r="E22" s="25"/>
      <c r="F22" s="25"/>
    </row>
    <row r="23" spans="1:6">
      <c r="A23" s="33" t="s">
        <v>61</v>
      </c>
      <c r="B23" s="30"/>
      <c r="C23" s="25"/>
      <c r="D23" s="25"/>
      <c r="E23" s="25"/>
      <c r="F23" s="25"/>
    </row>
    <row r="24" spans="1:6">
      <c r="A24" s="33" t="s">
        <v>62</v>
      </c>
      <c r="B24" s="30"/>
      <c r="C24" s="25"/>
      <c r="D24" s="25"/>
      <c r="E24" s="25"/>
      <c r="F24" s="25"/>
    </row>
    <row r="25" spans="1:6">
      <c r="A25" s="25"/>
      <c r="B25" s="25"/>
      <c r="C25" s="25"/>
      <c r="D25" s="25"/>
      <c r="E25" s="25"/>
      <c r="F25" s="25"/>
    </row>
  </sheetData>
  <mergeCells count="6">
    <mergeCell ref="A13:D13"/>
    <mergeCell ref="A1:B2"/>
    <mergeCell ref="A3:B3"/>
    <mergeCell ref="A12:B12"/>
    <mergeCell ref="A6:A9"/>
    <mergeCell ref="C1:D1"/>
  </mergeCells>
  <phoneticPr fontId="1" type="noConversion"/>
  <pageMargins left="0.7" right="0.7" top="0.75" bottom="0.75" header="0.3" footer="0.3"/>
  <pageSetup paperSize="9" orientation="portrait" horizontalDpi="4294967294"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2BEFE22FE2AE44C8A7ED1880C481F97" ma:contentTypeVersion="13" ma:contentTypeDescription="Create a new document." ma:contentTypeScope="" ma:versionID="a62db32b43682a8635160fb2d7f19e2e">
  <xsd:schema xmlns:xsd="http://www.w3.org/2001/XMLSchema" xmlns:xs="http://www.w3.org/2001/XMLSchema" xmlns:p="http://schemas.microsoft.com/office/2006/metadata/properties" xmlns:ns2="6787c073-3ca9-4904-98f0-2db325fddc11" xmlns:ns3="b9cbfd23-0aee-4daf-9326-5162d0d6f612" targetNamespace="http://schemas.microsoft.com/office/2006/metadata/properties" ma:root="true" ma:fieldsID="8be54826b7603287240e75d2b94211be" ns2:_="" ns3:_="">
    <xsd:import namespace="6787c073-3ca9-4904-98f0-2db325fddc11"/>
    <xsd:import namespace="b9cbfd23-0aee-4daf-9326-5162d0d6f61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87c073-3ca9-4904-98f0-2db325fddc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3d31b72-c4b9-4223-ac69-1d9539891dc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cbfd23-0aee-4daf-9326-5162d0d6f61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d36aae-4239-40f6-9ec7-886946278762}" ma:internalName="TaxCatchAll" ma:showField="CatchAllData" ma:web="b9cbfd23-0aee-4daf-9326-5162d0d6f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787c073-3ca9-4904-98f0-2db325fddc11">
      <Terms xmlns="http://schemas.microsoft.com/office/infopath/2007/PartnerControls"/>
    </lcf76f155ced4ddcb4097134ff3c332f>
    <TaxCatchAll xmlns="b9cbfd23-0aee-4daf-9326-5162d0d6f612" xsi:nil="true"/>
  </documentManagement>
</p:properties>
</file>

<file path=customXml/itemProps1.xml><?xml version="1.0" encoding="utf-8"?>
<ds:datastoreItem xmlns:ds="http://schemas.openxmlformats.org/officeDocument/2006/customXml" ds:itemID="{35BC91D6-A893-4977-8167-0801BA1C37A0}">
  <ds:schemaRefs>
    <ds:schemaRef ds:uri="http://schemas.microsoft.com/sharepoint/v3/contenttype/forms"/>
  </ds:schemaRefs>
</ds:datastoreItem>
</file>

<file path=customXml/itemProps2.xml><?xml version="1.0" encoding="utf-8"?>
<ds:datastoreItem xmlns:ds="http://schemas.openxmlformats.org/officeDocument/2006/customXml" ds:itemID="{B84462CB-DBC4-4B6B-B341-606B7FDD0F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87c073-3ca9-4904-98f0-2db325fddc11"/>
    <ds:schemaRef ds:uri="b9cbfd23-0aee-4daf-9326-5162d0d6f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D64DFF-D8D0-4DAE-B068-20B8B00842B4}">
  <ds:schemaRefs>
    <ds:schemaRef ds:uri="http://purl.org/dc/elements/1.1/"/>
    <ds:schemaRef ds:uri="http://purl.org/dc/dcmitype/"/>
    <ds:schemaRef ds:uri="http://schemas.microsoft.com/office/infopath/2007/PartnerControls"/>
    <ds:schemaRef ds:uri="http://www.w3.org/XML/1998/namespace"/>
    <ds:schemaRef ds:uri="http://schemas.microsoft.com/office/2006/documentManagement/types"/>
    <ds:schemaRef ds:uri="http://schemas.openxmlformats.org/package/2006/metadata/core-properties"/>
    <ds:schemaRef ds:uri="b9cbfd23-0aee-4daf-9326-5162d0d6f612"/>
    <ds:schemaRef ds:uri="6787c073-3ca9-4904-98f0-2db325fddc11"/>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Document Title</vt:lpstr>
      <vt:lpstr>Notice</vt:lpstr>
      <vt:lpstr>Guideline</vt:lpstr>
      <vt:lpstr>Fault Management</vt:lpstr>
      <vt:lpstr>Scoring</vt:lpstr>
      <vt:lpstr>Acknowledgements</vt:lpstr>
      <vt:lpstr>E2E Automation Ratio Checklist</vt:lpstr>
      <vt:lpstr>'Document Title'!Print_Area</vt:lpstr>
      <vt:lpstr>Notice!Print_Area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2023-04-19T05:45:01Z</dcterms:created>
  <dcterms:modified xsi:type="dcterms:W3CDTF">2026-04-02T11:32:19Z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(3)ueqc0RHyXrkcTQRDvxq0y6ZFjhTX2hf8lK29l30GJUR8jL4OYhE5rr8ul/OwIYyWxE8klkwj
lrkxsH/QUzILrjiWh9mC6oAQxbHXoapuoayj+bW12l2Xl/eE223jCSU6P2oikvEcXhvJ5i+R
tQvvzZglPpOCZj2+8bGpuOTC2iJzRwVqDZYyLN8UoP3Vc7AxBe/V9zLKMpeOBMsU9u5D9Tyy
gY284U6/4zq2YamLTH</vt:lpwstr>
  </property>
  <property fmtid="{D5CDD505-2E9C-101B-9397-08002B2CF9AE}" pid="3" name="_2015_ms_pID_7253431">
    <vt:lpwstr>Yt4DEQ8sCUaTSpkaRjHAJmL0yyeX+1hE/Kfrhh9m1BmmBkiqBXWs0r
hMlpvSON6alpcRzCUc2AeizUqBDELpEQQkUrWJ23NtmuRlEcPhwmBI0aanrI5gw1UgMo1v/l
oTGa0T/MSAApllSZOet/O0TN48kUVc6sXl8Ll6XSJSna2EpBo0Hm4l0P0CyJU6FLofkstqOg
V8IiGOlpgTdBpLJECGMq6nNi8kGt8tC4C1sw</vt:lpwstr>
  </property>
  <property fmtid="{D5CDD505-2E9C-101B-9397-08002B2CF9AE}" pid="4" name="_2015_ms_pID_7253432">
    <vt:lpwstr>obioa3t5hqzUgoiaIvyrzyc=</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1690169917</vt:lpwstr>
  </property>
  <property fmtid="{D5CDD505-2E9C-101B-9397-08002B2CF9AE}" pid="9" name="ContentTypeId">
    <vt:lpwstr>0x01010062BEFE22FE2AE44C8A7ED1880C481F97</vt:lpwstr>
  </property>
  <property fmtid="{D5CDD505-2E9C-101B-9397-08002B2CF9AE}" pid="10" name="MediaServiceImageTags">
    <vt:lpwstr/>
  </property>
</Properties>
</file>