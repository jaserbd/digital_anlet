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ricsson.sharepoint.com/sites/AutonomousOperationsAO/Shared Documents/General/AO Journey/Evaluation methodology/ANL - Service Assurance Individual Services/"/>
    </mc:Choice>
  </mc:AlternateContent>
  <xr:revisionPtr revIDLastSave="0" documentId="8_{C4ACD958-D9F4-4A5F-9937-14A45C681BE9}" xr6:coauthVersionLast="47" xr6:coauthVersionMax="47" xr10:uidLastSave="{00000000-0000-0000-0000-000000000000}"/>
  <bookViews>
    <workbookView xWindow="-110" yWindow="-110" windowWidth="19420" windowHeight="10300" tabRatio="788" firstSheet="1" activeTab="4" xr2:uid="{00000000-000D-0000-FFFF-FFFF00000000}"/>
  </bookViews>
  <sheets>
    <sheet name="Introduction_Orange" sheetId="4" state="hidden" r:id="rId1"/>
    <sheet name="Document Title" sheetId="14" r:id="rId2"/>
    <sheet name="Legal Notice" sheetId="16" r:id="rId3"/>
    <sheet name="Guideline" sheetId="12" r:id="rId4"/>
    <sheet name="Service Assurance Questionnaire" sheetId="9" r:id="rId5"/>
    <sheet name="Scoring" sheetId="10" r:id="rId6"/>
    <sheet name="Acknowledgements" sheetId="15" r:id="rId7"/>
    <sheet name="Core Network Fault Management_O" sheetId="1" state="hidden" r:id="rId8"/>
    <sheet name="Scoring-Fault Management_Orange" sheetId="3" state="hidden" r:id="rId9"/>
    <sheet name="Core Network Stability_Orange" sheetId="5" state="hidden" r:id="rId10"/>
    <sheet name="Scoring-Stability_Orange" sheetId="7" state="hidden" r:id="rId11"/>
  </sheets>
  <definedNames>
    <definedName name="_xlnm.Print_Area" localSheetId="2">'Legal Notice'!$A$1:$A$35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 i="10" l="1"/>
  <c r="S7" i="10"/>
  <c r="S8" i="10"/>
  <c r="S9" i="10"/>
  <c r="S10" i="10"/>
  <c r="S11" i="10"/>
  <c r="S12" i="10"/>
  <c r="S5" i="10"/>
  <c r="P7" i="10"/>
  <c r="T7" i="10" s="1"/>
  <c r="P10" i="10"/>
  <c r="P12" i="10"/>
  <c r="L12" i="10"/>
  <c r="L11" i="10"/>
  <c r="L10" i="10"/>
  <c r="L9" i="10"/>
  <c r="L8" i="10"/>
  <c r="L7" i="10"/>
  <c r="L6" i="10"/>
  <c r="L5" i="10"/>
  <c r="K12" i="10"/>
  <c r="K11" i="10"/>
  <c r="P11" i="10" s="1"/>
  <c r="T11" i="10" s="1"/>
  <c r="K10" i="10"/>
  <c r="K9" i="10"/>
  <c r="P9" i="10" s="1"/>
  <c r="T9" i="10" s="1"/>
  <c r="K8" i="10"/>
  <c r="P8" i="10" s="1"/>
  <c r="T8" i="10" s="1"/>
  <c r="K7" i="10"/>
  <c r="K6" i="10"/>
  <c r="P6" i="10" s="1"/>
  <c r="K5" i="10"/>
  <c r="P5" i="10" s="1"/>
  <c r="T10" i="10" l="1"/>
  <c r="T5" i="10"/>
  <c r="T12" i="10"/>
  <c r="T6" i="10"/>
  <c r="F53" i="12" l="1"/>
  <c r="F45" i="12"/>
  <c r="F32" i="12" l="1"/>
  <c r="D30" i="12"/>
  <c r="F52" i="12"/>
  <c r="F51" i="12"/>
  <c r="F50" i="12"/>
  <c r="F49" i="12"/>
  <c r="F48" i="12"/>
  <c r="F47" i="12"/>
  <c r="F44" i="12"/>
  <c r="F43" i="12"/>
  <c r="F42" i="12"/>
  <c r="F41" i="12"/>
  <c r="F40" i="12"/>
  <c r="F39" i="12"/>
  <c r="F38" i="12"/>
  <c r="F37" i="12"/>
  <c r="F36" i="12"/>
  <c r="F35" i="12"/>
  <c r="F34" i="12"/>
  <c r="F33" i="12"/>
  <c r="F31" i="12"/>
  <c r="F30" i="12"/>
  <c r="F29" i="12"/>
  <c r="F28" i="12"/>
  <c r="F27" i="12"/>
  <c r="F26" i="12"/>
  <c r="F25" i="12"/>
  <c r="F24" i="12"/>
  <c r="F23" i="12"/>
  <c r="E11" i="10"/>
  <c r="E6" i="10"/>
  <c r="E7" i="10"/>
  <c r="E8" i="10"/>
  <c r="E9" i="10"/>
  <c r="E10" i="10"/>
  <c r="E12" i="10"/>
  <c r="E5" i="10"/>
  <c r="C6" i="10" l="1"/>
  <c r="C7" i="10"/>
  <c r="C8" i="10"/>
  <c r="C9" i="10"/>
  <c r="C10" i="10"/>
  <c r="C11" i="10"/>
  <c r="C12" i="10"/>
  <c r="C5" i="10"/>
  <c r="D27" i="12"/>
  <c r="D34" i="12"/>
  <c r="D38" i="12"/>
  <c r="D42" i="12"/>
  <c r="D47" i="12"/>
  <c r="D51" i="12"/>
  <c r="D23" i="12"/>
  <c r="C27" i="12"/>
  <c r="C30" i="12"/>
  <c r="C34" i="12"/>
  <c r="C38" i="12"/>
  <c r="C42" i="12"/>
  <c r="C47" i="12"/>
  <c r="C51" i="12"/>
  <c r="C23" i="12"/>
  <c r="J6" i="10" l="1"/>
  <c r="J7" i="10"/>
  <c r="J8" i="10"/>
  <c r="J9" i="10"/>
  <c r="J10" i="10"/>
  <c r="J11" i="10"/>
  <c r="J12" i="10"/>
  <c r="J5" i="10"/>
  <c r="D12" i="9"/>
  <c r="D6" i="10" l="1"/>
  <c r="D7" i="10"/>
  <c r="D8" i="10"/>
  <c r="D9" i="10"/>
  <c r="D10" i="10"/>
  <c r="D11" i="10"/>
  <c r="D12" i="10"/>
  <c r="M9" i="10"/>
  <c r="U5" i="10" l="1"/>
  <c r="R5" i="10"/>
  <c r="N9" i="10"/>
  <c r="Q9" i="10"/>
  <c r="D5" i="10"/>
  <c r="D14" i="10" s="1"/>
  <c r="M7" i="10" l="1"/>
  <c r="M11" i="10"/>
  <c r="Q11" i="10" l="1"/>
  <c r="N7" i="10"/>
  <c r="Q7" i="10"/>
  <c r="N11" i="10"/>
  <c r="M6" i="10"/>
  <c r="M8" i="10"/>
  <c r="M10" i="10"/>
  <c r="M12" i="10"/>
  <c r="J6" i="3"/>
  <c r="S6" i="3" s="1"/>
  <c r="K6" i="3"/>
  <c r="L6" i="3" s="1"/>
  <c r="Q10" i="10" l="1"/>
  <c r="N8" i="10"/>
  <c r="Q8" i="10"/>
  <c r="M5" i="10"/>
  <c r="N5" i="10" s="1"/>
  <c r="N10" i="10"/>
  <c r="V6" i="3"/>
  <c r="T6" i="3"/>
  <c r="U6" i="3"/>
  <c r="W6" i="3"/>
  <c r="J5" i="3"/>
  <c r="S5" i="3" s="1"/>
  <c r="J7" i="3"/>
  <c r="S7" i="3" s="1"/>
  <c r="J8" i="3"/>
  <c r="S8" i="3" s="1"/>
  <c r="J9" i="3"/>
  <c r="S9" i="3" s="1"/>
  <c r="J10" i="3"/>
  <c r="S10" i="3" s="1"/>
  <c r="J11" i="3"/>
  <c r="S11" i="3" s="1"/>
  <c r="J12" i="3"/>
  <c r="S12" i="3" s="1"/>
  <c r="J4" i="3"/>
  <c r="K4" i="3" s="1"/>
  <c r="Y9" i="3" a="1"/>
  <c r="Y9" i="3" s="1"/>
  <c r="Z9" i="3" s="1" a="1"/>
  <c r="Z9" i="3" s="1"/>
  <c r="N12" i="10" l="1"/>
  <c r="N6" i="10"/>
  <c r="O5" i="10" s="1"/>
  <c r="V5" i="10" s="1"/>
  <c r="T8" i="3"/>
  <c r="W8" i="3"/>
  <c r="V8" i="3"/>
  <c r="U8" i="3"/>
  <c r="W10" i="3"/>
  <c r="V10" i="3"/>
  <c r="U10" i="3"/>
  <c r="T10" i="3"/>
  <c r="W11" i="3"/>
  <c r="T11" i="3"/>
  <c r="V11" i="3"/>
  <c r="U11" i="3"/>
  <c r="L4" i="3"/>
  <c r="W5" i="3"/>
  <c r="T5" i="3"/>
  <c r="V5" i="3"/>
  <c r="U5" i="3"/>
  <c r="W7" i="3"/>
  <c r="V7" i="3"/>
  <c r="U7" i="3"/>
  <c r="T7" i="3"/>
  <c r="W9" i="3"/>
  <c r="V9" i="3"/>
  <c r="U9" i="3"/>
  <c r="T9" i="3"/>
  <c r="T12" i="3"/>
  <c r="W12" i="3"/>
  <c r="V12" i="3"/>
  <c r="U12" i="3"/>
  <c r="K5" i="3"/>
  <c r="K9" i="3"/>
  <c r="L9" i="3" s="1"/>
  <c r="K8" i="3"/>
  <c r="L8" i="3" s="1"/>
  <c r="K12" i="3"/>
  <c r="L12" i="3" s="1"/>
  <c r="K7" i="3"/>
  <c r="L7" i="3" s="1"/>
  <c r="K11" i="3"/>
  <c r="K10" i="3"/>
  <c r="L10" i="3" s="1"/>
  <c r="J5" i="7"/>
  <c r="J4" i="7"/>
  <c r="Q5" i="10" l="1"/>
  <c r="Q6" i="10"/>
  <c r="Q12" i="10"/>
  <c r="L11" i="3"/>
  <c r="L5" i="3"/>
  <c r="W4" i="3"/>
  <c r="V4" i="3"/>
  <c r="T4" i="3"/>
  <c r="U4" i="3"/>
  <c r="J10" i="7"/>
  <c r="S10" i="7" s="1"/>
  <c r="J9" i="7"/>
  <c r="K9" i="7" s="1"/>
  <c r="L9" i="7" s="1"/>
  <c r="J8" i="7"/>
  <c r="S8" i="7" s="1"/>
  <c r="J7" i="7"/>
  <c r="S7" i="7" s="1"/>
  <c r="J6" i="7"/>
  <c r="K6" i="7" s="1"/>
  <c r="L6" i="7" s="1"/>
  <c r="S5" i="7"/>
  <c r="S4" i="7"/>
  <c r="T4" i="7" s="1"/>
  <c r="U4" i="7" s="1"/>
  <c r="K4" i="7"/>
  <c r="L4" i="7" s="1"/>
  <c r="M4" i="3" l="1"/>
  <c r="X4" i="3"/>
  <c r="W7" i="7"/>
  <c r="V7" i="7"/>
  <c r="U7" i="7"/>
  <c r="T7" i="7"/>
  <c r="W5" i="7"/>
  <c r="V5" i="7"/>
  <c r="T5" i="7"/>
  <c r="U5" i="7" s="1"/>
  <c r="W8" i="7"/>
  <c r="V8" i="7"/>
  <c r="U8" i="7"/>
  <c r="T8" i="7"/>
  <c r="W10" i="7"/>
  <c r="V10" i="7"/>
  <c r="U10" i="7"/>
  <c r="T10" i="7"/>
  <c r="K5" i="7"/>
  <c r="L5" i="7" s="1"/>
  <c r="K7" i="7"/>
  <c r="L7" i="7" s="1"/>
  <c r="K8" i="7"/>
  <c r="L8" i="7" s="1"/>
  <c r="K10" i="7"/>
  <c r="L10" i="7" s="1"/>
  <c r="V4" i="7"/>
  <c r="S6" i="7"/>
  <c r="S9" i="7"/>
  <c r="W4" i="7"/>
  <c r="Y4" i="3" l="1" a="1"/>
  <c r="Y4" i="3" s="1"/>
  <c r="Z4" i="3" s="1" a="1"/>
  <c r="Z4" i="3" s="1"/>
  <c r="Y6" i="3" a="1"/>
  <c r="Y6" i="3" s="1"/>
  <c r="Z6" i="3" s="1" a="1"/>
  <c r="Z6" i="3" s="1"/>
  <c r="Y7" i="3" a="1"/>
  <c r="Y7" i="3" s="1"/>
  <c r="Z7" i="3" s="1" a="1"/>
  <c r="Z7" i="3" s="1"/>
  <c r="Y11" i="3" a="1"/>
  <c r="Y11" i="3" s="1"/>
  <c r="Z11" i="3" s="1" a="1"/>
  <c r="Z11" i="3" s="1"/>
  <c r="Y10" i="3" a="1"/>
  <c r="Y10" i="3" s="1"/>
  <c r="Z10" i="3" s="1" a="1"/>
  <c r="Z10" i="3" s="1"/>
  <c r="Y8" i="3" a="1"/>
  <c r="Y8" i="3" s="1"/>
  <c r="Z8" i="3" s="1" a="1"/>
  <c r="Z8" i="3" s="1"/>
  <c r="Y12" i="3" a="1"/>
  <c r="Y12" i="3" s="1"/>
  <c r="Z12" i="3" s="1" a="1"/>
  <c r="Z12" i="3" s="1"/>
  <c r="Y5" i="3" a="1"/>
  <c r="Y5" i="3" s="1"/>
  <c r="Z5" i="3" s="1" a="1"/>
  <c r="Z5" i="3" s="1"/>
  <c r="M4" i="7"/>
  <c r="W9" i="7"/>
  <c r="V9" i="7"/>
  <c r="U9" i="7"/>
  <c r="T9" i="7"/>
  <c r="W6" i="7"/>
  <c r="X4" i="7" s="1"/>
  <c r="V6" i="7"/>
  <c r="U6" i="7"/>
  <c r="T6" i="7"/>
  <c r="AA4" i="3" l="1"/>
  <c r="AB4" i="3" s="1"/>
  <c r="Y10" i="7" a="1"/>
  <c r="Y10" i="7" s="1"/>
  <c r="Z10" i="7" s="1" a="1"/>
  <c r="Z10" i="7" s="1"/>
  <c r="Y9" i="7" a="1"/>
  <c r="Y9" i="7" s="1"/>
  <c r="Z9" i="7" s="1" a="1"/>
  <c r="Z9" i="7" s="1"/>
  <c r="Y5" i="7" a="1"/>
  <c r="Y5" i="7" s="1"/>
  <c r="Z5" i="7" s="1" a="1"/>
  <c r="Z5" i="7" s="1"/>
  <c r="Y4" i="7" a="1"/>
  <c r="Y4" i="7" s="1"/>
  <c r="Z4" i="7" s="1" a="1"/>
  <c r="Z4" i="7" s="1"/>
  <c r="Y8" i="7" a="1"/>
  <c r="Y8" i="7" s="1"/>
  <c r="Z8" i="7" s="1" a="1"/>
  <c r="Z8" i="7" s="1"/>
  <c r="Y6" i="7" a="1"/>
  <c r="Y6" i="7" s="1"/>
  <c r="Z6" i="7" s="1" a="1"/>
  <c r="Z6" i="7" s="1"/>
  <c r="Y7" i="7" a="1"/>
  <c r="Y7" i="7" s="1"/>
  <c r="Z7" i="7" s="1" a="1"/>
  <c r="Z7" i="7" s="1"/>
  <c r="AA4" i="7" l="1"/>
  <c r="AB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<sst xmlns="http://schemas.openxmlformats.org/spreadsheetml/2006/main" count="649" uniqueCount="367">
  <si>
    <t>Introduction</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</si>
  <si>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</si>
  <si>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</si>
  <si>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</si>
  <si>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</si>
  <si>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</si>
  <si>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r>
      <t>6. The core network high stability process is considered as the foundation of the core network fault management pro</t>
    </r>
    <r>
      <rPr>
        <sz val="9"/>
        <rFont val="Calibri"/>
        <family val="2"/>
        <scheme val="minor"/>
      </rPr>
      <t>cess. Assuming a fault management score of A and a stability score of B, the final score = 50% * score A + 50% * score B.</t>
    </r>
    <r>
      <rPr>
        <sz val="9"/>
        <color rgb="FF000000"/>
        <rFont val="Calibri"/>
        <family val="2"/>
        <scheme val="minor"/>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</si>
  <si>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</si>
  <si>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</si>
  <si>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Change History</t>
  </si>
  <si>
    <t>Date</t>
  </si>
  <si>
    <t>Subject(s)</t>
  </si>
  <si>
    <t>Version</t>
  </si>
  <si>
    <t>Initial version: Core network fault management questionnaire for TMF AN evaluation pilot</t>
  </si>
  <si>
    <t>0403</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</si>
  <si>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phoneticPr fontId="10" type="noConversion"/>
  </si>
  <si>
    <t>0730</t>
  </si>
  <si>
    <t>- Update the scoring scheme when evaluate two questions.
- Update the requirements in risk prediction and solution generation in fault management questionnaire.</t>
    <phoneticPr fontId="10" type="noConversion"/>
  </si>
  <si>
    <t>0906</t>
    <phoneticPr fontId="10" type="noConversion"/>
  </si>
  <si>
    <t>I. Introduction</t>
  </si>
  <si>
    <t>Each question is answered by selecting one of the four options: A, B, C or D. Option A being the highest level of autonomy and option D being the lowest</t>
  </si>
  <si>
    <t>More detailed guidelines per question are provided in the guideline section below</t>
  </si>
  <si>
    <t>Cognitive Activity (IAADE)</t>
  </si>
  <si>
    <t>Service Capability</t>
  </si>
  <si>
    <t>Question</t>
  </si>
  <si>
    <t>Answering Guideline</t>
  </si>
  <si>
    <t>Intent</t>
  </si>
  <si>
    <t>Intent Translation &amp; Fulfilment</t>
  </si>
  <si>
    <t>Awareness</t>
  </si>
  <si>
    <t>Analysis</t>
  </si>
  <si>
    <t xml:space="preserve">Solution Generation </t>
  </si>
  <si>
    <t>Decision</t>
  </si>
  <si>
    <t>Solution Evaluation &amp; Decision making</t>
  </si>
  <si>
    <t>Execution</t>
    <phoneticPr fontId="10" type="noConversion"/>
  </si>
  <si>
    <t>Solution implementation</t>
  </si>
  <si>
    <t>Process Flow</t>
  </si>
  <si>
    <t>Cognitive Activity</t>
  </si>
  <si>
    <t>Weight</t>
  </si>
  <si>
    <t>Questions</t>
  </si>
  <si>
    <t>Option A</t>
  </si>
  <si>
    <t>Option B</t>
  </si>
  <si>
    <t>Option C</t>
  </si>
  <si>
    <t>Option D</t>
  </si>
  <si>
    <t>Industry Standard Reference</t>
  </si>
  <si>
    <t>Answer</t>
  </si>
  <si>
    <t>Understanding of Options</t>
  </si>
  <si>
    <t>Interpretation on Questions</t>
  </si>
  <si>
    <t>A</t>
  </si>
  <si>
    <t>Note: (1) The questionnaire is intended for pilot use and will serve as the input for future standardization. (2) It is subject to changes as the pilot progresses.</t>
  </si>
  <si>
    <t>Method: Average</t>
  </si>
  <si>
    <t>Criteria</t>
  </si>
  <si>
    <t>Calculation</t>
  </si>
  <si>
    <t>Original 
score</t>
  </si>
  <si>
    <t>Compensated score</t>
  </si>
  <si>
    <t>Overall
Score</t>
  </si>
  <si>
    <r>
      <t>Note 1: Scores are automatically calculated by formula</t>
    </r>
    <r>
      <rPr>
        <sz val="9"/>
        <color theme="1"/>
        <rFont val="Calibri"/>
        <family val="2"/>
        <scheme val="minor"/>
      </rPr>
      <t>s, which cannot be changed.</t>
    </r>
  </si>
  <si>
    <t>B</t>
  </si>
  <si>
    <t>Scenarios</t>
  </si>
  <si>
    <t>Category</t>
  </si>
  <si>
    <t>Capability or Task</t>
  </si>
  <si>
    <t>Weight (Optional)</t>
  </si>
  <si>
    <t>Core network fault management - maintenance</t>
  </si>
  <si>
    <t>n/a</t>
    <phoneticPr fontId="10" type="noConversion"/>
  </si>
  <si>
    <t>n/a</t>
  </si>
  <si>
    <t>Data collection
Alarm correlation</t>
    <phoneticPr fontId="10" type="noConversion"/>
  </si>
  <si>
    <t>Does your system automatically collect data?
Assessment object: the core network management function
Core network NEs or NFs for assessment: core network NEs (e.g., 5GC NFs, EPC NEs, and IMS NEs)</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</si>
  <si>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</si>
  <si>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</si>
  <si>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t>No. The system supports manual data collection.</t>
  </si>
  <si>
    <t xml:space="preserve">3GPP TS 28.100
- 7.3 Generic autonomous network level for fault management
3GPP TS 28.541 
 - Clause 5 5GC network resource models 
3GPP TS 28.545 
 - Clause 6 Fault Supervision management services 
 - Clause 8 Virtualized resource alarm correlation </t>
  </si>
  <si>
    <t>Fault identification</t>
    <phoneticPr fontId="10" type="noConversion"/>
  </si>
  <si>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</si>
  <si>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</si>
  <si>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</si>
  <si>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No. The system supports manual fault detection based on the alarm notification and KPIs.</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</si>
  <si>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</si>
  <si>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 xml:space="preserve">
Risk prediction</t>
    <phoneticPr fontId="10" type="noConversion"/>
  </si>
  <si>
    <t>Does your system automatically detect and prevent risks of NE faults?
Assessment object: management entities
Core network NEs or NFs for assessment: core network NEs (e.g., 5GC NFs, EPC NEs, and IMS NEs)</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</si>
  <si>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</si>
  <si>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</si>
  <si>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</si>
  <si>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No. The system does not support risk prediction.</t>
    <phoneticPr fontId="10" type="noConversion"/>
  </si>
  <si>
    <t>3GPP TS 28.100
- 7.3 Generic autonomous network level for fault management
3GPP TS 28.104 
 - Clause 8.4.3 MDA assisted fault management 
3GPP TS 28.104 
 - SLS related predictions, 
 - E2E latency analysis, 
 - Network slice load analysis, 
 - Control plane congestion analysis.</t>
  </si>
  <si>
    <t>Demarcation</t>
    <phoneticPr fontId="10" type="noConversion"/>
  </si>
  <si>
    <t>Does your system support automatic demarcation of core network faults?  
Assessment object: the core network management function
Core network NEs or NFs for assessment: core network NEs (e.g., 5GC NFs, EPC NEs and IMS NEs)</t>
    <phoneticPr fontId="10" type="noConversion"/>
  </si>
  <si>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</si>
  <si>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phoneticPr fontId="10" type="noConversion"/>
  </si>
  <si>
    <t>The system supports automatic fault demarcation and provides one or multiple analysis results to assist fault demarcation.</t>
    <phoneticPr fontId="10" type="noConversion"/>
  </si>
  <si>
    <t>No. The system does not support automatic fault demarcation.</t>
    <phoneticPr fontId="10" type="noConversion"/>
  </si>
  <si>
    <t>3GPP TS 28.100
- 7.3 Generic autonomous network level for fault management
3GPP TS 28.104 
 - Clause 8.4.3 MDA assisted fault management</t>
  </si>
  <si>
    <t>Locating</t>
    <phoneticPr fontId="10" type="noConversion"/>
  </si>
  <si>
    <t>Does your system support automatic locating related to core network fault management? 
Assessment object: the core network management function and network function
Core network NEs or NFs for assessment: core network NEs (e.g., 5GC NFs, EPC NEs, and IMS NEs)</t>
    <phoneticPr fontId="10" type="noConversion"/>
  </si>
  <si>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</si>
  <si>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</si>
  <si>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</si>
  <si>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No. The system does not support automatic fault locating.</t>
    <phoneticPr fontId="10" type="noConversion"/>
  </si>
  <si>
    <t xml:space="preserve"> Fault rectification solution generation</t>
    <phoneticPr fontId="10" type="noConversion"/>
  </si>
  <si>
    <t>Does your system automatically generate the fault rectification solution?
Assessment object: the core network management function
Core network NEs or NFs for assessment: core network NEs (e.g., 5GC NFs, EPC NEs, and IMS NEs)</t>
    <phoneticPr fontId="10" type="noConversion"/>
  </si>
  <si>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</si>
  <si>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</si>
  <si>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phoneticPr fontId="10" type="noConversion"/>
  </si>
  <si>
    <t>No. The system supports fault rectification based on manual decisions.</t>
    <phoneticPr fontId="10" type="noConversion"/>
  </si>
  <si>
    <t xml:space="preserve">3GPP TS 28.100
- 7.3 Generic autonomous network level for fault management
3GPP TS 28.104 
 - Clause 8.4.3 MDA assisted fault management
3GPP TS 28.104 
 - Clause 7.2.3.2 Service failure recovery </t>
  </si>
  <si>
    <t>Solution pre-verification</t>
    <phoneticPr fontId="10" type="noConversion"/>
  </si>
  <si>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phoneticPr fontId="10" type="noConversion"/>
  </si>
  <si>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phoneticPr fontId="10" type="noConversion"/>
  </si>
  <si>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phoneticPr fontId="10" type="noConversion"/>
  </si>
  <si>
    <t xml:space="preserve">The system provides a checklist for manual evaluation to verify the feasibility of rectification solution before implementation.
The checklist includes but is not limited to:
1. NF healthy status check
2. Influence of rectification solution
</t>
    <phoneticPr fontId="10" type="noConversion"/>
  </si>
  <si>
    <t>No. The system verifies the rectification solution based on manual decisions.</t>
    <phoneticPr fontId="10" type="noConversion"/>
  </si>
  <si>
    <t xml:space="preserve">3GPP TS 28.100
- 7.3 Generic autonomous network level for fault management
3GPP TS 28.532 
- 5.1.6 Network slice feasibility check
3GPP TR 28.915
- 5.9 Use case 9: Configuration verification
- 5.2 Use case 2: Signaling storm analysis
</t>
  </si>
  <si>
    <t>Solution implementation</t>
    <phoneticPr fontId="10" type="noConversion"/>
  </si>
  <si>
    <t>Does your system support automatic fault rectification? 
Assessment object: the core network management function and network element
Core network NEs or NFs for assessment: core network NEs (e.g., 5GC NFs, EPC NEs, and IMS NEs).</t>
    <phoneticPr fontId="10" type="noConversion"/>
  </si>
  <si>
    <t>Yes. The system can support automatic fault rectification in all fault rectification scenarios.</t>
    <phoneticPr fontId="10" type="noConversion"/>
  </si>
  <si>
    <t>The system supports fault rectification after manual confirmation.</t>
    <phoneticPr fontId="10" type="noConversion"/>
  </si>
  <si>
    <t>3GPP TS 28.100
- 7.3 Generic autonomous network level for fault management</t>
  </si>
  <si>
    <t>Service verification</t>
    <phoneticPr fontId="10" type="noConversion"/>
  </si>
  <si>
    <t>Does your system support automatic service verification after faults on core networks are rectified?
Assessment object: the core network management function
Core network NEs or NFs for assessment: core network NEs (e.g., 5GC NFs, EPC NEs, and IMS NEs)</t>
    <phoneticPr fontId="10" type="noConversion"/>
  </si>
  <si>
    <t>Yes. The system automatically verifies whether network services are recovered and faults are rectified successfully.</t>
    <phoneticPr fontId="10" type="noConversion"/>
  </si>
  <si>
    <t>The system automatically verifies that the alarms are cleared and KPI data is successfully recovered.</t>
  </si>
  <si>
    <t>No. The system does not support automatic service verification.</t>
    <phoneticPr fontId="10" type="noConversion"/>
  </si>
  <si>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</si>
  <si>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High-Value Scenario</t>
  </si>
  <si>
    <t>Method 1: Average (official use)</t>
  </si>
  <si>
    <t>Method 2: Climbing (for reference only)</t>
  </si>
  <si>
    <t>Calculate</t>
  </si>
  <si>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</si>
  <si>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</si>
  <si>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</si>
  <si>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</si>
  <si>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</si>
  <si>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</si>
  <si>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</si>
  <si>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</si>
  <si>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</si>
  <si>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</si>
  <si>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</si>
  <si>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</si>
  <si>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</si>
  <si>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Core Network - Fault Management</t>
  </si>
  <si>
    <t>Data collection
Alarm correlation</t>
  </si>
  <si>
    <t>Does your system automatically collect the data.
Assessment object: core network management function
Core network  NE or NFs for assessment: core network NEs (e.g., 5GC NF, EPC NE and IMS NE)</t>
  </si>
  <si>
    <t>C</t>
  </si>
  <si>
    <t>Fault identification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</si>
  <si>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</si>
  <si>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 xml:space="preserve">
Risk prediction</t>
  </si>
  <si>
    <t>Does your system automatically detect and prevent the risks of network NE faults?
Assessment object: management entity
Core network  NE or NFs for assessment: core network NEs (e.g., 5GC NF, EPC NE and IMS NE)</t>
  </si>
  <si>
    <t>D</t>
  </si>
  <si>
    <t>Demarcation</t>
  </si>
  <si>
    <t>Can your system support automatic demarcation related to core network fault management?  
Assessment object: core network management function.
Core network  NE or NFs for assessment: core network NEs (e.g., 5GC NF, EPC NE and IMS NE)</t>
  </si>
  <si>
    <t>Locating</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</si>
  <si>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</si>
  <si>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</si>
  <si>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</si>
  <si>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Solution pre-verification</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</si>
  <si>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</si>
  <si>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</si>
  <si>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Does your system support automatic fault recovery? 
Assessment object: core network management function, network element.
Core network  NE or NFs for assessment: core network NEs (e.g., 5GC NF, EPC NE, IMS NE).</t>
  </si>
  <si>
    <t>Service verification</t>
  </si>
  <si>
    <t>Does your system support automatic service verification of fault recovery related to core network?
Assessment object: core network management function
Core network  NE or NFs for assessment: core network NEs (e.g., 5GC NF, EPC NE, IMS NE).</t>
  </si>
  <si>
    <t xml:space="preserve">Note 2: Assuming a fault management score of A and a stability score of B, the final score = 50% * score A + 50% * score B. </t>
    <phoneticPr fontId="10" type="noConversion"/>
  </si>
  <si>
    <t>Scenario</t>
  </si>
  <si>
    <t>Interpretation on Questions</t>
    <phoneticPr fontId="10" type="noConversion"/>
  </si>
  <si>
    <t>Core network architecture stability - planning</t>
    <phoneticPr fontId="10" type="noConversion"/>
  </si>
  <si>
    <t>Basic stability</t>
    <phoneticPr fontId="10" type="noConversion"/>
  </si>
  <si>
    <t>Stable deployment architecture</t>
    <phoneticPr fontId="10" type="noConversion"/>
  </si>
  <si>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phoneticPr fontId="10" type="noConversion"/>
  </si>
  <si>
    <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sz val="9"/>
        <color rgb="FFFF0000"/>
        <rFont val="Calibri"/>
        <family val="2"/>
        <scheme val="minor"/>
      </rPr>
      <t xml:space="preserve"> </t>
    </r>
    <r>
      <rPr>
        <sz val="9"/>
        <color rgb="FF000000"/>
        <rFont val="Calibri"/>
        <family val="2"/>
        <scheme val="minor"/>
      </rPr>
      <t>remains uninterrupted</t>
    </r>
    <r>
      <rPr>
        <sz val="9"/>
        <color rgb="FF5B9BD5"/>
        <rFont val="Calibri"/>
        <family val="2"/>
        <scheme val="minor"/>
      </rPr>
      <t>.</t>
    </r>
    <r>
      <rPr>
        <sz val="9"/>
        <color rgb="FF000000"/>
        <rFont val="Calibri"/>
        <family val="2"/>
        <scheme val="minor"/>
      </rPr>
      <t xml:space="preserve">
2. Service access can recover within minutes.
</t>
    </r>
  </si>
  <si>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phoneticPr fontId="10" type="noConversion"/>
  </si>
  <si>
    <t>The system can deal with a single module fault and restore service loads. 
The communication service experiences minimal impacts during the service takeover of redundancy modules:
1. Service access can recover within minutes.</t>
    <phoneticPr fontId="10" type="noConversion"/>
  </si>
  <si>
    <t>Not supported</t>
    <phoneticPr fontId="10" type="noConversion"/>
  </si>
  <si>
    <r>
      <t>Plan to describe</t>
    </r>
    <r>
      <rPr>
        <sz val="9"/>
        <color rgb="FFFF0000"/>
        <rFont val="Calibri"/>
        <family val="2"/>
        <scheme val="minor"/>
      </rPr>
      <t xml:space="preserve"> </t>
    </r>
    <r>
      <rPr>
        <sz val="9"/>
        <color rgb="FF000000"/>
        <rFont val="Calibri"/>
        <family val="2"/>
        <scheme val="minor"/>
      </rPr>
      <t>the high-level use case and core network stability concepts of AN fault management control loop in ANP.
3GPP TS 28.541
- Clause 5 Information Model definitions for 5GC NRM</t>
    </r>
  </si>
  <si>
    <t>Control-plane disaster recovery (DR)</t>
    <phoneticPr fontId="10" type="noConversion"/>
  </si>
  <si>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phoneticPr fontId="10" type="noConversion"/>
  </si>
  <si>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phoneticPr fontId="10" type="noConversion"/>
  </si>
  <si>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phoneticPr fontId="10" type="noConversion"/>
  </si>
  <si>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phoneticPr fontId="10" type="noConversion"/>
  </si>
  <si>
    <t>No. The service switchover can be triggered manually.</t>
    <phoneticPr fontId="10" type="noConversion"/>
  </si>
  <si>
    <t>Plan to describe the high-level use case and tasks in the fault recovery phase of AN fault management control loop in ANP.
3GPP TS 28.104 
 - Clause 7.2.3.2 Service failure recovery 
3GPP TS 28.541
- Clause 5 Information Model definitions for 5GC NRM</t>
    <phoneticPr fontId="10" type="noConversion"/>
  </si>
  <si>
    <t>User-plane disaster recovery</t>
    <phoneticPr fontId="10" type="noConversion"/>
  </si>
  <si>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phoneticPr fontId="10" type="noConversion"/>
  </si>
  <si>
    <r>
      <t>Yes. The user-plane DR NEs and DR DCs can take over all services without service interruption:
1. When an accident or natural disaster occurs,</t>
    </r>
    <r>
      <rPr>
        <sz val="9"/>
        <color rgb="FFFF0000"/>
        <rFont val="Calibri"/>
        <family val="2"/>
        <scheme val="minor"/>
      </rPr>
      <t xml:space="preserve"> </t>
    </r>
    <r>
      <rPr>
        <sz val="9"/>
        <color rgb="FF000000"/>
        <rFont val="Calibri"/>
        <family val="2"/>
        <scheme val="minor"/>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</si>
  <si>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t>The user-plane DR NEs and DR DCs can take over all services in a short period of time:
1. User-plane NEs can take over all traffic in minutes.
2. The data connection can recover in minutes.</t>
    <phoneticPr fontId="10" type="noConversion"/>
  </si>
  <si>
    <t>The user-plane DR NEs and DR DCs can take over traffic of faulty user-plane NEs.
1. User-plane NEs can take over all traffic.</t>
    <phoneticPr fontId="10" type="noConversion"/>
  </si>
  <si>
    <t xml:space="preserve">Infrastructure disaster recovery </t>
    <phoneticPr fontId="10" type="noConversion"/>
  </si>
  <si>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phoneticPr fontId="10" type="noConversion"/>
  </si>
  <si>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phoneticPr fontId="10" type="noConversion"/>
  </si>
  <si>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phoneticPr fontId="10" type="noConversion"/>
  </si>
  <si>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phoneticPr fontId="10" type="noConversion"/>
  </si>
  <si>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phoneticPr fontId="10" type="noConversion"/>
  </si>
  <si>
    <t>Anti-signaling surge capability</t>
    <phoneticPr fontId="10" type="noConversion"/>
  </si>
  <si>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phoneticPr fontId="10" type="noConversion"/>
  </si>
  <si>
    <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sz val="9"/>
        <color rgb="FFFF0000"/>
        <rFont val="Calibri"/>
        <family val="2"/>
        <scheme val="minor"/>
      </rPr>
      <t xml:space="preserve"> </t>
    </r>
    <r>
      <rPr>
        <sz val="9"/>
        <color rgb="FF000000"/>
        <rFont val="Calibri"/>
        <family val="2"/>
        <scheme val="minor"/>
      </rPr>
      <t>fall back.</t>
    </r>
    <r>
      <rPr>
        <sz val="9"/>
        <color rgb="FFFF0000"/>
        <rFont val="Calibri"/>
        <family val="2"/>
        <scheme val="minor"/>
      </rPr>
      <t xml:space="preserve">
</t>
    </r>
    <r>
      <rPr>
        <sz val="9"/>
        <color rgb="FF000000"/>
        <rFont val="Calibri"/>
        <family val="2"/>
        <scheme val="minor"/>
      </rPr>
      <t xml:space="preserve">
The system can converge signaling storm in minutes.</t>
    </r>
  </si>
  <si>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phoneticPr fontId="10" type="noConversion"/>
  </si>
  <si>
    <t>NEs are capable to protect its processing capability.</t>
    <phoneticPr fontId="10" type="noConversion"/>
  </si>
  <si>
    <t>Not supported</t>
  </si>
  <si>
    <t xml:space="preserve">Plan to describe the high-level use case and tasks in the fault recovery phase of AN fault management control loop in ANP.
3GPP TS 28.552
 - Clause 5 Performance measurements for 5G network functions 
</t>
    <phoneticPr fontId="10" type="noConversion"/>
  </si>
  <si>
    <t>Intelligent stability</t>
  </si>
  <si>
    <t>Does your system automatically detect and prevent the risks of network NE faults to ensure the service continuity?
Core network NEs or NFs for assessment: core network NEs (e.g., 5GC NFs, EPC NEs, and IMS NEs)</t>
    <phoneticPr fontId="10" type="noConversion"/>
  </si>
  <si>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phoneticPr fontId="10" type="noConversion"/>
  </si>
  <si>
    <t>The system can perform automatic risk identification, which requires manual confirmation, to recognize the potential faults and prevent faults, and it can do the following: 
1. Prevent potential risk and analyze the specification-related risks, including capacity and links.</t>
    <phoneticPr fontId="10" type="noConversion"/>
  </si>
  <si>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phoneticPr fontId="10" type="noConversion"/>
  </si>
  <si>
    <t>3GPP TS 28.104 
 - Clause 8.4.3 MDA assisted fault management 
3GPP TS 28.104 
 - SLS related predictions
 - E2E latency analysis
 - Network slice load analysis
 - Control plane congestion analysis</t>
  </si>
  <si>
    <t>Service degradation recovery</t>
    <phoneticPr fontId="10" type="noConversion"/>
  </si>
  <si>
    <t>Does your system support automatic detection and recovery from service degradation related to core network NEs/NFs?
Core network NEs or NFs for assessment: core network NEs (e.g., 5GC NFs, EPC NEs, and IMS NEs)</t>
    <phoneticPr fontId="10" type="noConversion"/>
  </si>
  <si>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phoneticPr fontId="10" type="noConversion"/>
  </si>
  <si>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phoneticPr fontId="10" type="noConversion"/>
  </si>
  <si>
    <t>When abnormal situations (for example, CPU overload, interconnection issues, and slight service damage) occur without any fault alarms generated (for example, the heartbeat is normal), the system supports automatic detection of service degradation.</t>
    <phoneticPr fontId="10" type="noConversion"/>
  </si>
  <si>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</si>
  <si>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</si>
  <si>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t>Method 1: Average (for official use)</t>
  </si>
  <si>
    <t>Original 
Score</t>
  </si>
  <si>
    <t>Compensated Score</t>
  </si>
  <si>
    <t>Meet
Level 1
Criteria?</t>
  </si>
  <si>
    <t>Meet
Level 2
Criteria?</t>
  </si>
  <si>
    <t>Meet
Level 3
Criteria?</t>
  </si>
  <si>
    <t>Meet
Level 4
Criteria?</t>
  </si>
  <si>
    <t>Next Level
Criteria</t>
  </si>
  <si>
    <t>Meet Next
Level Criteria</t>
  </si>
  <si>
    <t>Core Network - Stability</t>
  </si>
  <si>
    <t>Basic stability</t>
  </si>
  <si>
    <t>Stable deployment architecture</t>
  </si>
  <si>
    <t>Control plane disaster recovery</t>
  </si>
  <si>
    <t>Disaster recovery networking deployment</t>
  </si>
  <si>
    <t>Anti-signaling surge capability</t>
  </si>
  <si>
    <t>Service degradation recovery</t>
  </si>
  <si>
    <t>Does your system support automatic detection of and recovery from service degradation related to core network NEs/NFs?
Core network NEs or NFs for assessment: core network NEs (e.g., 5GC NFs, EPC NEs, and IMS NEs)</t>
    <phoneticPr fontId="10" type="noConversion"/>
  </si>
  <si>
    <t>Note: Scores are automatically calculated by formulas, which cannot be changed.</t>
  </si>
  <si>
    <t>Solution Implementation</t>
  </si>
  <si>
    <t xml:space="preserve">3GPP TS 28.100 7.1.1
Awareness:
-	Task C:  information collection. </t>
  </si>
  <si>
    <t xml:space="preserve">3GPP TS 28.100 7.1.1
Analysis:
-	Task D: issues identification. 
-	Task E:  deterioration prediction. </t>
  </si>
  <si>
    <t xml:space="preserve">3GPP TS 28.100 7.1.1
Analysis:
-	Task H: solutions analysis. </t>
  </si>
  <si>
    <t xml:space="preserve">3GPP TS 28.100 7.1.1
Decision:
-	Task I: solutions evaluation and determination. </t>
  </si>
  <si>
    <t xml:space="preserve">3GPP TS 28.100 7.1.1
Execution:
-	Task J: solutions execution. </t>
  </si>
  <si>
    <t>3GPP TS 28.100 7.1.1
Intent handling:
-	Task A: control information generation and determination.
-	Task B: intent fulfilment evaluation.</t>
  </si>
  <si>
    <t>The assessment is process-based and intended to be vendor-independent and where possible technology independent.</t>
  </si>
  <si>
    <t>Service Assurance</t>
  </si>
  <si>
    <t>The participation of relevant Subject Matter Experts is required to complete the assessment (1st and 2nd level operation engineers, Service Quality and automation experts)</t>
  </si>
  <si>
    <t>Service Performance degradation Prediction</t>
  </si>
  <si>
    <t>3GPP TS 28.100 7.1.1
Analysis:
-	Task F: Network issue demarcation. The tasks of analyze the network issue and determine the network issue categories (e.g. weak coverage, high load, low throughput).
-	Task G: Network issue root cause analysis. The tasks of analyzing the root cause (i.e. the location for the issue occurs and the cause for the issue) of the identified or predicted network issues.</t>
  </si>
  <si>
    <t>Options A to D: They adopt a common approach reflecting S, P/S &amp; P. They cover increasing levels of autonomy characteristics across the Options. Therefore, they should not include any reference to KEI/System accuracy</t>
  </si>
  <si>
    <t>In the telecom industry, Service Assurance is about managing user experience, Anomaly, Problem and Performance Management. It involves continuous monitoring, management, and optimization to ensure Services meet defined quality levels, SLAs, and provide an optimal user experience.</t>
  </si>
  <si>
    <t>A Service is what CSPs offer for subscribers consumption. Subscribers can be a person, enterprise or machine. Examples of Services: Individual Services, Home Services and Enterprise Services</t>
  </si>
  <si>
    <t>The questionnaire assesses "In Life" Service and therefore, all underlying capabilities are assumed already in place</t>
  </si>
  <si>
    <t>TM Forum Best Practice</t>
  </si>
  <si>
    <t xml:space="preserve">This document provides details of the TM Forum Autonomous Networks Questionaires in Excel format. </t>
  </si>
  <si>
    <t>Release Status: Pre-production</t>
  </si>
  <si>
    <t>IPR Mode: RAND</t>
  </si>
  <si>
    <r>
      <t>ã</t>
    </r>
    <r>
      <rPr>
        <sz val="9"/>
        <color theme="1"/>
        <rFont val="Calibri"/>
        <family val="2"/>
        <scheme val="minor"/>
      </rPr>
      <t>TM Forum 2025. All Rights Reserved.</t>
    </r>
  </si>
  <si>
    <t>Member</t>
  </si>
  <si>
    <t>Company</t>
  </si>
  <si>
    <t>Role*</t>
  </si>
  <si>
    <t>Kevin McDonnell</t>
  </si>
  <si>
    <t>Huawei</t>
  </si>
  <si>
    <t>Project Chair</t>
  </si>
  <si>
    <t>Pedro Garcia Parra</t>
  </si>
  <si>
    <t>Telefónica</t>
  </si>
  <si>
    <t>Project Co-Chair</t>
  </si>
  <si>
    <t xml:space="preserve">Fernando Camacho </t>
  </si>
  <si>
    <t>Tony Salim</t>
  </si>
  <si>
    <t>Ericsson</t>
  </si>
  <si>
    <t>Author</t>
  </si>
  <si>
    <t>Saeed Mohamed</t>
  </si>
  <si>
    <t>Luqman Shantal</t>
  </si>
  <si>
    <t>Makman Technology Consulting</t>
  </si>
  <si>
    <t>Key Contributor</t>
  </si>
  <si>
    <t>Menno Groen</t>
  </si>
  <si>
    <t>KPN</t>
  </si>
  <si>
    <t>Jörgen Holmström</t>
  </si>
  <si>
    <t>David Condon</t>
  </si>
  <si>
    <t>Reviewer</t>
  </si>
  <si>
    <t>Asser El Nahass</t>
  </si>
  <si>
    <t>Orange</t>
  </si>
  <si>
    <t>Ruowei</t>
  </si>
  <si>
    <t>China Mobile</t>
  </si>
  <si>
    <t>Ruiyue Xu</t>
  </si>
  <si>
    <t>Zhilong Yang</t>
  </si>
  <si>
    <t>Dinis Diogo</t>
  </si>
  <si>
    <t>Esa Pekka Vesterinen</t>
  </si>
  <si>
    <t>Detecon</t>
  </si>
  <si>
    <t>*Selected from: Project Chair, Project Co-Chair, Author, Editor, Key Contributor, Additional Input, Reviewer</t>
  </si>
  <si>
    <t>Jacek Hanusik</t>
  </si>
  <si>
    <t>Notice</t>
  </si>
  <si>
    <t>Copyright © TM Forum 2025. All Rights Reserved.</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</si>
  <si>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</si>
  <si>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</si>
  <si>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</si>
  <si>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</si>
  <si>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</si>
  <si>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r>
      <t>©TM Forum 2025.</t>
    </r>
    <r>
      <rPr>
        <sz val="10"/>
        <color theme="1"/>
        <rFont val="Arial"/>
        <family val="2"/>
      </rPr>
      <t xml:space="preserve"> All Rights Reserved.</t>
    </r>
  </si>
  <si>
    <r>
      <rPr>
        <sz val="10"/>
        <color theme="1"/>
        <rFont val="Noto Sans Symbols"/>
      </rPr>
      <t>ã</t>
    </r>
    <r>
      <rPr>
        <sz val="10"/>
        <color theme="1"/>
        <rFont val="Arial"/>
        <family val="2"/>
      </rPr>
      <t>TM Forum 2022. All Rights Reserved.</t>
    </r>
  </si>
  <si>
    <t>The System processes Intent using predefined rules and policies. Intent fulfillment evaluation is manually validated.</t>
  </si>
  <si>
    <t>Service  Capability</t>
  </si>
  <si>
    <t>Service  Assurance</t>
  </si>
  <si>
    <t>The System isolates &amp; analyzes performance degradation Root Cause, based on predefined rules</t>
  </si>
  <si>
    <t>Impact of degradation is determined based on human expertise.</t>
  </si>
  <si>
    <t xml:space="preserve">Solutions are manually created based on human expertise </t>
  </si>
  <si>
    <t>Remediation options, risk assessment and selection of appropriate solutions are manually done</t>
  </si>
  <si>
    <t>How does the System implement solution and apply fallback mechanisms in case of solution failure?</t>
  </si>
  <si>
    <t>The System implements the selected corrective action and triggers fallback mechanisms in case of failure, without human intervention</t>
  </si>
  <si>
    <t>The System applies corrective action and fallback mechanisms using pre-defined rules, based on human approval.</t>
  </si>
  <si>
    <t>Approval Status: Team Approved</t>
  </si>
  <si>
    <t>100 Enterprise Drive</t>
  </si>
  <si>
    <t>Suite 304, #1649</t>
  </si>
  <si>
    <t>Rockaway, NJ 07866 USA</t>
  </si>
  <si>
    <t>Tel No. +1 862 227 1648</t>
  </si>
  <si>
    <t>GB1503A</t>
  </si>
  <si>
    <t>Sub-scenarios</t>
  </si>
  <si>
    <t>Experience</t>
  </si>
  <si>
    <t>Performance</t>
  </si>
  <si>
    <t xml:space="preserve">III. Guideline for Answering ANL Questionnaire </t>
  </si>
  <si>
    <t>II. Sub-scenarios</t>
  </si>
  <si>
    <t>Tony Chen</t>
  </si>
  <si>
    <t>Dynamic rules: implies that the system uses rules that can be adjusted or modified in real-time based on changing conditions or requirements</t>
  </si>
  <si>
    <t>The purpose of this questionnaire is to assess the autonomy level of Service Assurance High Value Scenarios. To be used for Individual Services - Service Assurance</t>
  </si>
  <si>
    <t>Intent configuration and evaluation are entirely manual and based on human expertise.</t>
  </si>
  <si>
    <t>The System processes Intent using templates and guided workflows. 
Intent fulfillment evaluation is manually validated.</t>
  </si>
  <si>
    <t>The System evaluates remediation options, recommends the optimal solution to be executed based on pre-defined rules. 
Option selection is made by Human</t>
  </si>
  <si>
    <t xml:space="preserve">The System suggests corrective actions based on pre-defined rules. </t>
  </si>
  <si>
    <t>Implementation and fallback handling of the corrective action are manually executed</t>
  </si>
  <si>
    <t>Anomaly &amp; Stability</t>
  </si>
  <si>
    <t>eTOM primary focus areas for Service Assurance :</t>
  </si>
  <si>
    <t>Performance monitoring, Service  degradation and anomaly / outage detection are determined based on human expertise</t>
  </si>
  <si>
    <t>The System identifies &amp; analyzes impact of Service degradation, based on predefined rules</t>
  </si>
  <si>
    <t>The questionnaire is aligned with the principles described in 3GPP TS 28.100, IG1277, IG1252, IG1218 &amp; eTOM</t>
  </si>
  <si>
    <t>Service Performance Monitoring &amp; degradation/outage detection</t>
  </si>
  <si>
    <r>
      <rPr>
        <b/>
        <sz val="9"/>
        <color theme="1"/>
        <rFont val="Calibri"/>
        <family val="2"/>
        <scheme val="minor"/>
      </rPr>
      <t>Anomaly &amp; Stability</t>
    </r>
    <r>
      <rPr>
        <sz val="9"/>
        <color theme="1"/>
        <rFont val="Calibri"/>
        <family val="2"/>
        <scheme val="minor"/>
      </rPr>
      <t>: example - SLA violation prediction, Service outage/Disconnection and Chronic degradations [situation where service becomes unstable or at risk]</t>
    </r>
  </si>
  <si>
    <t xml:space="preserve">Service Degradation Impact Analysis </t>
  </si>
  <si>
    <t>Service Degradation Demarcation &amp; Root Cause Analysis</t>
  </si>
  <si>
    <t>How does the System isolate the root causes of Service degradation by analyzing contributing factors within or across network domains (e.g., RAN, transport, core), covering performance, stability, and experience-related issues?</t>
  </si>
  <si>
    <t>The System isolates and analyzes the root causes of Service degradation by evaluating contributing factors within or across network domains using self learning AI Models, without human intervention.</t>
  </si>
  <si>
    <t>The System isolates and analyzes the root cause of Service degradation using Dynamic Rules (context-aware) or ML Outputs and may require human intervention</t>
  </si>
  <si>
    <t>How does the System generate solutions to address Service degradation (performance, stability, or experience) based on root cause analysis?</t>
  </si>
  <si>
    <t>The System generates corrective actions using dynamic rules (context-aware) or ML Outputs and may require human confirmation</t>
  </si>
  <si>
    <t>The System evaluates multiple remediation options, analyzes risk and trade-offs, and selects the optimal solution using self learning AI Models, without requiring human decision-making.</t>
  </si>
  <si>
    <t>The System evaluates remediation options, recommends the optimal solution to be executed using Dynamic rules (context-aware) or ML Outputs and may require human approval</t>
  </si>
  <si>
    <t>A)</t>
  </si>
  <si>
    <t>B)</t>
  </si>
  <si>
    <t>C)</t>
  </si>
  <si>
    <t>D)</t>
  </si>
  <si>
    <t>SLA violation is manually detected and addressed based on performance reports.</t>
  </si>
  <si>
    <t>The System predicts SLA violations based on pre-defined rules.</t>
  </si>
  <si>
    <t>Performance data and alarms are manually analyzed to determine the root cause.</t>
  </si>
  <si>
    <t>How does the System translate Service  intents (e.g., throughput, latency, availability) into network actions and evaluate their fulfillment?</t>
  </si>
  <si>
    <t xml:space="preserve">How does the System evaluate solutions and decide on the optimal solution to implement ?
</t>
  </si>
  <si>
    <t>Past resolution means system learns/self adapts from previous actions/solutions.</t>
  </si>
  <si>
    <t>Note: It is assumed the cognitive loop is closed by verifying the Intent Fulfilment</t>
  </si>
  <si>
    <t>Co-Author</t>
  </si>
  <si>
    <t>How does the System monitor Service KPIs (e.g., throughput, latency, availability, experience KPIs, VoLTE/VoNR call drop rate) and detect performance degradation, outage or anomalies?</t>
  </si>
  <si>
    <t>The System continuously monitors Service KPIs (e.g., throughput, latency, availability, experience KPIs, VoLTE/VoNR call drop rate) and detect performance degradation, outage or anomalies without human intervention.</t>
  </si>
  <si>
    <t>The System continuously monitors Service  KPIs (e.g., throughput, latency, availability, experience KPIs, VoLTE/VoNR call drop rate) and detect performance degradation, outage or anomalies based on predefined rules</t>
  </si>
  <si>
    <t>How does the System predict Service degradation (e.g., throughput, latency, availability, experience KPIs, VoLTE/VoNR call drop rate) and SLA violation ?</t>
  </si>
  <si>
    <t>The System uses self-learning AI Models to analyze Service KPIs (e.g., throughput, latency, availability, experience KPIs, VoLTE/VoNR call drop rate) and predicts SLA violations, without human intervention</t>
  </si>
  <si>
    <t>The System uses dynamic rules (context-aware) or ML outputs to analyze Service KPIs (e.g., throughput, latency, availability, experience KPIs, VoLTE/VoNR call drop rate) and predicts SLA violations and may require human intervention (e.g. for model re-training)</t>
  </si>
  <si>
    <t>How does the System identify and analyze the impact of Service degradation (e.g., throughput, latency, stability issues, experience deterioration,VoLTE/VoNR call drop rate) on user experience or SLA compliance?</t>
  </si>
  <si>
    <t>The System identifies and analyzes the impact of Service degradation (e.g., throughput, latency, stability issues, experience deterioration, VoLTE/VoNR call drop rate) using self-learning AI Models without human intervention.</t>
  </si>
  <si>
    <t>The System identifies and analyzes the impact of Service degradation (e.g., throughput, latency, stability issues, experience deterioration, VoLTE/VoNR call drop rate) using dynamic rules (context-aware) or ML Outputs and may require human confirmation to proceed</t>
  </si>
  <si>
    <t>Individual Services Service Assurance Questionnaire</t>
  </si>
  <si>
    <t>Team Approved Date: 24-Jan-2026</t>
  </si>
  <si>
    <t>Maturity Level: Beta</t>
  </si>
  <si>
    <t>Version 2.0.0</t>
  </si>
  <si>
    <t>Final Score</t>
  </si>
  <si>
    <t xml:space="preserve">The System generates corrective actions (towards specific user group, service type and Apps) to address Service degradation and continuously learns from past resolutions using AI Models, without human intervention.
</t>
  </si>
  <si>
    <r>
      <rPr>
        <b/>
        <sz val="9"/>
        <color theme="1"/>
        <rFont val="Calibri"/>
        <family val="2"/>
        <scheme val="minor"/>
      </rPr>
      <t>Experience</t>
    </r>
    <r>
      <rPr>
        <sz val="9"/>
        <color theme="1"/>
        <rFont val="Calibri"/>
        <family val="2"/>
        <scheme val="minor"/>
      </rPr>
      <t>: In this questionnaire, “Experience” refers to service experience indicators inferred from network and service data. It does not require specifically probe measurements. Example - Video quality, Gaming Experience, VoIP Quality and App level Experience [ Represent how the end user actually experiences the service]</t>
    </r>
  </si>
  <si>
    <r>
      <rPr>
        <b/>
        <sz val="9"/>
        <color theme="1"/>
        <rFont val="Calibri"/>
        <family val="2"/>
        <scheme val="minor"/>
      </rPr>
      <t>Performance</t>
    </r>
    <r>
      <rPr>
        <sz val="9"/>
        <color theme="1"/>
        <rFont val="Calibri"/>
        <family val="2"/>
        <scheme val="minor"/>
      </rPr>
      <t>: Example - Throughput / Latency / Jitter, and Slice Performance [ performance indicators that influence service behanivour directly]</t>
    </r>
  </si>
  <si>
    <t xml:space="preserve">The System automatically generates Service  Assurance objectives (e.g., throughput targets, latency bounds) and policy actions based on Service intents, entered/updated by Person.
The System evaluates and presents intent fulfillment based on implementation effect, and informs if intent is not fulfilled.  </t>
  </si>
  <si>
    <t>LG Uplus</t>
  </si>
  <si>
    <t>Minjong Kim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</si>
</sst>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4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Calibri"/>
      <family val="3"/>
      <charset val="134"/>
      <scheme val="minor"/>
    </font>
    <font>
      <sz val="9"/>
      <name val="Calibri"/>
      <family val="3"/>
      <charset val="134"/>
      <scheme val="minor"/>
    </font>
    <font>
      <sz val="11"/>
      <color theme="1"/>
      <name val="Calibri"/>
      <family val="2"/>
      <scheme val="minor"/>
    </font>
    <font>
      <b/>
      <sz val="9"/>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color rgb="FFFF0000"/>
      <name val="Calibri"/>
      <family val="2"/>
      <scheme val="minor"/>
    </font>
    <font>
      <sz val="9"/>
      <name val="Calibri"/>
      <family val="2"/>
      <scheme val="minor"/>
    </font>
    <font>
      <sz val="9"/>
      <color rgb="FF5B9BD5"/>
      <name val="Calibri"/>
      <family val="2"/>
      <scheme val="minor"/>
    </font>
    <font>
      <sz val="8"/>
      <color theme="1"/>
      <name val="Ericsson Hilda"/>
    </font>
    <font>
      <b/>
      <sz val="9"/>
      <color theme="0"/>
      <name val="Calibri"/>
      <family val="2"/>
      <scheme val="minor"/>
    </font>
    <font>
      <b/>
      <sz val="9"/>
      <color theme="1"/>
      <name val="Arial"/>
      <family val="2"/>
    </font>
    <font>
      <b/>
      <sz val="9"/>
      <color theme="0"/>
      <name val="Arial"/>
      <family val="2"/>
    </font>
    <font>
      <b/>
      <sz val="9"/>
      <name val="Calibri"/>
      <family val="2"/>
      <scheme val="minor"/>
    </font>
    <font>
      <sz val="9"/>
      <name val="Calibri"/>
      <family val="2"/>
      <charset val="134"/>
      <scheme val="minor"/>
    </font>
    <font>
      <b/>
      <sz val="9"/>
      <color rgb="FF000000"/>
      <name val="Calibri"/>
      <family val="2"/>
      <charset val="134"/>
      <scheme val="minor"/>
    </font>
    <font>
      <b/>
      <sz val="9"/>
      <color theme="1"/>
      <name val="Calibri"/>
      <family val="2"/>
      <charset val="134"/>
      <scheme val="minor"/>
    </font>
    <font>
      <sz val="9"/>
      <color rgb="FF000000"/>
      <name val="Calibri"/>
      <family val="2"/>
      <charset val="134"/>
      <scheme val="minor"/>
    </font>
    <font>
      <b/>
      <sz val="28"/>
      <color rgb="FFC00000"/>
      <name val="Georgia"/>
      <family val="1"/>
    </font>
    <font>
      <b/>
      <sz val="28"/>
      <color rgb="FFE0121D"/>
      <name val="Georgia"/>
      <family val="1"/>
    </font>
    <font>
      <b/>
      <sz val="32"/>
      <color rgb="FF404040"/>
      <name val="Calibri"/>
      <family val="2"/>
      <charset val="134"/>
      <scheme val="minor"/>
    </font>
    <font>
      <i/>
      <sz val="18"/>
      <color rgb="FF404040"/>
      <name val="Calibri"/>
      <family val="2"/>
      <charset val="134"/>
      <scheme val="minor"/>
    </font>
    <font>
      <sz val="16"/>
      <color rgb="FF404040"/>
      <name val="Calibri"/>
      <family val="2"/>
      <charset val="134"/>
      <scheme val="minor"/>
    </font>
    <font>
      <b/>
      <sz val="18"/>
      <color rgb="FF404040"/>
      <name val="Calibri"/>
      <family val="2"/>
      <charset val="134"/>
      <scheme val="minor"/>
    </font>
    <font>
      <b/>
      <sz val="14"/>
      <color rgb="FF404040"/>
      <name val="Arial"/>
      <family val="2"/>
    </font>
    <font>
      <sz val="10"/>
      <color theme="1"/>
      <name val="Symbol"/>
      <family val="1"/>
      <charset val="2"/>
    </font>
    <font>
      <b/>
      <sz val="32"/>
      <color rgb="FF404040"/>
      <name val="Calibri"/>
      <family val="2"/>
      <scheme val="minor"/>
    </font>
    <font>
      <b/>
      <sz val="11"/>
      <color theme="1"/>
      <name val="Arial"/>
      <family val="2"/>
    </font>
    <font>
      <sz val="11"/>
      <color theme="1"/>
      <name val="Arial"/>
      <family val="2"/>
    </font>
    <font>
      <sz val="11"/>
      <color rgb="FF000000"/>
      <name val="Arial"/>
      <family val="2"/>
    </font>
    <font>
      <i/>
      <sz val="11"/>
      <color rgb="FF172B4D"/>
      <name val="Arial"/>
      <family val="2"/>
    </font>
    <font>
      <sz val="28"/>
      <color rgb="FFC00000"/>
      <name val="Arial"/>
      <family val="2"/>
    </font>
    <font>
      <sz val="10"/>
      <color theme="1"/>
      <name val="Arial"/>
      <family val="2"/>
    </font>
    <font>
      <u/>
      <sz val="11"/>
      <color theme="10"/>
      <name val="Arial"/>
      <family val="2"/>
    </font>
    <font>
      <sz val="10"/>
      <color theme="1"/>
      <name val="Noto Sans Symbols"/>
    </font>
    <font>
      <u/>
      <sz val="11"/>
      <color theme="10"/>
      <name val="Calibri"/>
      <family val="2"/>
      <scheme val="minor"/>
    </font>
    <font>
      <b/>
      <sz val="8"/>
      <color theme="1"/>
      <name val="Calibri"/>
      <family val="2"/>
      <charset val="134"/>
      <scheme val="minor"/>
    </font>
    <font>
      <sz val="9"/>
      <color theme="1"/>
      <name val="Calibri"/>
      <family val="2"/>
      <charset val="134"/>
      <scheme val="minor"/>
    </font>
  </fonts>
  <fills count="18">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rgb="FF000000"/>
      </patternFill>
    </fill>
    <fill>
      <patternFill patternType="solid">
        <fgColor theme="7" tint="0.79995117038483843"/>
        <bgColor indexed="64"/>
      </patternFill>
    </fill>
    <fill>
      <patternFill patternType="solid">
        <fgColor theme="7"/>
        <bgColor indexed="64"/>
      </patternFill>
    </fill>
    <fill>
      <patternFill patternType="solid">
        <fgColor rgb="FFE2EFDA"/>
        <bgColor rgb="FF000000"/>
      </patternFill>
    </fill>
    <fill>
      <patternFill patternType="solid">
        <fgColor rgb="FFFFFFFF"/>
        <bgColor indexed="64"/>
      </patternFill>
    </fill>
    <fill>
      <patternFill patternType="solid">
        <fgColor theme="0" tint="-0.14996795556505021"/>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59999389629810485"/>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medium">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style="medium">
        <color indexed="64"/>
      </top>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style="medium">
        <color auto="1"/>
      </bottom>
      <diagonal/>
    </border>
    <border>
      <left style="medium">
        <color indexed="64"/>
      </left>
      <right style="thin">
        <color auto="1"/>
      </right>
      <top/>
      <bottom style="medium">
        <color indexed="64"/>
      </bottom>
      <diagonal/>
    </border>
    <border>
      <left style="thin">
        <color auto="1"/>
      </left>
      <right/>
      <top/>
      <bottom style="medium">
        <color auto="1"/>
      </bottom>
      <diagonal/>
    </border>
    <border>
      <left/>
      <right/>
      <top style="thin">
        <color auto="1"/>
      </top>
      <bottom style="thin">
        <color auto="1"/>
      </bottom>
      <diagonal/>
    </border>
    <border>
      <left/>
      <right/>
      <top/>
      <bottom style="thin">
        <color auto="1"/>
      </bottom>
      <diagonal/>
    </border>
    <border>
      <left/>
      <right style="medium">
        <color indexed="64"/>
      </right>
      <top style="thin">
        <color auto="1"/>
      </top>
      <bottom style="thin">
        <color indexed="64"/>
      </bottom>
      <diagonal/>
    </border>
  </borders>
  <cellStyleXfs count="22">
    <xf numFmtId="0" fontId="0" fillId="0" borderId="0">
      <alignment vertical="center"/>
    </xf>
    <xf numFmtId="0" fontId="9" fillId="0" borderId="0"/>
    <xf numFmtId="0" fontId="9" fillId="0" borderId="0">
      <alignment vertical="center"/>
    </xf>
    <xf numFmtId="0" fontId="8" fillId="0" borderId="0">
      <alignment vertical="center"/>
    </xf>
    <xf numFmtId="0" fontId="7" fillId="0" borderId="0">
      <alignment vertical="center"/>
    </xf>
    <xf numFmtId="9" fontId="9" fillId="0" borderId="0" applyFont="0" applyFill="0" applyBorder="0" applyAlignment="0" applyProtection="0">
      <alignment vertical="center"/>
    </xf>
    <xf numFmtId="0" fontId="9" fillId="0" borderId="0"/>
    <xf numFmtId="0" fontId="5" fillId="0" borderId="0">
      <alignment vertical="center"/>
    </xf>
    <xf numFmtId="0" fontId="4" fillId="0" borderId="0">
      <alignment vertical="top"/>
    </xf>
    <xf numFmtId="0" fontId="4" fillId="0" borderId="0"/>
    <xf numFmtId="0" fontId="4" fillId="0" borderId="0"/>
    <xf numFmtId="0" fontId="6" fillId="0" borderId="0"/>
    <xf numFmtId="0" fontId="4" fillId="0" borderId="0"/>
    <xf numFmtId="0" fontId="11" fillId="0" borderId="0">
      <alignment vertical="center"/>
    </xf>
    <xf numFmtId="0" fontId="3" fillId="0" borderId="0"/>
    <xf numFmtId="0" fontId="1" fillId="0" borderId="0">
      <alignment vertical="top"/>
    </xf>
    <xf numFmtId="0" fontId="1" fillId="0" borderId="0"/>
    <xf numFmtId="0" fontId="1" fillId="0" borderId="0"/>
    <xf numFmtId="0" fontId="1" fillId="0" borderId="0">
      <alignment vertical="center"/>
    </xf>
    <xf numFmtId="0" fontId="1" fillId="0" borderId="0"/>
    <xf numFmtId="0" fontId="1" fillId="0" borderId="0"/>
    <xf numFmtId="0" fontId="46" fillId="0" borderId="0" applyNumberFormat="0" applyFill="0" applyBorder="0" applyAlignment="0" applyProtection="0">
      <alignment vertical="center"/>
    </xf>
  </cellStyleXfs>
  <cellXfs count="332">
    <xf numFmtId="0" fontId="0" fillId="0" borderId="0" xfId="0">
      <alignment vertical="center"/>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14" fillId="3" borderId="0" xfId="0" applyFont="1" applyFill="1" applyAlignment="1"/>
    <xf numFmtId="0" fontId="12"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9" fontId="1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9" fontId="14" fillId="3" borderId="1" xfId="0" applyNumberFormat="1" applyFont="1" applyFill="1" applyBorder="1" applyAlignment="1">
      <alignment horizontal="center" vertical="center" wrapText="1"/>
    </xf>
    <xf numFmtId="0" fontId="15"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4"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protection locked="0"/>
    </xf>
    <xf numFmtId="0" fontId="14" fillId="3" borderId="0" xfId="0" applyFont="1" applyFill="1" applyAlignment="1">
      <alignment vertical="center" wrapText="1"/>
    </xf>
    <xf numFmtId="0" fontId="14" fillId="3"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5" fillId="0" borderId="0" xfId="0" applyFont="1">
      <alignment vertical="center"/>
    </xf>
    <xf numFmtId="0" fontId="14" fillId="0" borderId="0" xfId="0" applyFont="1" applyAlignment="1"/>
    <xf numFmtId="0" fontId="14" fillId="0" borderId="0" xfId="0" applyFont="1">
      <alignment vertical="center"/>
    </xf>
    <xf numFmtId="0" fontId="12" fillId="4" borderId="2" xfId="6" applyFont="1" applyFill="1" applyBorder="1" applyAlignment="1">
      <alignment horizontal="center" vertical="center" wrapText="1"/>
    </xf>
    <xf numFmtId="0" fontId="13" fillId="4" borderId="2" xfId="6" applyFont="1" applyFill="1" applyBorder="1" applyAlignment="1">
      <alignment horizontal="center" vertical="center" wrapText="1"/>
    </xf>
    <xf numFmtId="0" fontId="12" fillId="6" borderId="2" xfId="6" applyFont="1" applyFill="1" applyBorder="1" applyAlignment="1">
      <alignment horizontal="center" vertical="center" wrapText="1"/>
    </xf>
    <xf numFmtId="0" fontId="13" fillId="6" borderId="2" xfId="6" applyFont="1" applyFill="1" applyBorder="1" applyAlignment="1">
      <alignment horizontal="center" vertical="center" wrapText="1"/>
    </xf>
    <xf numFmtId="0" fontId="14" fillId="0" borderId="0" xfId="6" applyFont="1" applyAlignment="1">
      <alignment wrapText="1"/>
    </xf>
    <xf numFmtId="0" fontId="12" fillId="3" borderId="2" xfId="0" applyFont="1" applyFill="1" applyBorder="1" applyAlignment="1">
      <alignment horizontal="center" vertical="center" wrapText="1"/>
    </xf>
    <xf numFmtId="0" fontId="14" fillId="3" borderId="2" xfId="0" applyFont="1" applyFill="1" applyBorder="1" applyAlignment="1">
      <alignment horizontal="center" vertical="center" wrapText="1"/>
    </xf>
    <xf numFmtId="9" fontId="14" fillId="3" borderId="2" xfId="0" applyNumberFormat="1" applyFont="1" applyFill="1" applyBorder="1" applyAlignment="1">
      <alignment horizontal="center" vertical="center" wrapText="1"/>
    </xf>
    <xf numFmtId="0" fontId="15" fillId="3" borderId="2"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0" borderId="2" xfId="6" applyFont="1" applyBorder="1" applyAlignment="1">
      <alignment horizontal="center" vertical="center"/>
    </xf>
    <xf numFmtId="2" fontId="14" fillId="0" borderId="2" xfId="6" applyNumberFormat="1" applyFont="1" applyBorder="1" applyAlignment="1">
      <alignment horizontal="center" vertical="center"/>
    </xf>
    <xf numFmtId="164" fontId="14" fillId="0" borderId="2" xfId="6" applyNumberFormat="1" applyFont="1" applyBorder="1" applyAlignment="1">
      <alignment horizontal="center" vertical="center"/>
    </xf>
    <xf numFmtId="0" fontId="18" fillId="0" borderId="2" xfId="6" applyFont="1" applyBorder="1" applyAlignment="1">
      <alignment horizontal="center" vertical="center"/>
    </xf>
    <xf numFmtId="164" fontId="18" fillId="0" borderId="2" xfId="6" applyNumberFormat="1" applyFont="1" applyBorder="1" applyAlignment="1">
      <alignment horizontal="center" vertical="center"/>
    </xf>
    <xf numFmtId="0" fontId="14" fillId="0" borderId="0" xfId="0" applyFont="1" applyAlignment="1">
      <alignment vertical="center" wrapText="1"/>
    </xf>
    <xf numFmtId="0" fontId="14" fillId="0" borderId="0" xfId="6" applyFont="1"/>
    <xf numFmtId="0" fontId="15" fillId="8" borderId="1" xfId="0" applyFont="1" applyFill="1" applyBorder="1" applyAlignment="1">
      <alignment horizontal="center" vertical="center" wrapText="1"/>
    </xf>
    <xf numFmtId="9" fontId="15" fillId="5" borderId="5" xfId="0" applyNumberFormat="1" applyFont="1" applyFill="1" applyBorder="1" applyAlignment="1">
      <alignment horizontal="center" vertical="center" wrapText="1"/>
    </xf>
    <xf numFmtId="0" fontId="15" fillId="5" borderId="5" xfId="0" applyFont="1" applyFill="1" applyBorder="1" applyAlignment="1">
      <alignment horizontal="left" vertical="top" wrapText="1"/>
    </xf>
    <xf numFmtId="0" fontId="15" fillId="0" borderId="5" xfId="0" applyFont="1" applyBorder="1" applyAlignment="1">
      <alignment horizontal="left" vertical="top" wrapText="1"/>
    </xf>
    <xf numFmtId="0" fontId="18" fillId="5" borderId="5" xfId="0" applyFont="1" applyFill="1" applyBorder="1" applyAlignment="1">
      <alignment horizontal="left" vertical="top" wrapText="1"/>
    </xf>
    <xf numFmtId="0" fontId="15" fillId="0" borderId="5" xfId="0" applyFont="1" applyBorder="1" applyAlignment="1">
      <alignment vertical="center" wrapText="1"/>
    </xf>
    <xf numFmtId="0" fontId="18" fillId="0" borderId="5" xfId="0" applyFont="1" applyBorder="1" applyAlignment="1" applyProtection="1">
      <alignment horizontal="center" vertical="center"/>
      <protection locked="0"/>
    </xf>
    <xf numFmtId="0" fontId="18" fillId="0" borderId="5" xfId="0" applyFont="1" applyBorder="1" applyAlignment="1" applyProtection="1">
      <alignment horizontal="left" vertical="center"/>
      <protection locked="0"/>
    </xf>
    <xf numFmtId="0" fontId="15" fillId="8" borderId="4" xfId="0" applyFont="1" applyFill="1" applyBorder="1" applyAlignment="1">
      <alignment horizontal="center" vertical="center" wrapText="1"/>
    </xf>
    <xf numFmtId="9" fontId="15" fillId="5" borderId="3" xfId="0" applyNumberFormat="1" applyFont="1" applyFill="1" applyBorder="1" applyAlignment="1">
      <alignment horizontal="center" vertical="center" wrapText="1"/>
    </xf>
    <xf numFmtId="0" fontId="15" fillId="5" borderId="3" xfId="0" applyFont="1" applyFill="1" applyBorder="1" applyAlignment="1">
      <alignment horizontal="left" vertical="top" wrapText="1"/>
    </xf>
    <xf numFmtId="0" fontId="15" fillId="0" borderId="3" xfId="0" applyFont="1" applyBorder="1" applyAlignment="1">
      <alignment horizontal="left" vertical="top" wrapText="1"/>
    </xf>
    <xf numFmtId="0" fontId="15" fillId="5" borderId="3" xfId="0" applyFont="1" applyFill="1" applyBorder="1" applyAlignment="1">
      <alignment vertical="center" wrapText="1"/>
    </xf>
    <xf numFmtId="0" fontId="18" fillId="0" borderId="3" xfId="0" applyFont="1" applyBorder="1" applyAlignment="1" applyProtection="1">
      <alignment horizontal="center" vertical="center"/>
      <protection locked="0"/>
    </xf>
    <xf numFmtId="0" fontId="18" fillId="0" borderId="3" xfId="0" applyFont="1" applyBorder="1" applyAlignment="1" applyProtection="1">
      <alignment horizontal="left" vertical="center"/>
      <protection locked="0"/>
    </xf>
    <xf numFmtId="0" fontId="18" fillId="5" borderId="3" xfId="0" applyFont="1" applyFill="1" applyBorder="1" applyAlignment="1">
      <alignment horizontal="left" vertical="top" wrapText="1"/>
    </xf>
    <xf numFmtId="0" fontId="15"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9" borderId="1" xfId="0" applyFont="1" applyFill="1" applyBorder="1" applyAlignment="1">
      <alignment horizontal="left" vertical="top" wrapText="1"/>
    </xf>
    <xf numFmtId="0" fontId="15" fillId="3" borderId="1" xfId="0" applyFont="1" applyFill="1" applyBorder="1" applyAlignment="1">
      <alignment vertical="center" wrapText="1"/>
    </xf>
    <xf numFmtId="0" fontId="14" fillId="0" borderId="1" xfId="0" applyFont="1" applyBorder="1" applyAlignment="1"/>
    <xf numFmtId="0" fontId="12" fillId="4" borderId="10" xfId="6" applyFont="1" applyFill="1" applyBorder="1" applyAlignment="1">
      <alignment horizontal="center" vertical="center" wrapText="1"/>
    </xf>
    <xf numFmtId="0" fontId="12" fillId="4" borderId="11" xfId="6" applyFont="1" applyFill="1" applyBorder="1" applyAlignment="1">
      <alignment horizontal="center" vertical="center" wrapText="1"/>
    </xf>
    <xf numFmtId="0" fontId="12" fillId="4" borderId="15" xfId="6" applyFont="1" applyFill="1" applyBorder="1" applyAlignment="1">
      <alignment horizontal="center" vertical="center" wrapText="1"/>
    </xf>
    <xf numFmtId="0" fontId="14" fillId="3" borderId="3" xfId="0" applyFont="1" applyFill="1" applyBorder="1" applyAlignment="1">
      <alignment horizontal="center" vertical="center" wrapText="1"/>
    </xf>
    <xf numFmtId="9" fontId="14" fillId="3" borderId="4" xfId="0" applyNumberFormat="1" applyFont="1" applyFill="1" applyBorder="1" applyAlignment="1">
      <alignment horizontal="center" vertical="center" wrapText="1"/>
    </xf>
    <xf numFmtId="0" fontId="14" fillId="3" borderId="3" xfId="0" applyFont="1" applyFill="1" applyBorder="1" applyAlignment="1">
      <alignment horizontal="left" vertical="center" wrapText="1"/>
    </xf>
    <xf numFmtId="0" fontId="14" fillId="3" borderId="12"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9" fontId="14" fillId="3" borderId="7" xfId="0" applyNumberFormat="1"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5" fillId="0" borderId="0" xfId="6" applyFont="1"/>
    <xf numFmtId="0" fontId="14" fillId="0" borderId="0" xfId="0" applyFont="1" applyAlignment="1">
      <alignment vertical="top" wrapText="1"/>
    </xf>
    <xf numFmtId="0" fontId="13" fillId="0" borderId="0" xfId="0" applyFont="1">
      <alignment vertical="center"/>
    </xf>
    <xf numFmtId="0" fontId="12" fillId="0" borderId="1" xfId="0" applyFont="1" applyBorder="1" applyAlignment="1">
      <alignment horizontal="center" vertical="center"/>
    </xf>
    <xf numFmtId="14" fontId="14" fillId="0" borderId="1" xfId="0" applyNumberFormat="1" applyFont="1" applyBorder="1" applyAlignment="1">
      <alignment horizontal="left" vertical="center"/>
    </xf>
    <xf numFmtId="0" fontId="14" fillId="0" borderId="1" xfId="0" applyFont="1" applyBorder="1">
      <alignment vertical="center"/>
    </xf>
    <xf numFmtId="49" fontId="14" fillId="0" borderId="1" xfId="0" applyNumberFormat="1" applyFont="1" applyBorder="1" applyAlignment="1">
      <alignment horizontal="center" vertical="center"/>
    </xf>
    <xf numFmtId="0" fontId="15" fillId="0" borderId="1" xfId="0" applyFont="1" applyBorder="1" applyAlignment="1">
      <alignment vertical="top" wrapText="1"/>
    </xf>
    <xf numFmtId="49" fontId="15" fillId="0" borderId="1" xfId="0" applyNumberFormat="1" applyFont="1" applyBorder="1" applyAlignment="1">
      <alignment vertical="top" wrapText="1"/>
    </xf>
    <xf numFmtId="0" fontId="17" fillId="0" borderId="1" xfId="0" applyFont="1" applyBorder="1" applyAlignment="1" applyProtection="1">
      <alignment horizontal="left" vertical="center" wrapText="1"/>
      <protection locked="0"/>
    </xf>
    <xf numFmtId="0" fontId="12" fillId="13" borderId="1" xfId="0" applyFont="1" applyFill="1" applyBorder="1" applyAlignment="1">
      <alignment horizontal="center" vertical="center" wrapText="1"/>
    </xf>
    <xf numFmtId="0" fontId="14" fillId="3" borderId="0" xfId="0" applyFont="1" applyFill="1" applyAlignment="1">
      <alignment wrapText="1"/>
    </xf>
    <xf numFmtId="0" fontId="2" fillId="0" borderId="0" xfId="0" applyFont="1">
      <alignment vertical="center"/>
    </xf>
    <xf numFmtId="0" fontId="20" fillId="14" borderId="1" xfId="0" applyFont="1" applyFill="1" applyBorder="1" applyAlignment="1">
      <alignment horizontal="center" vertical="center"/>
    </xf>
    <xf numFmtId="0" fontId="14" fillId="3" borderId="0" xfId="14" applyFont="1" applyFill="1"/>
    <xf numFmtId="0" fontId="14" fillId="3" borderId="0" xfId="14" applyFont="1" applyFill="1" applyAlignment="1">
      <alignment wrapText="1"/>
    </xf>
    <xf numFmtId="0" fontId="22" fillId="11" borderId="37" xfId="14" applyFont="1" applyFill="1" applyBorder="1" applyAlignment="1">
      <alignment horizontal="center" vertical="center" wrapText="1"/>
    </xf>
    <xf numFmtId="0" fontId="12" fillId="3" borderId="37" xfId="14" applyFont="1" applyFill="1" applyBorder="1" applyAlignment="1">
      <alignment horizontal="center" vertical="center" wrapText="1"/>
    </xf>
    <xf numFmtId="0" fontId="12" fillId="12" borderId="11" xfId="14" applyFont="1" applyFill="1" applyBorder="1" applyAlignment="1">
      <alignment horizontal="center" vertical="center" wrapText="1"/>
    </xf>
    <xf numFmtId="0" fontId="12" fillId="3" borderId="11" xfId="14" applyFont="1" applyFill="1" applyBorder="1" applyAlignment="1">
      <alignment horizontal="center" vertical="center" wrapText="1"/>
    </xf>
    <xf numFmtId="9" fontId="18" fillId="3" borderId="1" xfId="0" applyNumberFormat="1" applyFont="1" applyFill="1" applyBorder="1" applyAlignment="1">
      <alignment horizontal="center" vertical="center" wrapText="1"/>
    </xf>
    <xf numFmtId="0" fontId="18" fillId="3" borderId="1" xfId="0" applyFont="1" applyFill="1" applyBorder="1" applyAlignment="1">
      <alignment horizontal="left" vertical="center" wrapText="1"/>
    </xf>
    <xf numFmtId="9" fontId="14" fillId="3" borderId="0" xfId="0" applyNumberFormat="1" applyFont="1" applyFill="1" applyAlignment="1">
      <alignment horizontal="center" vertical="center"/>
    </xf>
    <xf numFmtId="0" fontId="14" fillId="0" borderId="1" xfId="6" applyFont="1" applyBorder="1" applyAlignment="1">
      <alignment horizontal="center" vertical="center"/>
    </xf>
    <xf numFmtId="1" fontId="14" fillId="0" borderId="1" xfId="6" applyNumberFormat="1" applyFont="1" applyBorder="1" applyAlignment="1">
      <alignment horizontal="center" vertical="center"/>
    </xf>
    <xf numFmtId="9" fontId="14" fillId="0" borderId="0" xfId="0" applyNumberFormat="1" applyFont="1" applyAlignment="1">
      <alignment horizontal="center" vertical="center"/>
    </xf>
    <xf numFmtId="0" fontId="12" fillId="6" borderId="4" xfId="0" applyFont="1" applyFill="1" applyBorder="1" applyAlignment="1">
      <alignment horizontal="center" vertical="center" wrapText="1"/>
    </xf>
    <xf numFmtId="0" fontId="24" fillId="6" borderId="21" xfId="0" applyFont="1" applyFill="1" applyBorder="1" applyAlignment="1">
      <alignment horizontal="center" vertical="center" wrapText="1"/>
    </xf>
    <xf numFmtId="0" fontId="25" fillId="3" borderId="1" xfId="0" applyFont="1" applyFill="1" applyBorder="1" applyAlignment="1">
      <alignment horizontal="left" vertical="center" wrapText="1"/>
    </xf>
    <xf numFmtId="9" fontId="18" fillId="3" borderId="4" xfId="0" applyNumberFormat="1"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0" borderId="4" xfId="6" applyFont="1" applyBorder="1" applyAlignment="1">
      <alignment horizontal="center" vertical="center"/>
    </xf>
    <xf numFmtId="1" fontId="14" fillId="0" borderId="4" xfId="6" applyNumberFormat="1" applyFont="1" applyBorder="1" applyAlignment="1">
      <alignment horizontal="center" vertical="center"/>
    </xf>
    <xf numFmtId="0" fontId="12" fillId="4" borderId="14" xfId="6" applyFont="1" applyFill="1" applyBorder="1" applyAlignment="1">
      <alignment horizontal="center" vertical="center" wrapText="1"/>
    </xf>
    <xf numFmtId="0" fontId="28" fillId="3" borderId="1" xfId="0" applyFont="1" applyFill="1" applyBorder="1" applyAlignment="1">
      <alignment horizontal="left" vertical="top" wrapText="1"/>
    </xf>
    <xf numFmtId="0" fontId="18" fillId="6" borderId="1" xfId="0" applyFont="1" applyFill="1" applyBorder="1" applyAlignment="1">
      <alignment horizontal="left" vertical="center" wrapText="1"/>
    </xf>
    <xf numFmtId="0" fontId="0" fillId="0" borderId="0" xfId="15" applyFont="1">
      <alignment vertical="top"/>
    </xf>
    <xf numFmtId="0" fontId="0" fillId="0" borderId="0" xfId="16" applyFont="1"/>
    <xf numFmtId="0" fontId="29" fillId="0" borderId="0" xfId="17" applyFont="1" applyAlignment="1">
      <alignment vertical="center" wrapText="1"/>
    </xf>
    <xf numFmtId="0" fontId="30" fillId="0" borderId="0" xfId="17" applyFont="1" applyAlignment="1">
      <alignment vertical="center" wrapText="1"/>
    </xf>
    <xf numFmtId="0" fontId="31" fillId="0" borderId="0" xfId="17" applyFont="1" applyAlignment="1">
      <alignment wrapText="1"/>
    </xf>
    <xf numFmtId="0" fontId="32" fillId="0" borderId="0" xfId="17" applyFont="1"/>
    <xf numFmtId="0" fontId="33" fillId="0" borderId="0" xfId="17" applyFont="1" applyAlignment="1">
      <alignment wrapText="1"/>
    </xf>
    <xf numFmtId="0" fontId="34" fillId="0" borderId="0" xfId="17" applyFont="1"/>
    <xf numFmtId="17" fontId="34" fillId="0" borderId="0" xfId="17" applyNumberFormat="1" applyFont="1"/>
    <xf numFmtId="0" fontId="35" fillId="0" borderId="50" xfId="16" applyFont="1" applyBorder="1" applyAlignment="1">
      <alignment horizontal="left" vertical="center" wrapText="1"/>
    </xf>
    <xf numFmtId="0" fontId="35" fillId="0" borderId="51" xfId="16" applyFont="1" applyBorder="1" applyAlignment="1">
      <alignment horizontal="left" vertical="center" wrapText="1"/>
    </xf>
    <xf numFmtId="0" fontId="35" fillId="0" borderId="52" xfId="16" applyFont="1" applyBorder="1" applyAlignment="1">
      <alignment horizontal="left" vertical="center" wrapText="1"/>
    </xf>
    <xf numFmtId="0" fontId="35" fillId="0" borderId="53" xfId="16" applyFont="1" applyBorder="1" applyAlignment="1">
      <alignment horizontal="left" vertical="center" wrapText="1"/>
    </xf>
    <xf numFmtId="0" fontId="0" fillId="0" borderId="0" xfId="17" applyFont="1"/>
    <xf numFmtId="0" fontId="36" fillId="0" borderId="0" xfId="11" applyFont="1" applyAlignment="1">
      <alignment horizontal="left"/>
    </xf>
    <xf numFmtId="0" fontId="6" fillId="0" borderId="0" xfId="11"/>
    <xf numFmtId="0" fontId="38" fillId="0" borderId="0" xfId="18" applyFont="1" applyAlignment="1"/>
    <xf numFmtId="0" fontId="39" fillId="0" borderId="0" xfId="18" applyFont="1" applyAlignment="1">
      <alignment wrapText="1"/>
    </xf>
    <xf numFmtId="0" fontId="39" fillId="0" borderId="0" xfId="18" applyFont="1" applyAlignment="1"/>
    <xf numFmtId="0" fontId="38" fillId="15" borderId="1" xfId="18" applyFont="1" applyFill="1" applyBorder="1" applyAlignment="1"/>
    <xf numFmtId="0" fontId="39" fillId="0" borderId="1" xfId="18" applyFont="1" applyBorder="1" applyAlignment="1"/>
    <xf numFmtId="0" fontId="39" fillId="0" borderId="1" xfId="19" applyFont="1" applyBorder="1"/>
    <xf numFmtId="0" fontId="40" fillId="0" borderId="1" xfId="18" applyFont="1" applyBorder="1" applyAlignment="1"/>
    <xf numFmtId="0" fontId="41" fillId="0" borderId="0" xfId="18" applyFont="1" applyAlignment="1"/>
    <xf numFmtId="0" fontId="0" fillId="0" borderId="0" xfId="20" applyFont="1"/>
    <xf numFmtId="0" fontId="42" fillId="0" borderId="0" xfId="20" applyFont="1" applyAlignment="1">
      <alignment vertical="top" wrapText="1"/>
    </xf>
    <xf numFmtId="0" fontId="43" fillId="0" borderId="0" xfId="20" applyFont="1"/>
    <xf numFmtId="0" fontId="40" fillId="0" borderId="0" xfId="20" applyFont="1" applyAlignment="1">
      <alignment vertical="top" wrapText="1"/>
    </xf>
    <xf numFmtId="0" fontId="43" fillId="0" borderId="0" xfId="20" applyFont="1" applyAlignment="1">
      <alignment wrapText="1"/>
    </xf>
    <xf numFmtId="0" fontId="39" fillId="0" borderId="0" xfId="17" applyFont="1" applyAlignment="1">
      <alignment wrapText="1"/>
    </xf>
    <xf numFmtId="0" fontId="39" fillId="0" borderId="0" xfId="20" applyFont="1" applyAlignment="1">
      <alignment vertical="top" wrapText="1"/>
    </xf>
    <xf numFmtId="0" fontId="40" fillId="0" borderId="0" xfId="20" applyFont="1" applyAlignment="1">
      <alignment vertical="top"/>
    </xf>
    <xf numFmtId="0" fontId="44" fillId="0" borderId="0" xfId="20" applyFont="1" applyAlignment="1">
      <alignment vertical="top"/>
    </xf>
    <xf numFmtId="0" fontId="45" fillId="0" borderId="0" xfId="20" applyFont="1" applyAlignment="1">
      <alignment horizontal="left"/>
    </xf>
    <xf numFmtId="0" fontId="43" fillId="0" borderId="0" xfId="20" applyFont="1" applyAlignment="1">
      <alignment vertical="top" wrapText="1"/>
    </xf>
    <xf numFmtId="0" fontId="46" fillId="0" borderId="0" xfId="21">
      <alignment vertical="center"/>
    </xf>
    <xf numFmtId="9" fontId="14" fillId="3" borderId="0" xfId="14" applyNumberFormat="1" applyFont="1" applyFill="1" applyAlignment="1">
      <alignment wrapText="1"/>
    </xf>
    <xf numFmtId="9" fontId="14" fillId="3" borderId="0" xfId="14" applyNumberFormat="1" applyFont="1" applyFill="1"/>
    <xf numFmtId="0" fontId="14" fillId="0" borderId="1" xfId="0" applyFont="1" applyBorder="1" applyAlignment="1">
      <alignment horizontal="left" vertical="center" wrapText="1"/>
    </xf>
    <xf numFmtId="0" fontId="14" fillId="15" borderId="1" xfId="0" applyFont="1" applyFill="1" applyBorder="1" applyAlignment="1">
      <alignment horizontal="left" vertical="center" wrapText="1"/>
    </xf>
    <xf numFmtId="9" fontId="47" fillId="13" borderId="4" xfId="0" applyNumberFormat="1" applyFont="1" applyFill="1" applyBorder="1" applyAlignment="1">
      <alignment horizontal="center" vertical="center" wrapText="1"/>
    </xf>
    <xf numFmtId="9" fontId="18" fillId="0" borderId="1" xfId="0" applyNumberFormat="1" applyFont="1" applyBorder="1" applyAlignment="1">
      <alignment horizontal="center" vertical="center" wrapText="1"/>
    </xf>
    <xf numFmtId="0" fontId="48" fillId="3" borderId="1" xfId="0" applyFont="1" applyFill="1" applyBorder="1" applyAlignment="1">
      <alignment horizontal="left" vertical="center" wrapText="1"/>
    </xf>
    <xf numFmtId="0" fontId="48" fillId="3" borderId="1" xfId="0" applyFont="1" applyFill="1" applyBorder="1" applyAlignment="1">
      <alignment horizontal="left" vertical="center" wrapText="1" readingOrder="1"/>
    </xf>
    <xf numFmtId="0" fontId="18" fillId="3" borderId="22" xfId="0" applyFont="1" applyFill="1" applyBorder="1" applyAlignment="1">
      <alignment horizontal="center" vertical="top" wrapText="1"/>
    </xf>
    <xf numFmtId="0" fontId="18" fillId="3" borderId="54" xfId="0" applyFont="1" applyFill="1" applyBorder="1" applyAlignment="1">
      <alignment horizontal="center" vertical="top" wrapText="1"/>
    </xf>
    <xf numFmtId="0" fontId="18" fillId="3" borderId="55" xfId="0" applyFont="1" applyFill="1" applyBorder="1" applyAlignment="1">
      <alignment horizontal="center" vertical="top" wrapText="1"/>
    </xf>
    <xf numFmtId="0" fontId="14" fillId="3" borderId="3" xfId="14" applyFont="1" applyFill="1" applyBorder="1" applyAlignment="1">
      <alignment horizontal="left" vertical="top" wrapText="1"/>
    </xf>
    <xf numFmtId="0" fontId="14" fillId="3" borderId="6" xfId="14" applyFont="1" applyFill="1" applyBorder="1" applyAlignment="1">
      <alignment horizontal="left" vertical="top" wrapText="1"/>
    </xf>
    <xf numFmtId="0" fontId="14" fillId="3" borderId="20" xfId="14" applyFont="1" applyFill="1" applyBorder="1" applyAlignment="1">
      <alignment horizontal="left" vertical="top" wrapText="1"/>
    </xf>
    <xf numFmtId="0" fontId="18" fillId="3" borderId="3" xfId="14" applyFont="1" applyFill="1" applyBorder="1" applyAlignment="1">
      <alignment horizontal="left" vertical="top" wrapText="1"/>
    </xf>
    <xf numFmtId="0" fontId="18" fillId="3" borderId="6" xfId="14" applyFont="1" applyFill="1" applyBorder="1" applyAlignment="1">
      <alignment horizontal="left" vertical="top" wrapText="1"/>
    </xf>
    <xf numFmtId="0" fontId="18" fillId="3" borderId="20" xfId="14" applyFont="1" applyFill="1" applyBorder="1" applyAlignment="1">
      <alignment horizontal="left" vertical="top" wrapText="1"/>
    </xf>
    <xf numFmtId="0" fontId="14" fillId="3" borderId="3" xfId="14" applyFont="1" applyFill="1" applyBorder="1"/>
    <xf numFmtId="0" fontId="16" fillId="4" borderId="14" xfId="6" applyFont="1" applyFill="1" applyBorder="1" applyAlignment="1">
      <alignment vertical="center" wrapText="1"/>
    </xf>
    <xf numFmtId="0" fontId="13" fillId="12" borderId="14" xfId="6" applyFont="1" applyFill="1" applyBorder="1" applyAlignment="1">
      <alignment horizontal="center" vertical="center" wrapText="1"/>
    </xf>
    <xf numFmtId="0" fontId="12" fillId="12" borderId="40" xfId="6" applyFont="1" applyFill="1" applyBorder="1" applyAlignment="1">
      <alignment horizontal="center" vertical="center" wrapText="1"/>
    </xf>
    <xf numFmtId="0" fontId="13" fillId="16" borderId="14" xfId="6" applyFont="1" applyFill="1" applyBorder="1" applyAlignment="1">
      <alignment horizontal="center" vertical="center" wrapText="1"/>
    </xf>
    <xf numFmtId="0" fontId="12" fillId="16" borderId="40" xfId="6" applyFont="1" applyFill="1" applyBorder="1" applyAlignment="1">
      <alignment horizontal="center" vertical="center" wrapText="1"/>
    </xf>
    <xf numFmtId="0" fontId="13" fillId="17" borderId="14" xfId="6" applyFont="1" applyFill="1" applyBorder="1" applyAlignment="1">
      <alignment horizontal="center" vertical="center" wrapText="1"/>
    </xf>
    <xf numFmtId="0" fontId="12" fillId="17" borderId="40" xfId="6" applyFont="1" applyFill="1" applyBorder="1" applyAlignment="1">
      <alignment horizontal="center" vertical="center" wrapText="1"/>
    </xf>
    <xf numFmtId="0" fontId="15" fillId="0" borderId="24" xfId="0" applyFont="1" applyBorder="1" applyAlignment="1">
      <alignment horizontal="left" vertical="top" wrapText="1"/>
    </xf>
    <xf numFmtId="0" fontId="14" fillId="0" borderId="0" xfId="0" applyFont="1" applyAlignment="1">
      <alignment horizontal="left" vertical="top" wrapText="1"/>
    </xf>
    <xf numFmtId="0" fontId="14" fillId="0" borderId="27" xfId="0" applyFont="1" applyBorder="1" applyAlignment="1">
      <alignment horizontal="left" vertical="top" wrapText="1"/>
    </xf>
    <xf numFmtId="0" fontId="15" fillId="0" borderId="0" xfId="0" applyFont="1" applyAlignment="1">
      <alignment horizontal="left" vertical="top" wrapText="1"/>
    </xf>
    <xf numFmtId="0" fontId="15" fillId="0" borderId="27" xfId="0" applyFont="1" applyBorder="1" applyAlignment="1">
      <alignment horizontal="left" vertical="top" wrapText="1"/>
    </xf>
    <xf numFmtId="0" fontId="15" fillId="0" borderId="25" xfId="0" applyFont="1" applyBorder="1" applyAlignment="1">
      <alignment horizontal="left" vertical="top" wrapText="1"/>
    </xf>
    <xf numFmtId="0" fontId="14" fillId="0" borderId="26" xfId="0" applyFont="1" applyBorder="1" applyAlignment="1">
      <alignment horizontal="left" vertical="top" wrapText="1"/>
    </xf>
    <xf numFmtId="0" fontId="14" fillId="0" borderId="28" xfId="0" applyFont="1" applyBorder="1" applyAlignment="1">
      <alignment horizontal="left" vertical="top" wrapText="1"/>
    </xf>
    <xf numFmtId="0" fontId="13"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6" xfId="0" applyFont="1" applyBorder="1" applyAlignment="1">
      <alignment horizontal="center" vertical="center"/>
    </xf>
    <xf numFmtId="0" fontId="15" fillId="0" borderId="18" xfId="0" applyFont="1" applyBorder="1" applyAlignment="1">
      <alignment horizontal="left" vertical="top" wrapText="1"/>
    </xf>
    <xf numFmtId="0" fontId="14" fillId="0" borderId="8" xfId="0" applyFont="1" applyBorder="1" applyAlignment="1">
      <alignment horizontal="left" vertical="top" wrapText="1"/>
    </xf>
    <xf numFmtId="0" fontId="14" fillId="0" borderId="19" xfId="0" applyFont="1" applyBorder="1" applyAlignment="1">
      <alignment horizontal="left" vertical="top" wrapText="1"/>
    </xf>
    <xf numFmtId="0" fontId="37" fillId="0" borderId="0" xfId="17" applyFont="1" applyAlignment="1">
      <alignment horizontal="left" vertical="top" wrapText="1"/>
    </xf>
    <xf numFmtId="0" fontId="18" fillId="3" borderId="22" xfId="0" applyFont="1" applyFill="1" applyBorder="1" applyAlignment="1">
      <alignment horizontal="left" vertical="center" wrapText="1"/>
    </xf>
    <xf numFmtId="0" fontId="18" fillId="3" borderId="54" xfId="0" applyFont="1" applyFill="1" applyBorder="1" applyAlignment="1">
      <alignment horizontal="left" vertical="center" wrapText="1"/>
    </xf>
    <xf numFmtId="0" fontId="18" fillId="3" borderId="55"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21" xfId="0" applyFont="1" applyFill="1" applyBorder="1" applyAlignment="1">
      <alignment horizontal="left" vertical="center" wrapText="1"/>
    </xf>
    <xf numFmtId="0" fontId="18" fillId="6" borderId="4" xfId="0" applyFont="1" applyFill="1" applyBorder="1" applyAlignment="1">
      <alignment horizontal="left" vertical="center" wrapText="1"/>
    </xf>
    <xf numFmtId="0" fontId="12" fillId="6" borderId="44" xfId="0" applyFont="1" applyFill="1" applyBorder="1" applyAlignment="1">
      <alignment horizontal="center" vertical="center" wrapText="1"/>
    </xf>
    <xf numFmtId="0" fontId="12" fillId="6" borderId="45" xfId="0" applyFont="1" applyFill="1" applyBorder="1" applyAlignment="1">
      <alignment horizontal="center" vertical="center" wrapText="1"/>
    </xf>
    <xf numFmtId="0" fontId="12" fillId="6" borderId="42" xfId="0" applyFont="1" applyFill="1" applyBorder="1" applyAlignment="1">
      <alignment horizontal="center" vertical="center" wrapText="1"/>
    </xf>
    <xf numFmtId="0" fontId="12" fillId="3" borderId="7" xfId="14" applyFont="1" applyFill="1" applyBorder="1" applyAlignment="1">
      <alignment horizontal="center" vertical="center" wrapText="1"/>
    </xf>
    <xf numFmtId="0" fontId="14" fillId="3" borderId="25" xfId="14" applyFont="1" applyFill="1" applyBorder="1" applyAlignment="1">
      <alignment wrapText="1"/>
    </xf>
    <xf numFmtId="0" fontId="14" fillId="3" borderId="26" xfId="14" applyFont="1" applyFill="1" applyBorder="1" applyAlignment="1">
      <alignment wrapText="1"/>
    </xf>
    <xf numFmtId="0" fontId="14" fillId="3" borderId="28" xfId="14" applyFont="1" applyFill="1" applyBorder="1" applyAlignment="1">
      <alignment wrapText="1"/>
    </xf>
    <xf numFmtId="0" fontId="23" fillId="11" borderId="38" xfId="14" applyFont="1" applyFill="1" applyBorder="1" applyAlignment="1">
      <alignment horizontal="center" vertical="center" wrapText="1"/>
    </xf>
    <xf numFmtId="0" fontId="23" fillId="11" borderId="9" xfId="14" applyFont="1" applyFill="1" applyBorder="1" applyAlignment="1">
      <alignment horizontal="center" vertical="center" wrapText="1"/>
    </xf>
    <xf numFmtId="0" fontId="23" fillId="11" borderId="8" xfId="14" applyFont="1" applyFill="1" applyBorder="1" applyAlignment="1">
      <alignment horizontal="center" vertical="center" wrapText="1"/>
    </xf>
    <xf numFmtId="0" fontId="23" fillId="11" borderId="19" xfId="14" applyFont="1" applyFill="1" applyBorder="1" applyAlignment="1">
      <alignment horizontal="center" vertical="center" wrapText="1"/>
    </xf>
    <xf numFmtId="0" fontId="14" fillId="3" borderId="24" xfId="14" applyFont="1" applyFill="1" applyBorder="1" applyAlignment="1">
      <alignment horizontal="left" wrapText="1"/>
    </xf>
    <xf numFmtId="0" fontId="14" fillId="3" borderId="0" xfId="14" applyFont="1" applyFill="1" applyAlignment="1">
      <alignment horizontal="left" wrapText="1"/>
    </xf>
    <xf numFmtId="0" fontId="14" fillId="3" borderId="27" xfId="14" applyFont="1" applyFill="1" applyBorder="1" applyAlignment="1">
      <alignment horizontal="left" wrapText="1"/>
    </xf>
    <xf numFmtId="0" fontId="14" fillId="3" borderId="24" xfId="14" applyFont="1" applyFill="1" applyBorder="1" applyAlignment="1">
      <alignment wrapText="1"/>
    </xf>
    <xf numFmtId="0" fontId="14" fillId="3" borderId="0" xfId="14" applyFont="1" applyFill="1" applyAlignment="1">
      <alignment wrapText="1"/>
    </xf>
    <xf numFmtId="0" fontId="14" fillId="3" borderId="27" xfId="14" applyFont="1" applyFill="1" applyBorder="1" applyAlignment="1">
      <alignment wrapText="1"/>
    </xf>
    <xf numFmtId="0" fontId="21" fillId="11" borderId="35" xfId="0" applyFont="1" applyFill="1" applyBorder="1" applyAlignment="1">
      <alignment horizontal="center" vertical="center" wrapText="1"/>
    </xf>
    <xf numFmtId="0" fontId="21" fillId="11" borderId="9" xfId="0" applyFont="1" applyFill="1" applyBorder="1" applyAlignment="1">
      <alignment horizontal="center" vertical="center" wrapText="1"/>
    </xf>
    <xf numFmtId="0" fontId="21" fillId="11" borderId="36" xfId="0" applyFont="1" applyFill="1" applyBorder="1" applyAlignment="1">
      <alignment horizontal="center" vertical="center" wrapText="1"/>
    </xf>
    <xf numFmtId="0" fontId="18" fillId="3" borderId="58" xfId="0" applyFont="1" applyFill="1" applyBorder="1" applyAlignment="1">
      <alignment horizontal="left" vertical="center" wrapText="1"/>
    </xf>
    <xf numFmtId="0" fontId="26" fillId="6" borderId="45" xfId="0" applyFont="1" applyFill="1" applyBorder="1" applyAlignment="1">
      <alignment horizontal="center" vertical="center" wrapText="1"/>
    </xf>
    <xf numFmtId="0" fontId="26" fillId="6" borderId="57" xfId="0" applyFont="1" applyFill="1" applyBorder="1" applyAlignment="1">
      <alignment horizontal="center" vertical="center" wrapText="1"/>
    </xf>
    <xf numFmtId="0" fontId="18" fillId="6" borderId="56" xfId="0" applyFont="1" applyFill="1" applyBorder="1" applyAlignment="1">
      <alignment horizontal="left" vertical="center" wrapText="1"/>
    </xf>
    <xf numFmtId="0" fontId="12" fillId="6" borderId="7"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13" borderId="22" xfId="0" applyFont="1" applyFill="1" applyBorder="1" applyAlignment="1">
      <alignment horizontal="center" vertical="center" wrapText="1"/>
    </xf>
    <xf numFmtId="0" fontId="12" fillId="13" borderId="23"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13" fillId="13" borderId="21"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12" fillId="13" borderId="47" xfId="0" applyFont="1" applyFill="1" applyBorder="1" applyAlignment="1">
      <alignment horizontal="center" vertical="center" wrapText="1"/>
    </xf>
    <xf numFmtId="0" fontId="12" fillId="13" borderId="21"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48" xfId="0" applyFont="1" applyFill="1" applyBorder="1" applyAlignment="1">
      <alignment horizontal="center" vertical="center" wrapText="1"/>
    </xf>
    <xf numFmtId="0" fontId="12" fillId="13" borderId="49" xfId="0" applyFont="1" applyFill="1" applyBorder="1" applyAlignment="1">
      <alignment horizontal="center" vertical="center" wrapText="1"/>
    </xf>
    <xf numFmtId="0" fontId="12" fillId="13" borderId="43" xfId="0" applyFont="1" applyFill="1" applyBorder="1" applyAlignment="1">
      <alignment horizontal="center" vertical="center" wrapText="1"/>
    </xf>
    <xf numFmtId="0" fontId="27" fillId="13" borderId="44" xfId="0" applyFont="1" applyFill="1" applyBorder="1" applyAlignment="1">
      <alignment horizontal="center" vertical="center" wrapText="1"/>
    </xf>
    <xf numFmtId="0" fontId="27" fillId="13" borderId="45" xfId="0" applyFont="1" applyFill="1" applyBorder="1" applyAlignment="1">
      <alignment horizontal="center" vertical="center" wrapText="1"/>
    </xf>
    <xf numFmtId="0" fontId="27" fillId="13" borderId="42"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13" borderId="46" xfId="0" applyFont="1" applyFill="1" applyBorder="1" applyAlignment="1">
      <alignment horizontal="center" vertical="center" wrapText="1"/>
    </xf>
    <xf numFmtId="0" fontId="12" fillId="13" borderId="45" xfId="0" applyFont="1" applyFill="1" applyBorder="1" applyAlignment="1">
      <alignment horizontal="center" vertical="center" wrapText="1"/>
    </xf>
    <xf numFmtId="0" fontId="12" fillId="13" borderId="42" xfId="0" applyFont="1" applyFill="1" applyBorder="1" applyAlignment="1">
      <alignment horizontal="center" vertical="center" wrapText="1"/>
    </xf>
    <xf numFmtId="0" fontId="13" fillId="13" borderId="47" xfId="0" applyFont="1" applyFill="1" applyBorder="1" applyAlignment="1">
      <alignment horizontal="center" vertical="center" wrapText="1"/>
    </xf>
    <xf numFmtId="0" fontId="16" fillId="4" borderId="54" xfId="6" applyFont="1" applyFill="1" applyBorder="1" applyAlignment="1">
      <alignment horizontal="center" vertical="center"/>
    </xf>
    <xf numFmtId="0" fontId="16" fillId="4" borderId="0" xfId="6" applyFont="1" applyFill="1" applyAlignment="1">
      <alignment horizontal="center" vertical="center"/>
    </xf>
    <xf numFmtId="0" fontId="12" fillId="6" borderId="1" xfId="0" applyFont="1" applyFill="1" applyBorder="1" applyAlignment="1">
      <alignment horizontal="center" vertical="center" wrapText="1"/>
    </xf>
    <xf numFmtId="0" fontId="16" fillId="12" borderId="1" xfId="6" applyFont="1" applyFill="1" applyBorder="1" applyAlignment="1">
      <alignment horizontal="center" vertical="center"/>
    </xf>
    <xf numFmtId="0" fontId="16" fillId="12" borderId="39" xfId="6" applyFont="1" applyFill="1" applyBorder="1" applyAlignment="1">
      <alignment horizontal="center" vertical="center"/>
    </xf>
    <xf numFmtId="9" fontId="16" fillId="12" borderId="16" xfId="6" applyNumberFormat="1" applyFont="1" applyFill="1" applyBorder="1" applyAlignment="1">
      <alignment horizontal="center" vertical="center"/>
    </xf>
    <xf numFmtId="9" fontId="16" fillId="12" borderId="59" xfId="6" applyNumberFormat="1" applyFont="1" applyFill="1" applyBorder="1" applyAlignment="1">
      <alignment horizontal="center" vertical="center"/>
    </xf>
    <xf numFmtId="9" fontId="16" fillId="12" borderId="61" xfId="6" applyNumberFormat="1" applyFont="1" applyFill="1" applyBorder="1" applyAlignment="1">
      <alignment horizontal="center" vertical="center"/>
    </xf>
    <xf numFmtId="164" fontId="18" fillId="12" borderId="43" xfId="6" applyNumberFormat="1" applyFont="1" applyFill="1" applyBorder="1" applyAlignment="1">
      <alignment horizontal="center" vertical="center"/>
    </xf>
    <xf numFmtId="164" fontId="18" fillId="12" borderId="39" xfId="6" applyNumberFormat="1" applyFont="1" applyFill="1" applyBorder="1" applyAlignment="1">
      <alignment horizontal="center" vertical="center"/>
    </xf>
    <xf numFmtId="164" fontId="18" fillId="7" borderId="43" xfId="6" applyNumberFormat="1" applyFont="1" applyFill="1" applyBorder="1" applyAlignment="1">
      <alignment horizontal="center" vertical="center"/>
    </xf>
    <xf numFmtId="164" fontId="18" fillId="7" borderId="39" xfId="6" applyNumberFormat="1" applyFont="1" applyFill="1" applyBorder="1" applyAlignment="1">
      <alignment horizontal="center" vertical="center"/>
    </xf>
    <xf numFmtId="0" fontId="12" fillId="4" borderId="24" xfId="6" applyFont="1" applyFill="1" applyBorder="1" applyAlignment="1">
      <alignment horizontal="center" vertical="center" wrapText="1"/>
    </xf>
    <xf numFmtId="0" fontId="12" fillId="4" borderId="25" xfId="6" applyFont="1" applyFill="1" applyBorder="1" applyAlignment="1">
      <alignment horizontal="center" vertical="center" wrapText="1"/>
    </xf>
    <xf numFmtId="0" fontId="12" fillId="2" borderId="11" xfId="6" applyFont="1" applyFill="1" applyBorder="1" applyAlignment="1">
      <alignment horizontal="center" vertical="center" wrapText="1"/>
    </xf>
    <xf numFmtId="0" fontId="12" fillId="2" borderId="1" xfId="6" applyFont="1" applyFill="1" applyBorder="1" applyAlignment="1">
      <alignment horizontal="center" vertical="center" wrapText="1"/>
    </xf>
    <xf numFmtId="0" fontId="12" fillId="2" borderId="7" xfId="6" applyFont="1" applyFill="1" applyBorder="1" applyAlignment="1">
      <alignment horizontal="center" vertical="center" wrapText="1"/>
    </xf>
    <xf numFmtId="0" fontId="12" fillId="2" borderId="14" xfId="6" applyFont="1" applyFill="1" applyBorder="1" applyAlignment="1">
      <alignment horizontal="center" vertical="center" wrapText="1"/>
    </xf>
    <xf numFmtId="164" fontId="18" fillId="16" borderId="43" xfId="6" applyNumberFormat="1" applyFont="1" applyFill="1" applyBorder="1" applyAlignment="1">
      <alignment horizontal="center" vertical="center"/>
    </xf>
    <xf numFmtId="164" fontId="18" fillId="16" borderId="39" xfId="6" applyNumberFormat="1" applyFont="1" applyFill="1" applyBorder="1" applyAlignment="1">
      <alignment horizontal="center" vertical="center"/>
    </xf>
    <xf numFmtId="0" fontId="16" fillId="16" borderId="1" xfId="6" applyFont="1" applyFill="1" applyBorder="1" applyAlignment="1">
      <alignment horizontal="center" vertical="center"/>
    </xf>
    <xf numFmtId="0" fontId="16" fillId="16" borderId="39" xfId="6" applyFont="1" applyFill="1" applyBorder="1" applyAlignment="1">
      <alignment horizontal="center" vertical="center"/>
    </xf>
    <xf numFmtId="0" fontId="16" fillId="17" borderId="1" xfId="6" applyFont="1" applyFill="1" applyBorder="1" applyAlignment="1">
      <alignment horizontal="center" vertical="center"/>
    </xf>
    <xf numFmtId="0" fontId="16" fillId="17" borderId="39" xfId="6" applyFont="1" applyFill="1" applyBorder="1" applyAlignment="1">
      <alignment horizontal="center" vertical="center"/>
    </xf>
    <xf numFmtId="9" fontId="16" fillId="17" borderId="16" xfId="6" applyNumberFormat="1" applyFont="1" applyFill="1" applyBorder="1" applyAlignment="1">
      <alignment horizontal="center" vertical="center"/>
    </xf>
    <xf numFmtId="9" fontId="16" fillId="17" borderId="59" xfId="6" applyNumberFormat="1" applyFont="1" applyFill="1" applyBorder="1" applyAlignment="1">
      <alignment horizontal="center" vertical="center"/>
    </xf>
    <xf numFmtId="9" fontId="16" fillId="17" borderId="61" xfId="6" applyNumberFormat="1" applyFont="1" applyFill="1" applyBorder="1" applyAlignment="1">
      <alignment horizontal="center" vertical="center"/>
    </xf>
    <xf numFmtId="164" fontId="18" fillId="17" borderId="43" xfId="6" applyNumberFormat="1" applyFont="1" applyFill="1" applyBorder="1" applyAlignment="1">
      <alignment horizontal="center" vertical="center"/>
    </xf>
    <xf numFmtId="164" fontId="18" fillId="17" borderId="39" xfId="6" applyNumberFormat="1" applyFont="1" applyFill="1" applyBorder="1" applyAlignment="1">
      <alignment horizontal="center" vertical="center"/>
    </xf>
    <xf numFmtId="0" fontId="16" fillId="4" borderId="22" xfId="6" applyFont="1" applyFill="1" applyBorder="1" applyAlignment="1">
      <alignment horizontal="center" vertical="center"/>
    </xf>
    <xf numFmtId="0" fontId="16" fillId="4" borderId="23" xfId="6" applyFont="1" applyFill="1" applyBorder="1" applyAlignment="1">
      <alignment horizontal="center" vertical="center"/>
    </xf>
    <xf numFmtId="0" fontId="16" fillId="4" borderId="6" xfId="6" applyFont="1" applyFill="1" applyBorder="1" applyAlignment="1">
      <alignment horizontal="center" vertical="center"/>
    </xf>
    <xf numFmtId="0" fontId="16" fillId="4" borderId="55" xfId="6" applyFont="1" applyFill="1" applyBorder="1" applyAlignment="1">
      <alignment horizontal="center" vertical="center"/>
    </xf>
    <xf numFmtId="0" fontId="16" fillId="4" borderId="60" xfId="6" applyFont="1" applyFill="1" applyBorder="1" applyAlignment="1">
      <alignment horizontal="center" vertical="center"/>
    </xf>
    <xf numFmtId="0" fontId="16" fillId="4" borderId="3" xfId="6" applyFont="1" applyFill="1" applyBorder="1" applyAlignment="1">
      <alignment horizontal="center" vertical="center"/>
    </xf>
    <xf numFmtId="0" fontId="16" fillId="4" borderId="22" xfId="6" applyFont="1" applyFill="1" applyBorder="1" applyAlignment="1">
      <alignment horizontal="center" vertical="center" wrapText="1"/>
    </xf>
    <xf numFmtId="0" fontId="16" fillId="4" borderId="23" xfId="6" applyFont="1" applyFill="1" applyBorder="1" applyAlignment="1">
      <alignment horizontal="center" vertical="center" wrapText="1"/>
    </xf>
    <xf numFmtId="0" fontId="16" fillId="4" borderId="6" xfId="6" applyFont="1" applyFill="1" applyBorder="1" applyAlignment="1">
      <alignment horizontal="center" vertical="center" wrapText="1"/>
    </xf>
    <xf numFmtId="0" fontId="16" fillId="4" borderId="55" xfId="6" applyFont="1" applyFill="1" applyBorder="1" applyAlignment="1">
      <alignment horizontal="center" vertical="center" wrapText="1"/>
    </xf>
    <xf numFmtId="0" fontId="16" fillId="4" borderId="60" xfId="6" applyFont="1" applyFill="1" applyBorder="1" applyAlignment="1">
      <alignment horizontal="center" vertical="center" wrapText="1"/>
    </xf>
    <xf numFmtId="0" fontId="16" fillId="4" borderId="3" xfId="6" applyFont="1" applyFill="1" applyBorder="1" applyAlignment="1">
      <alignment horizontal="center" vertical="center" wrapText="1"/>
    </xf>
    <xf numFmtId="9" fontId="16" fillId="16" borderId="16" xfId="6" applyNumberFormat="1" applyFont="1" applyFill="1" applyBorder="1" applyAlignment="1">
      <alignment horizontal="center" vertical="center"/>
    </xf>
    <xf numFmtId="9" fontId="16" fillId="16" borderId="59" xfId="6" applyNumberFormat="1" applyFont="1" applyFill="1" applyBorder="1" applyAlignment="1">
      <alignment horizontal="center" vertical="center"/>
    </xf>
    <xf numFmtId="9" fontId="16" fillId="16" borderId="61" xfId="6" applyNumberFormat="1" applyFont="1" applyFill="1" applyBorder="1" applyAlignment="1">
      <alignment horizontal="center" vertical="center"/>
    </xf>
    <xf numFmtId="0" fontId="12" fillId="2" borderId="37" xfId="6" applyFont="1" applyFill="1" applyBorder="1" applyAlignment="1">
      <alignment horizontal="center" vertical="center" wrapText="1"/>
    </xf>
    <xf numFmtId="0" fontId="12" fillId="2" borderId="12" xfId="6" applyFont="1" applyFill="1" applyBorder="1" applyAlignment="1">
      <alignment horizontal="center" vertical="center" wrapText="1"/>
    </xf>
    <xf numFmtId="0" fontId="12" fillId="2" borderId="44" xfId="6" applyFont="1" applyFill="1" applyBorder="1" applyAlignment="1">
      <alignment horizontal="center" vertical="center" wrapText="1"/>
    </xf>
    <xf numFmtId="0" fontId="12" fillId="2" borderId="41" xfId="6" applyFont="1" applyFill="1" applyBorder="1" applyAlignment="1">
      <alignment horizontal="center" vertical="center" wrapText="1"/>
    </xf>
    <xf numFmtId="0" fontId="13" fillId="6" borderId="1" xfId="0" applyFont="1" applyFill="1" applyBorder="1" applyAlignment="1">
      <alignment horizontal="center" vertical="center" wrapText="1"/>
    </xf>
    <xf numFmtId="0" fontId="12" fillId="2" borderId="2" xfId="6" applyFont="1" applyFill="1" applyBorder="1" applyAlignment="1">
      <alignment horizontal="center" vertical="center" wrapText="1"/>
    </xf>
    <xf numFmtId="0" fontId="14" fillId="0" borderId="2" xfId="6" applyFont="1" applyBorder="1" applyAlignment="1">
      <alignment horizontal="center" vertical="center" wrapText="1"/>
    </xf>
    <xf numFmtId="0" fontId="12" fillId="0" borderId="2" xfId="0" applyFont="1" applyBorder="1" applyAlignment="1">
      <alignment horizontal="center" vertical="center" wrapText="1"/>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0" borderId="29" xfId="6" applyFont="1" applyBorder="1" applyAlignment="1">
      <alignment horizontal="center" vertical="center"/>
    </xf>
    <xf numFmtId="0" fontId="14" fillId="0" borderId="34" xfId="6" applyFont="1" applyBorder="1" applyAlignment="1">
      <alignment horizontal="center" vertical="center"/>
    </xf>
    <xf numFmtId="0" fontId="14" fillId="0" borderId="33" xfId="6" applyFont="1" applyBorder="1" applyAlignment="1">
      <alignment horizontal="center" vertical="center"/>
    </xf>
    <xf numFmtId="164" fontId="18" fillId="0" borderId="29" xfId="6" applyNumberFormat="1" applyFont="1" applyBorder="1" applyAlignment="1">
      <alignment horizontal="center" vertical="center"/>
    </xf>
    <xf numFmtId="164" fontId="18" fillId="0" borderId="34" xfId="6" applyNumberFormat="1" applyFont="1" applyBorder="1" applyAlignment="1">
      <alignment horizontal="center" vertical="center"/>
    </xf>
    <xf numFmtId="164" fontId="18" fillId="0" borderId="33" xfId="6" applyNumberFormat="1" applyFont="1" applyBorder="1" applyAlignment="1">
      <alignment horizontal="center" vertical="center"/>
    </xf>
    <xf numFmtId="164" fontId="18" fillId="3" borderId="29" xfId="6" applyNumberFormat="1" applyFont="1" applyFill="1" applyBorder="1" applyAlignment="1">
      <alignment horizontal="center" vertical="center"/>
    </xf>
    <xf numFmtId="164" fontId="18" fillId="3" borderId="34" xfId="6" applyNumberFormat="1" applyFont="1" applyFill="1" applyBorder="1" applyAlignment="1">
      <alignment horizontal="center" vertical="center"/>
    </xf>
    <xf numFmtId="164" fontId="18" fillId="3" borderId="33" xfId="6" applyNumberFormat="1" applyFont="1" applyFill="1" applyBorder="1" applyAlignment="1">
      <alignment horizontal="center" vertical="center"/>
    </xf>
    <xf numFmtId="0" fontId="14" fillId="0" borderId="0" xfId="6" applyFont="1" applyAlignment="1">
      <alignment horizontal="center"/>
    </xf>
    <xf numFmtId="0" fontId="16" fillId="4" borderId="2" xfId="6" applyFont="1" applyFill="1" applyBorder="1" applyAlignment="1">
      <alignment horizontal="center" vertical="center" wrapText="1"/>
    </xf>
    <xf numFmtId="164" fontId="18" fillId="7" borderId="2" xfId="6" applyNumberFormat="1" applyFont="1" applyFill="1" applyBorder="1" applyAlignment="1">
      <alignment horizontal="center" vertical="center"/>
    </xf>
    <xf numFmtId="0" fontId="16" fillId="4" borderId="2" xfId="6" applyFont="1" applyFill="1" applyBorder="1" applyAlignment="1">
      <alignment horizontal="center" vertical="center"/>
    </xf>
    <xf numFmtId="0" fontId="16" fillId="6" borderId="2" xfId="6" applyFont="1" applyFill="1" applyBorder="1" applyAlignment="1">
      <alignment horizontal="center" vertical="center" wrapText="1"/>
    </xf>
    <xf numFmtId="0" fontId="16" fillId="6" borderId="30" xfId="6" applyFont="1" applyFill="1" applyBorder="1" applyAlignment="1">
      <alignment horizontal="center" vertical="center" wrapText="1"/>
    </xf>
    <xf numFmtId="0" fontId="16" fillId="6" borderId="31" xfId="6" applyFont="1" applyFill="1" applyBorder="1" applyAlignment="1">
      <alignment horizontal="center" vertical="center" wrapText="1"/>
    </xf>
    <xf numFmtId="0" fontId="16" fillId="6" borderId="32" xfId="6" applyFont="1" applyFill="1" applyBorder="1" applyAlignment="1">
      <alignment horizontal="center" vertical="center" wrapText="1"/>
    </xf>
    <xf numFmtId="0" fontId="16" fillId="6" borderId="29" xfId="6" applyFont="1" applyFill="1" applyBorder="1" applyAlignment="1">
      <alignment horizontal="center" vertical="center" wrapText="1"/>
    </xf>
    <xf numFmtId="0" fontId="16" fillId="6" borderId="33" xfId="6"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20"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2" borderId="0" xfId="6" applyFont="1" applyFill="1" applyAlignment="1">
      <alignment horizontal="center" vertical="center" wrapText="1"/>
    </xf>
    <xf numFmtId="0" fontId="13" fillId="2" borderId="2" xfId="6"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 xfId="6" applyFont="1" applyBorder="1" applyAlignment="1">
      <alignment horizontal="center" vertical="center"/>
    </xf>
    <xf numFmtId="164" fontId="18" fillId="0" borderId="2" xfId="6" applyNumberFormat="1" applyFont="1" applyBorder="1" applyAlignment="1">
      <alignment horizontal="center" vertical="center"/>
    </xf>
    <xf numFmtId="164" fontId="18" fillId="3" borderId="2" xfId="6" applyNumberFormat="1" applyFont="1" applyFill="1" applyBorder="1" applyAlignment="1">
      <alignment horizontal="center" vertical="center"/>
    </xf>
    <xf numFmtId="0" fontId="16" fillId="4" borderId="8" xfId="6" applyFont="1" applyFill="1" applyBorder="1" applyAlignment="1">
      <alignment horizontal="center" vertical="center"/>
    </xf>
    <xf numFmtId="0" fontId="16" fillId="6" borderId="18" xfId="6" applyFont="1" applyFill="1" applyBorder="1" applyAlignment="1">
      <alignment horizontal="center" vertical="center" wrapText="1"/>
    </xf>
    <xf numFmtId="0" fontId="16" fillId="6" borderId="8" xfId="6" applyFont="1" applyFill="1" applyBorder="1" applyAlignment="1">
      <alignment horizontal="center" vertical="center" wrapText="1"/>
    </xf>
    <xf numFmtId="0" fontId="16" fillId="6" borderId="19" xfId="6" applyFont="1" applyFill="1" applyBorder="1" applyAlignment="1">
      <alignment horizontal="center" vertical="center" wrapText="1"/>
    </xf>
    <xf numFmtId="0" fontId="16" fillId="4" borderId="9" xfId="6" applyFont="1" applyFill="1" applyBorder="1" applyAlignment="1">
      <alignment horizontal="center" vertical="center"/>
    </xf>
  </cellXfs>
  <cellStyles count="22">
    <cellStyle name="Hyperlink" xfId="21" builtinId="8"/>
    <cellStyle name="Normal" xfId="0" builtinId="0"/>
    <cellStyle name="Normal 10" xfId="10" xr:uid="{7E8C6F5B-D1E8-4E25-92AA-804FFFDD9819}"/>
    <cellStyle name="Normal 10 2" xfId="17" xr:uid="{6F3073BE-E407-4D4B-87E0-EC9097E8318C}"/>
    <cellStyle name="Normal 2" xfId="9" xr:uid="{28478F8C-E289-47B7-8772-B774F25949E5}"/>
    <cellStyle name="Normal 2 2" xfId="11" xr:uid="{042DC229-D60C-4B44-BC57-E3B25B928AAB}"/>
    <cellStyle name="Normal 2 3" xfId="13" xr:uid="{F5459635-78E9-41F3-88A7-F999E92A44FC}"/>
    <cellStyle name="Normal 2 4" xfId="18" xr:uid="{03876101-1F2A-47E9-A1DB-4ACE847EC6ED}"/>
    <cellStyle name="Normal 2 5" xfId="19" xr:uid="{A496D3B4-38E5-4DE1-B585-C9142994BB5E}"/>
    <cellStyle name="Normal 21" xfId="8" xr:uid="{A2B49A96-A014-47B1-9324-A87280E01541}"/>
    <cellStyle name="Normal 21 2" xfId="15" xr:uid="{796FDD28-2CD6-497E-9671-72B96EEEFCF8}"/>
    <cellStyle name="Normal 3" xfId="12" xr:uid="{02112AD0-65B2-45C2-A4C9-B4F5E4EE4679}"/>
    <cellStyle name="Normal 3 2" xfId="20" xr:uid="{48372958-D1B3-404A-AF79-61C4EFCD558A}"/>
    <cellStyle name="Normal 4" xfId="14" xr:uid="{3E8A0AF8-19DB-4C72-85F5-E3ECE0B0F70A}"/>
    <cellStyle name="Normal 5" xfId="16" xr:uid="{48720F04-0881-457E-8D6B-21AFD94A9EA3}"/>
    <cellStyle name="常规 2" xfId="4" xr:uid="{00000000-0005-0000-0000-000002000000}"/>
    <cellStyle name="常规 3" xfId="7" xr:uid="{00000000-0005-0000-0000-000003000000}"/>
    <cellStyle name="常规 4" xfId="3" xr:uid="{00000000-0005-0000-0000-000004000000}"/>
    <cellStyle name="常规 5" xfId="2" xr:uid="{00000000-0005-0000-0000-000005000000}"/>
    <cellStyle name="常规 6" xfId="1" xr:uid="{00000000-0005-0000-0000-000006000000}"/>
    <cellStyle name="常规 7" xfId="6" xr:uid="{00000000-0005-0000-0000-000007000000}"/>
    <cellStyle name="百分比 2" xfId="5"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25400</xdr:colOff>
      <xdr:row>19</xdr:row>
      <xdr:rowOff>95250</xdr:rowOff>
    </xdr:from>
    <xdr:ext cx="9394825" cy="771525"/>
    <xdr:pic>
      <xdr:nvPicPr>
        <xdr:cNvPr id="3" name="image1.png">
          <a:extLst>
            <a:ext uri="{FF2B5EF4-FFF2-40B4-BE49-F238E27FC236}">
              <a16:creationId xmlns:a16="http://schemas.microsoft.com/office/drawing/2014/main" id="{D81CAE4D-083D-41F6-920B-F43265F4D21C}"/>
            </a:ext>
          </a:extLst>
        </xdr:cNvPr>
        <xdr:cNvPicPr preferRelativeResize="0"/>
      </xdr:nvPicPr>
      <xdr:blipFill>
        <a:blip xmlns:r="http://schemas.openxmlformats.org/officeDocument/2006/relationships" r:embed="rId1" cstate="print"/>
        <a:stretch>
          <a:fillRect/>
        </a:stretch>
      </xdr:blipFill>
      <xdr:spPr>
        <a:xfrm>
          <a:off x="254000" y="5934075"/>
          <a:ext cx="9394825" cy="7715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75</xdr:row>
      <xdr:rowOff>123825</xdr:rowOff>
    </xdr:from>
    <xdr:ext cx="7867650" cy="781050"/>
    <xdr:pic>
      <xdr:nvPicPr>
        <xdr:cNvPr id="2" name="image1.png">
          <a:extLst>
            <a:ext uri="{FF2B5EF4-FFF2-40B4-BE49-F238E27FC236}">
              <a16:creationId xmlns:a16="http://schemas.microsoft.com/office/drawing/2014/main" id="{D0E1DAC5-58EA-46E6-B1B8-44AFAED9D121}"/>
            </a:ext>
          </a:extLst>
        </xdr:cNvPr>
        <xdr:cNvPicPr preferRelativeResize="0"/>
      </xdr:nvPicPr>
      <xdr:blipFill>
        <a:blip xmlns:r="http://schemas.openxmlformats.org/officeDocument/2006/relationships" r:embed="rId1" cstate="print"/>
        <a:stretch>
          <a:fillRect/>
        </a:stretch>
      </xdr:blipFill>
      <xdr:spPr>
        <a:xfrm>
          <a:off x="28575" y="16362045"/>
          <a:ext cx="7867650" cy="781050"/>
        </a:xfrm>
        <a:prstGeom prst="rect">
          <a:avLst/>
        </a:prstGeom>
        <a:noFill/>
      </xdr:spPr>
    </xdr:pic>
    <xdr:clientData fLocksWithSheet="0"/>
  </xdr:oneCellAnchor>
  <xdr:oneCellAnchor>
    <xdr:from>
      <xdr:col>0</xdr:col>
      <xdr:colOff>0</xdr:colOff>
      <xdr:row>29</xdr:row>
      <xdr:rowOff>139700</xdr:rowOff>
    </xdr:from>
    <xdr:ext cx="6153150" cy="781050"/>
    <xdr:pic>
      <xdr:nvPicPr>
        <xdr:cNvPr id="3" name="image1.png">
          <a:extLst>
            <a:ext uri="{FF2B5EF4-FFF2-40B4-BE49-F238E27FC236}">
              <a16:creationId xmlns:a16="http://schemas.microsoft.com/office/drawing/2014/main" id="{71D152D8-3171-4EE4-8CD5-85BAD240DF33}"/>
            </a:ext>
          </a:extLst>
        </xdr:cNvPr>
        <xdr:cNvPicPr preferRelativeResize="0"/>
      </xdr:nvPicPr>
      <xdr:blipFill>
        <a:blip xmlns:r="http://schemas.openxmlformats.org/officeDocument/2006/relationships" r:embed="rId1" cstate="print"/>
        <a:stretch>
          <a:fillRect/>
        </a:stretch>
      </xdr:blipFill>
      <xdr:spPr>
        <a:xfrm>
          <a:off x="0" y="8245475"/>
          <a:ext cx="6153150" cy="7810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7</xdr:col>
      <xdr:colOff>128004</xdr:colOff>
      <xdr:row>23</xdr:row>
      <xdr:rowOff>120806</xdr:rowOff>
    </xdr:from>
    <xdr:to>
      <xdr:col>13</xdr:col>
      <xdr:colOff>228027</xdr:colOff>
      <xdr:row>24</xdr:row>
      <xdr:rowOff>208347</xdr:rowOff>
    </xdr:to>
    <xdr:pic>
      <xdr:nvPicPr>
        <xdr:cNvPr id="6" name="Picture 9">
          <a:extLst>
            <a:ext uri="{FF2B5EF4-FFF2-40B4-BE49-F238E27FC236}">
              <a16:creationId xmlns:a16="http://schemas.microsoft.com/office/drawing/2014/main" id="{4C689FEB-392C-E2B2-3D34-5AE507E2B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74084" y="4540406"/>
          <a:ext cx="3574743" cy="544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189234</xdr:colOff>
      <xdr:row>47</xdr:row>
      <xdr:rowOff>104982</xdr:rowOff>
    </xdr:from>
    <xdr:to>
      <xdr:col>13</xdr:col>
      <xdr:colOff>243844</xdr:colOff>
      <xdr:row>48</xdr:row>
      <xdr:rowOff>378032</xdr:rowOff>
    </xdr:to>
    <xdr:pic>
      <xdr:nvPicPr>
        <xdr:cNvPr id="2" name="Picture 15">
          <a:extLst>
            <a:ext uri="{FF2B5EF4-FFF2-40B4-BE49-F238E27FC236}">
              <a16:creationId xmlns:a16="http://schemas.microsoft.com/office/drawing/2014/main" id="{04CEFEE5-F2AD-76A4-E0D3-DAFFA0497D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35314" y="11169222"/>
          <a:ext cx="3529330"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109224</xdr:colOff>
      <xdr:row>50</xdr:row>
      <xdr:rowOff>126572</xdr:rowOff>
    </xdr:from>
    <xdr:to>
      <xdr:col>13</xdr:col>
      <xdr:colOff>170184</xdr:colOff>
      <xdr:row>53</xdr:row>
      <xdr:rowOff>23279</xdr:rowOff>
    </xdr:to>
    <xdr:pic>
      <xdr:nvPicPr>
        <xdr:cNvPr id="8" name="Picture 16">
          <a:extLst>
            <a:ext uri="{FF2B5EF4-FFF2-40B4-BE49-F238E27FC236}">
              <a16:creationId xmlns:a16="http://schemas.microsoft.com/office/drawing/2014/main" id="{481DF87E-15D7-B45C-BF60-A1E3E82484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55304" y="12257612"/>
          <a:ext cx="3535680" cy="506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25</xdr:row>
      <xdr:rowOff>1625599</xdr:rowOff>
    </xdr:from>
    <xdr:to>
      <xdr:col>7</xdr:col>
      <xdr:colOff>84666</xdr:colOff>
      <xdr:row>32</xdr:row>
      <xdr:rowOff>1073150</xdr:rowOff>
    </xdr:to>
    <xdr:sp macro="" textlink="">
      <xdr:nvSpPr>
        <xdr:cNvPr id="19" name="Right Brace 18">
          <a:extLst>
            <a:ext uri="{FF2B5EF4-FFF2-40B4-BE49-F238E27FC236}">
              <a16:creationId xmlns:a16="http://schemas.microsoft.com/office/drawing/2014/main" id="{3962640C-A7DF-4DE4-A0A1-922A2AC70576}"/>
            </a:ext>
          </a:extLst>
        </xdr:cNvPr>
        <xdr:cNvSpPr/>
      </xdr:nvSpPr>
      <xdr:spPr>
        <a:xfrm>
          <a:off x="10350500" y="4146549"/>
          <a:ext cx="338666" cy="23558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8467</xdr:colOff>
      <xdr:row>32</xdr:row>
      <xdr:rowOff>1073150</xdr:rowOff>
    </xdr:from>
    <xdr:to>
      <xdr:col>7</xdr:col>
      <xdr:colOff>93133</xdr:colOff>
      <xdr:row>46</xdr:row>
      <xdr:rowOff>0</xdr:rowOff>
    </xdr:to>
    <xdr:sp macro="" textlink="">
      <xdr:nvSpPr>
        <xdr:cNvPr id="20" name="Right Brace 19">
          <a:extLst>
            <a:ext uri="{FF2B5EF4-FFF2-40B4-BE49-F238E27FC236}">
              <a16:creationId xmlns:a16="http://schemas.microsoft.com/office/drawing/2014/main" id="{658D052C-9A39-4980-BBE0-C98B56EA4F2F}"/>
            </a:ext>
          </a:extLst>
        </xdr:cNvPr>
        <xdr:cNvSpPr/>
      </xdr:nvSpPr>
      <xdr:spPr>
        <a:xfrm>
          <a:off x="10358967" y="6502400"/>
          <a:ext cx="338666" cy="23749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5813636</xdr:colOff>
      <xdr:row>46</xdr:row>
      <xdr:rowOff>20320</xdr:rowOff>
    </xdr:from>
    <xdr:to>
      <xdr:col>7</xdr:col>
      <xdr:colOff>175260</xdr:colOff>
      <xdr:row>50</xdr:row>
      <xdr:rowOff>0</xdr:rowOff>
    </xdr:to>
    <xdr:sp macro="" textlink="">
      <xdr:nvSpPr>
        <xdr:cNvPr id="21" name="Right Brace 20">
          <a:extLst>
            <a:ext uri="{FF2B5EF4-FFF2-40B4-BE49-F238E27FC236}">
              <a16:creationId xmlns:a16="http://schemas.microsoft.com/office/drawing/2014/main" id="{4B37E695-B601-4A9F-B995-1ED09A086CD5}"/>
            </a:ext>
          </a:extLst>
        </xdr:cNvPr>
        <xdr:cNvSpPr/>
      </xdr:nvSpPr>
      <xdr:spPr>
        <a:xfrm>
          <a:off x="10446596" y="9629140"/>
          <a:ext cx="480484" cy="104648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6</xdr:col>
      <xdr:colOff>15240</xdr:colOff>
      <xdr:row>50</xdr:row>
      <xdr:rowOff>15240</xdr:rowOff>
    </xdr:from>
    <xdr:to>
      <xdr:col>7</xdr:col>
      <xdr:colOff>76199</xdr:colOff>
      <xdr:row>54</xdr:row>
      <xdr:rowOff>0</xdr:rowOff>
    </xdr:to>
    <xdr:sp macro="" textlink="">
      <xdr:nvSpPr>
        <xdr:cNvPr id="7" name="Right Brace 21">
          <a:extLst>
            <a:ext uri="{FF2B5EF4-FFF2-40B4-BE49-F238E27FC236}">
              <a16:creationId xmlns:a16="http://schemas.microsoft.com/office/drawing/2014/main" id="{73E1816E-5888-44C1-B28F-CD516ED4D897}"/>
            </a:ext>
          </a:extLst>
        </xdr:cNvPr>
        <xdr:cNvSpPr/>
      </xdr:nvSpPr>
      <xdr:spPr>
        <a:xfrm>
          <a:off x="10302240" y="12146280"/>
          <a:ext cx="320039" cy="75438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7</xdr:col>
      <xdr:colOff>0</xdr:colOff>
      <xdr:row>0</xdr:row>
      <xdr:rowOff>0</xdr:rowOff>
    </xdr:from>
    <xdr:to>
      <xdr:col>13</xdr:col>
      <xdr:colOff>381000</xdr:colOff>
      <xdr:row>8</xdr:row>
      <xdr:rowOff>137615</xdr:rowOff>
    </xdr:to>
    <xdr:pic>
      <xdr:nvPicPr>
        <xdr:cNvPr id="3" name="Picture 2">
          <a:extLst>
            <a:ext uri="{FF2B5EF4-FFF2-40B4-BE49-F238E27FC236}">
              <a16:creationId xmlns:a16="http://schemas.microsoft.com/office/drawing/2014/main" id="{F20A8F16-1365-AD6F-C6E4-EE9BF13CC8A5}"/>
            </a:ext>
          </a:extLst>
        </xdr:cNvPr>
        <xdr:cNvPicPr>
          <a:picLocks noChangeAspect="1"/>
        </xdr:cNvPicPr>
      </xdr:nvPicPr>
      <xdr:blipFill>
        <a:blip xmlns:r="http://schemas.openxmlformats.org/officeDocument/2006/relationships" r:embed="rId4"/>
        <a:stretch>
          <a:fillRect/>
        </a:stretch>
      </xdr:blipFill>
      <xdr:spPr>
        <a:xfrm>
          <a:off x="10408920" y="0"/>
          <a:ext cx="3855720" cy="1637908"/>
        </a:xfrm>
        <a:prstGeom prst="rect">
          <a:avLst/>
        </a:prstGeom>
      </xdr:spPr>
    </xdr:pic>
    <xdr:clientData/>
  </xdr:twoCellAnchor>
  <xdr:twoCellAnchor editAs="oneCell">
    <xdr:from>
      <xdr:col>7</xdr:col>
      <xdr:colOff>99060</xdr:colOff>
      <xdr:row>10</xdr:row>
      <xdr:rowOff>121920</xdr:rowOff>
    </xdr:from>
    <xdr:to>
      <xdr:col>13</xdr:col>
      <xdr:colOff>254064</xdr:colOff>
      <xdr:row>19</xdr:row>
      <xdr:rowOff>62192</xdr:rowOff>
    </xdr:to>
    <xdr:pic>
      <xdr:nvPicPr>
        <xdr:cNvPr id="4" name="Picture 3">
          <a:extLst>
            <a:ext uri="{FF2B5EF4-FFF2-40B4-BE49-F238E27FC236}">
              <a16:creationId xmlns:a16="http://schemas.microsoft.com/office/drawing/2014/main" id="{A976980B-ECDA-1B7A-0316-A994A4EEABF8}"/>
            </a:ext>
          </a:extLst>
        </xdr:cNvPr>
        <xdr:cNvPicPr>
          <a:picLocks noChangeAspect="1"/>
        </xdr:cNvPicPr>
      </xdr:nvPicPr>
      <xdr:blipFill>
        <a:blip xmlns:r="http://schemas.openxmlformats.org/officeDocument/2006/relationships" r:embed="rId5"/>
        <a:stretch>
          <a:fillRect/>
        </a:stretch>
      </xdr:blipFill>
      <xdr:spPr>
        <a:xfrm>
          <a:off x="10507980" y="1744980"/>
          <a:ext cx="3624644" cy="1310244"/>
        </a:xfrm>
        <a:prstGeom prst="rect">
          <a:avLst/>
        </a:prstGeom>
      </xdr:spPr>
    </xdr:pic>
    <xdr:clientData/>
  </xdr:twoCellAnchor>
  <xdr:twoCellAnchor editAs="oneCell">
    <xdr:from>
      <xdr:col>7</xdr:col>
      <xdr:colOff>104140</xdr:colOff>
      <xdr:row>37</xdr:row>
      <xdr:rowOff>219710</xdr:rowOff>
    </xdr:from>
    <xdr:to>
      <xdr:col>13</xdr:col>
      <xdr:colOff>299720</xdr:colOff>
      <xdr:row>40</xdr:row>
      <xdr:rowOff>50800</xdr:rowOff>
    </xdr:to>
    <xdr:pic>
      <xdr:nvPicPr>
        <xdr:cNvPr id="14" name="Picture 13">
          <a:extLst>
            <a:ext uri="{FF2B5EF4-FFF2-40B4-BE49-F238E27FC236}">
              <a16:creationId xmlns:a16="http://schemas.microsoft.com/office/drawing/2014/main" id="{DB2BDE4F-B83A-E219-465B-B5B11A9457A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50220" y="8738870"/>
          <a:ext cx="3670300" cy="54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96520</xdr:colOff>
      <xdr:row>28</xdr:row>
      <xdr:rowOff>15240</xdr:rowOff>
    </xdr:from>
    <xdr:to>
      <xdr:col>13</xdr:col>
      <xdr:colOff>292100</xdr:colOff>
      <xdr:row>30</xdr:row>
      <xdr:rowOff>139700</xdr:rowOff>
    </xdr:to>
    <xdr:pic>
      <xdr:nvPicPr>
        <xdr:cNvPr id="16" name="Picture 15">
          <a:extLst>
            <a:ext uri="{FF2B5EF4-FFF2-40B4-BE49-F238E27FC236}">
              <a16:creationId xmlns:a16="http://schemas.microsoft.com/office/drawing/2014/main" id="{5DEFDDD7-5150-AA89-E9C1-0DDEEC079C3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848340" y="5890260"/>
          <a:ext cx="3761740" cy="55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22</xdr:row>
      <xdr:rowOff>15241</xdr:rowOff>
    </xdr:from>
    <xdr:to>
      <xdr:col>7</xdr:col>
      <xdr:colOff>78316</xdr:colOff>
      <xdr:row>26</xdr:row>
      <xdr:rowOff>1</xdr:rowOff>
    </xdr:to>
    <xdr:sp macro="" textlink="">
      <xdr:nvSpPr>
        <xdr:cNvPr id="5" name="Right Brace 4">
          <a:extLst>
            <a:ext uri="{FF2B5EF4-FFF2-40B4-BE49-F238E27FC236}">
              <a16:creationId xmlns:a16="http://schemas.microsoft.com/office/drawing/2014/main" id="{6747567C-265C-48AC-AB47-F272AFDEE78C}"/>
            </a:ext>
          </a:extLst>
        </xdr:cNvPr>
        <xdr:cNvSpPr/>
      </xdr:nvSpPr>
      <xdr:spPr>
        <a:xfrm>
          <a:off x="10485120" y="4030981"/>
          <a:ext cx="345016" cy="135636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mforum.or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selection activeCell="A11" sqref="A11:XFD20"/>
    </sheetView>
  </sheetViews>
  <sheetFormatPr defaultColWidth="9" defaultRowHeight="12"/>
  <cols>
    <col min="1" max="1" width="16.1796875" style="23" customWidth="1"/>
    <col min="2" max="2" width="78.1796875" style="23" customWidth="1"/>
    <col min="3" max="3" width="17.81640625" style="23" customWidth="1"/>
    <col min="4" max="16384" width="9" style="23"/>
  </cols>
  <sheetData>
    <row r="1" spans="1:6">
      <c r="A1" s="182" t="s">
        <v>0</v>
      </c>
      <c r="B1" s="183"/>
      <c r="C1" s="183"/>
      <c r="D1" s="183"/>
      <c r="E1" s="183"/>
      <c r="F1" s="184"/>
    </row>
    <row r="2" spans="1:6" s="78" customFormat="1">
      <c r="A2" s="185" t="s">
        <v>1</v>
      </c>
      <c r="B2" s="186"/>
      <c r="C2" s="186"/>
      <c r="D2" s="186"/>
      <c r="E2" s="186"/>
      <c r="F2" s="187"/>
    </row>
    <row r="3" spans="1:6" s="78" customFormat="1">
      <c r="A3" s="174" t="s">
        <v>2</v>
      </c>
      <c r="B3" s="175"/>
      <c r="C3" s="175"/>
      <c r="D3" s="175"/>
      <c r="E3" s="175"/>
      <c r="F3" s="176"/>
    </row>
    <row r="4" spans="1:6" s="78" customFormat="1">
      <c r="A4" s="174" t="s">
        <v>3</v>
      </c>
      <c r="B4" s="175"/>
      <c r="C4" s="175"/>
      <c r="D4" s="175"/>
      <c r="E4" s="175"/>
      <c r="F4" s="176"/>
    </row>
    <row r="5" spans="1:6" s="78" customFormat="1">
      <c r="A5" s="174" t="s">
        <v>4</v>
      </c>
      <c r="B5" s="175"/>
      <c r="C5" s="175"/>
      <c r="D5" s="175"/>
      <c r="E5" s="175"/>
      <c r="F5" s="176"/>
    </row>
    <row r="6" spans="1:6" s="78" customFormat="1">
      <c r="A6" s="174" t="s">
        <v>5</v>
      </c>
      <c r="B6" s="175"/>
      <c r="C6" s="175"/>
      <c r="D6" s="175"/>
      <c r="E6" s="175"/>
      <c r="F6" s="176"/>
    </row>
    <row r="7" spans="1:6" s="78" customFormat="1">
      <c r="A7" s="174" t="s">
        <v>6</v>
      </c>
      <c r="B7" s="175"/>
      <c r="C7" s="175"/>
      <c r="D7" s="175"/>
      <c r="E7" s="175"/>
      <c r="F7" s="176"/>
    </row>
    <row r="8" spans="1:6" s="78" customFormat="1">
      <c r="A8" s="174" t="s">
        <v>7</v>
      </c>
      <c r="B8" s="177"/>
      <c r="C8" s="177"/>
      <c r="D8" s="177"/>
      <c r="E8" s="177"/>
      <c r="F8" s="178"/>
    </row>
    <row r="9" spans="1:6" s="78" customFormat="1">
      <c r="A9" s="179" t="s">
        <v>8</v>
      </c>
      <c r="B9" s="180"/>
      <c r="C9" s="180"/>
      <c r="D9" s="180"/>
      <c r="E9" s="180"/>
      <c r="F9" s="181"/>
    </row>
    <row r="10" spans="1:6" s="78" customFormat="1"/>
    <row r="11" spans="1:6">
      <c r="A11" s="79" t="s">
        <v>9</v>
      </c>
    </row>
    <row r="12" spans="1:6">
      <c r="A12" s="80" t="s">
        <v>10</v>
      </c>
      <c r="B12" s="80" t="s">
        <v>11</v>
      </c>
      <c r="C12" s="80" t="s">
        <v>12</v>
      </c>
    </row>
    <row r="13" spans="1:6">
      <c r="A13" s="81">
        <v>45385</v>
      </c>
      <c r="B13" s="82" t="s">
        <v>13</v>
      </c>
      <c r="C13" s="83" t="s">
        <v>14</v>
      </c>
    </row>
    <row r="14" spans="1:6" ht="108">
      <c r="A14" s="81">
        <v>45503</v>
      </c>
      <c r="B14" s="84" t="s">
        <v>15</v>
      </c>
      <c r="C14" s="83" t="s">
        <v>16</v>
      </c>
    </row>
    <row r="15" spans="1:6" ht="24">
      <c r="A15" s="81">
        <v>45541</v>
      </c>
      <c r="B15" s="85" t="s">
        <v>17</v>
      </c>
      <c r="C15" s="83" t="s">
        <v>18</v>
      </c>
    </row>
  </sheetData>
  <sheetProtection formatCells="0" insertHyperlinks="0" autoFilter="0"/>
  <mergeCells count="9">
    <mergeCell ref="A6:F6"/>
    <mergeCell ref="A7:F7"/>
    <mergeCell ref="A8:F8"/>
    <mergeCell ref="A9:F9"/>
    <mergeCell ref="A1:F1"/>
    <mergeCell ref="A2:F2"/>
    <mergeCell ref="A3:F3"/>
    <mergeCell ref="A4:F4"/>
    <mergeCell ref="A5:F5"/>
  </mergeCells>
  <phoneticPr fontId="10"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FD63-D00E-4202-8A97-2D734DC62A99}">
  <sheetPr>
    <tabColor rgb="FF999999"/>
  </sheetPr>
  <dimension ref="B1:C19"/>
  <sheetViews>
    <sheetView topLeftCell="A11" workbookViewId="0">
      <selection activeCell="B19" sqref="B19"/>
    </sheetView>
  </sheetViews>
  <sheetFormatPr defaultColWidth="8.81640625" defaultRowHeight="14.5"/>
  <cols>
    <col min="1" max="1" width="3.453125" style="114" customWidth="1"/>
    <col min="2" max="2" width="74.1796875" style="114" customWidth="1"/>
    <col min="3" max="3" width="67.1796875" style="114" customWidth="1"/>
    <col min="4" max="16384" width="8.81640625" style="114"/>
  </cols>
  <sheetData>
    <row r="1" spans="2:3">
      <c r="B1" s="113"/>
    </row>
    <row r="2" spans="2:3" ht="35">
      <c r="B2" s="115" t="s">
        <v>243</v>
      </c>
    </row>
    <row r="3" spans="2:3" ht="35">
      <c r="B3" s="116"/>
    </row>
    <row r="4" spans="2:3" ht="41">
      <c r="B4" s="188" t="s">
        <v>356</v>
      </c>
      <c r="C4" s="188"/>
    </row>
    <row r="5" spans="2:3" ht="41">
      <c r="B5" s="117"/>
    </row>
    <row r="6" spans="2:3" ht="23.5">
      <c r="B6" s="118" t="s">
        <v>244</v>
      </c>
    </row>
    <row r="7" spans="2:3" ht="21">
      <c r="B7" s="119"/>
    </row>
    <row r="8" spans="2:3" ht="23.5">
      <c r="B8" s="120"/>
    </row>
    <row r="9" spans="2:3" ht="23.5">
      <c r="B9" s="120"/>
    </row>
    <row r="10" spans="2:3" ht="23.5">
      <c r="B10" s="120" t="s">
        <v>305</v>
      </c>
    </row>
    <row r="11" spans="2:3" ht="23.5">
      <c r="B11" s="120"/>
    </row>
    <row r="12" spans="2:3" ht="23.5">
      <c r="B12" s="121"/>
    </row>
    <row r="13" spans="2:3" ht="24" thickBot="1">
      <c r="B13" s="120"/>
    </row>
    <row r="14" spans="2:3" ht="18.5" thickBot="1">
      <c r="B14" s="122" t="s">
        <v>358</v>
      </c>
      <c r="C14" s="123" t="s">
        <v>357</v>
      </c>
    </row>
    <row r="15" spans="2:3" ht="18.5" thickBot="1">
      <c r="B15" s="122" t="s">
        <v>245</v>
      </c>
      <c r="C15" s="123" t="s">
        <v>300</v>
      </c>
    </row>
    <row r="16" spans="2:3" ht="18.5" thickBot="1">
      <c r="B16" s="124" t="s">
        <v>359</v>
      </c>
      <c r="C16" s="125" t="s">
        <v>246</v>
      </c>
    </row>
    <row r="17" spans="2:2" ht="23.5">
      <c r="B17" s="120"/>
    </row>
    <row r="18" spans="2:2">
      <c r="B18" s="126"/>
    </row>
    <row r="19" spans="2:2" s="128" customFormat="1" ht="13">
      <c r="B19" s="127" t="s">
        <v>247</v>
      </c>
    </row>
  </sheetData>
  <mergeCells count="1">
    <mergeCell ref="B4:C4"/>
  </mergeCells>
  <pageMargins left="0.2" right="0.45" top="0.75" bottom="0.5" header="0.3" footer="0.3"/>
  <pageSetup paperSize="9"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D7D8D-F6DB-40C9-87AF-6FCE89E67FFB}">
  <sheetPr>
    <tabColor rgb="FF999999"/>
  </sheetPr>
  <dimension ref="A1:Z984"/>
  <sheetViews>
    <sheetView topLeftCell="A5" workbookViewId="0">
      <selection activeCell="I24" sqref="I24"/>
    </sheetView>
  </sheetViews>
  <sheetFormatPr defaultColWidth="8.81640625" defaultRowHeight="15" customHeight="1"/>
  <cols>
    <col min="1" max="1" width="92" style="137" customWidth="1"/>
    <col min="2" max="26" width="8.1796875" style="137" customWidth="1"/>
    <col min="27" max="16384" width="8.81640625" style="137"/>
  </cols>
  <sheetData>
    <row r="1" spans="1:26" ht="14.5"/>
    <row r="2" spans="1:26" ht="35">
      <c r="A2" s="138" t="s">
        <v>281</v>
      </c>
      <c r="B2" s="139"/>
      <c r="C2" s="139"/>
      <c r="D2" s="139"/>
      <c r="E2" s="139"/>
      <c r="F2" s="139"/>
      <c r="G2" s="139"/>
      <c r="H2" s="139"/>
      <c r="I2" s="139"/>
      <c r="J2" s="139"/>
      <c r="K2" s="139"/>
      <c r="L2" s="139"/>
      <c r="M2" s="139"/>
      <c r="N2" s="139"/>
      <c r="O2" s="139"/>
      <c r="P2" s="139"/>
      <c r="Q2" s="139"/>
      <c r="R2" s="139"/>
      <c r="S2" s="139"/>
      <c r="T2" s="139"/>
      <c r="U2" s="139"/>
      <c r="V2" s="139"/>
      <c r="W2" s="139"/>
      <c r="X2" s="139"/>
      <c r="Y2" s="139"/>
      <c r="Z2" s="139"/>
    </row>
    <row r="3" spans="1:26" ht="14.5">
      <c r="A3" s="140" t="s">
        <v>282</v>
      </c>
      <c r="B3" s="141"/>
      <c r="C3" s="141"/>
      <c r="D3" s="141"/>
      <c r="E3" s="141"/>
      <c r="F3" s="141"/>
      <c r="G3" s="141"/>
      <c r="H3" s="141"/>
      <c r="I3" s="141"/>
      <c r="J3" s="141"/>
      <c r="K3" s="141"/>
      <c r="L3" s="141"/>
      <c r="M3" s="141"/>
      <c r="N3" s="141"/>
      <c r="O3" s="141"/>
      <c r="P3" s="141"/>
      <c r="Q3" s="141"/>
      <c r="R3" s="141"/>
      <c r="S3" s="141"/>
      <c r="T3" s="141"/>
      <c r="U3" s="141"/>
      <c r="V3" s="141"/>
      <c r="W3" s="141"/>
      <c r="X3" s="141"/>
      <c r="Y3" s="141"/>
      <c r="Z3" s="141"/>
    </row>
    <row r="4" spans="1:26" ht="14.5">
      <c r="A4" s="140"/>
      <c r="B4" s="141"/>
      <c r="C4" s="141"/>
      <c r="D4" s="141"/>
      <c r="E4" s="141"/>
      <c r="F4" s="141"/>
      <c r="G4" s="141"/>
      <c r="H4" s="141"/>
      <c r="I4" s="141"/>
      <c r="J4" s="141"/>
      <c r="K4" s="141"/>
      <c r="L4" s="141"/>
      <c r="M4" s="141"/>
      <c r="N4" s="141"/>
      <c r="O4" s="141"/>
      <c r="P4" s="141"/>
      <c r="Q4" s="141"/>
      <c r="R4" s="141"/>
      <c r="S4" s="141"/>
      <c r="T4" s="141"/>
      <c r="U4" s="141"/>
      <c r="V4" s="141"/>
      <c r="W4" s="141"/>
      <c r="X4" s="141"/>
      <c r="Y4" s="141"/>
      <c r="Z4" s="141"/>
    </row>
    <row r="5" spans="1:26" ht="126.5">
      <c r="A5" s="142" t="s">
        <v>283</v>
      </c>
      <c r="B5" s="141"/>
      <c r="C5" s="141"/>
      <c r="D5" s="141"/>
      <c r="E5" s="141"/>
      <c r="F5" s="126"/>
      <c r="G5" s="141"/>
      <c r="H5" s="141"/>
      <c r="I5" s="141"/>
      <c r="J5" s="141"/>
      <c r="K5" s="141"/>
      <c r="L5" s="141"/>
      <c r="M5" s="141"/>
      <c r="N5" s="141"/>
      <c r="O5" s="141"/>
      <c r="P5" s="141"/>
      <c r="Q5" s="141"/>
      <c r="R5" s="141"/>
      <c r="S5" s="141"/>
      <c r="T5" s="141"/>
      <c r="U5" s="141"/>
      <c r="V5" s="141"/>
      <c r="W5" s="141"/>
      <c r="X5" s="141"/>
      <c r="Y5" s="141"/>
      <c r="Z5" s="141"/>
    </row>
    <row r="6" spans="1:26" ht="14.5">
      <c r="A6" s="143"/>
      <c r="B6" s="141"/>
      <c r="C6" s="141"/>
      <c r="D6" s="141"/>
      <c r="E6" s="141"/>
      <c r="F6" s="141"/>
      <c r="G6" s="141"/>
      <c r="H6" s="141"/>
      <c r="I6" s="141"/>
      <c r="J6" s="141"/>
      <c r="K6" s="141"/>
      <c r="L6" s="141"/>
      <c r="M6" s="141"/>
      <c r="N6" s="141"/>
      <c r="O6" s="141"/>
      <c r="P6" s="141"/>
      <c r="Q6" s="141"/>
      <c r="R6" s="141"/>
      <c r="S6" s="141"/>
      <c r="T6" s="141"/>
      <c r="U6" s="141"/>
      <c r="V6" s="141"/>
      <c r="W6" s="141"/>
      <c r="X6" s="141"/>
      <c r="Y6" s="141"/>
      <c r="Z6" s="141"/>
    </row>
    <row r="7" spans="1:26" ht="28">
      <c r="A7" s="140" t="s">
        <v>284</v>
      </c>
      <c r="B7" s="141"/>
      <c r="C7" s="141"/>
      <c r="D7" s="141"/>
      <c r="E7" s="141"/>
      <c r="F7" s="141"/>
      <c r="G7" s="141"/>
      <c r="H7" s="141"/>
      <c r="I7" s="141"/>
      <c r="J7" s="141"/>
      <c r="K7" s="141"/>
      <c r="L7" s="141"/>
      <c r="M7" s="141"/>
      <c r="N7" s="141"/>
      <c r="O7" s="141"/>
      <c r="P7" s="141"/>
      <c r="Q7" s="141"/>
      <c r="R7" s="141"/>
      <c r="S7" s="141"/>
      <c r="T7" s="141"/>
      <c r="U7" s="141"/>
      <c r="V7" s="141"/>
      <c r="W7" s="141"/>
      <c r="X7" s="141"/>
      <c r="Y7" s="141"/>
      <c r="Z7" s="141"/>
    </row>
    <row r="8" spans="1:26" ht="14.5">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row>
    <row r="9" spans="1:26" ht="70">
      <c r="A9" s="140" t="s">
        <v>285</v>
      </c>
      <c r="B9" s="141"/>
      <c r="C9" s="141"/>
      <c r="D9" s="141"/>
      <c r="E9" s="141"/>
      <c r="F9" s="141"/>
      <c r="G9" s="141"/>
      <c r="H9" s="141"/>
      <c r="I9" s="141"/>
      <c r="J9" s="141"/>
      <c r="K9" s="141"/>
      <c r="L9" s="141"/>
      <c r="M9" s="141"/>
      <c r="N9" s="141"/>
      <c r="O9" s="141"/>
      <c r="P9" s="141"/>
      <c r="Q9" s="141"/>
      <c r="R9" s="141"/>
      <c r="S9" s="141"/>
      <c r="T9" s="141"/>
      <c r="U9" s="141"/>
      <c r="V9" s="141"/>
      <c r="W9" s="141"/>
      <c r="X9" s="141"/>
      <c r="Y9" s="141"/>
      <c r="Z9" s="141"/>
    </row>
    <row r="10" spans="1:26" ht="14.5">
      <c r="A10" s="140"/>
      <c r="B10" s="141"/>
      <c r="C10" s="141"/>
      <c r="D10" s="141"/>
      <c r="E10" s="141"/>
      <c r="F10" s="141"/>
      <c r="G10" s="141"/>
      <c r="H10" s="141"/>
      <c r="I10" s="141"/>
      <c r="J10" s="141"/>
      <c r="K10" s="141"/>
      <c r="L10" s="141"/>
      <c r="M10" s="141"/>
      <c r="N10" s="141"/>
      <c r="O10" s="141"/>
      <c r="P10" s="141"/>
      <c r="Q10" s="141"/>
      <c r="R10" s="141"/>
      <c r="S10" s="141"/>
      <c r="T10" s="141"/>
      <c r="U10" s="141"/>
      <c r="V10" s="141"/>
      <c r="W10" s="141"/>
      <c r="X10" s="141"/>
      <c r="Y10" s="141"/>
      <c r="Z10" s="141"/>
    </row>
    <row r="11" spans="1:26" ht="14.5">
      <c r="A11" s="143" t="s">
        <v>286</v>
      </c>
      <c r="B11" s="141"/>
      <c r="C11" s="141"/>
      <c r="D11" s="141"/>
      <c r="E11" s="141"/>
      <c r="F11" s="141"/>
      <c r="G11" s="141"/>
      <c r="H11" s="141"/>
      <c r="I11" s="141"/>
      <c r="J11" s="141"/>
      <c r="K11" s="141"/>
      <c r="L11" s="141"/>
      <c r="M11" s="141"/>
      <c r="N11" s="141"/>
      <c r="O11" s="141"/>
      <c r="P11" s="141"/>
      <c r="Q11" s="141"/>
      <c r="R11" s="141"/>
      <c r="S11" s="141"/>
      <c r="T11" s="141"/>
      <c r="U11" s="141"/>
      <c r="V11" s="141"/>
      <c r="W11" s="141"/>
      <c r="X11" s="141"/>
      <c r="Y11" s="141"/>
      <c r="Z11" s="141"/>
    </row>
    <row r="12" spans="1:26" ht="14.5">
      <c r="A12" s="143"/>
      <c r="B12" s="141"/>
      <c r="C12" s="141"/>
      <c r="D12" s="141"/>
      <c r="E12" s="141"/>
      <c r="F12" s="141"/>
      <c r="G12" s="141"/>
      <c r="H12" s="141"/>
      <c r="I12" s="141"/>
      <c r="J12" s="141"/>
      <c r="K12" s="141"/>
      <c r="L12" s="141"/>
      <c r="M12" s="141"/>
      <c r="N12" s="141"/>
      <c r="O12" s="141"/>
      <c r="P12" s="141"/>
      <c r="Q12" s="141"/>
      <c r="R12" s="141"/>
      <c r="S12" s="141"/>
      <c r="T12" s="141"/>
      <c r="U12" s="141"/>
      <c r="V12" s="141"/>
      <c r="W12" s="141"/>
      <c r="X12" s="141"/>
      <c r="Y12" s="141"/>
      <c r="Z12" s="141"/>
    </row>
    <row r="13" spans="1:26" ht="14.5">
      <c r="A13" t="s">
        <v>301</v>
      </c>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row>
    <row r="14" spans="1:26" ht="14.5">
      <c r="A14" t="s">
        <v>302</v>
      </c>
      <c r="B14" s="141"/>
      <c r="C14" s="141"/>
      <c r="D14" s="141"/>
      <c r="E14" s="141"/>
      <c r="F14" s="141"/>
      <c r="G14" s="141"/>
      <c r="H14" s="141"/>
      <c r="I14" s="141"/>
      <c r="J14" s="141"/>
      <c r="K14" s="141"/>
      <c r="L14" s="141"/>
      <c r="M14" s="141"/>
      <c r="N14" s="141"/>
      <c r="O14" s="141"/>
      <c r="P14" s="141"/>
      <c r="Q14" s="141"/>
      <c r="R14" s="141"/>
      <c r="S14" s="141"/>
      <c r="T14" s="141"/>
      <c r="U14" s="141"/>
      <c r="V14" s="141"/>
      <c r="W14" s="141"/>
      <c r="X14" s="141"/>
      <c r="Y14" s="141"/>
      <c r="Z14" s="141"/>
    </row>
    <row r="15" spans="1:26" ht="14.5">
      <c r="A15" t="s">
        <v>303</v>
      </c>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41"/>
    </row>
    <row r="16" spans="1:26" ht="14.5">
      <c r="A16" t="s">
        <v>304</v>
      </c>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spans="1:26" ht="14.5">
      <c r="A17" s="148" t="s">
        <v>287</v>
      </c>
      <c r="B17" s="141"/>
      <c r="C17" s="141"/>
      <c r="D17" s="141"/>
      <c r="E17" s="141"/>
      <c r="F17" s="141"/>
      <c r="G17" s="141"/>
      <c r="H17" s="141"/>
      <c r="I17" s="141"/>
      <c r="J17" s="141"/>
      <c r="K17" s="141"/>
      <c r="L17" s="141"/>
      <c r="M17" s="141"/>
      <c r="N17" s="141"/>
      <c r="O17" s="141"/>
      <c r="P17" s="141"/>
      <c r="Q17" s="141"/>
      <c r="R17" s="141"/>
      <c r="S17" s="141"/>
      <c r="T17" s="141"/>
      <c r="U17" s="141"/>
      <c r="V17" s="141"/>
      <c r="W17" s="141"/>
      <c r="X17" s="141"/>
      <c r="Y17" s="141"/>
      <c r="Z17" s="141"/>
    </row>
    <row r="18" spans="1:26" ht="14.5">
      <c r="A18" s="140"/>
      <c r="B18" s="141"/>
      <c r="C18" s="141"/>
      <c r="D18" s="141"/>
      <c r="E18" s="141"/>
      <c r="F18" s="141"/>
      <c r="G18" s="141"/>
      <c r="H18" s="141"/>
      <c r="I18" s="141"/>
      <c r="J18" s="141"/>
      <c r="K18" s="141"/>
      <c r="L18" s="141"/>
      <c r="M18" s="141"/>
      <c r="N18" s="141"/>
      <c r="O18" s="141"/>
      <c r="P18" s="141"/>
      <c r="Q18" s="141"/>
      <c r="R18" s="141"/>
      <c r="S18" s="141"/>
      <c r="T18" s="141"/>
      <c r="U18" s="141"/>
      <c r="V18" s="141"/>
      <c r="W18" s="141"/>
      <c r="X18" s="141"/>
      <c r="Y18" s="141"/>
      <c r="Z18" s="141"/>
    </row>
    <row r="19" spans="1:26" ht="14.5">
      <c r="A19" s="140"/>
      <c r="B19" s="141"/>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row>
    <row r="20" spans="1:26" ht="14.5">
      <c r="A20" s="140"/>
      <c r="B20" s="141"/>
      <c r="C20" s="141"/>
      <c r="D20" s="141"/>
      <c r="E20" s="141"/>
      <c r="F20" s="141"/>
      <c r="G20" s="141"/>
      <c r="H20" s="141"/>
      <c r="I20" s="141"/>
      <c r="J20" s="141"/>
      <c r="K20" s="141"/>
      <c r="L20" s="141"/>
      <c r="M20" s="141"/>
      <c r="N20" s="141"/>
      <c r="O20" s="141"/>
      <c r="P20" s="141"/>
      <c r="Q20" s="141"/>
      <c r="R20" s="141"/>
      <c r="S20" s="141"/>
      <c r="T20" s="141"/>
      <c r="U20" s="141"/>
      <c r="V20" s="141"/>
      <c r="W20" s="141"/>
      <c r="X20" s="141"/>
      <c r="Y20" s="141"/>
      <c r="Z20" s="141"/>
    </row>
    <row r="21" spans="1:26" ht="14.5">
      <c r="A21" s="140"/>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spans="1:26" ht="14.5">
      <c r="A22" s="140"/>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spans="1:26" ht="14.5">
      <c r="A23" s="140"/>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spans="1:26" ht="14.5">
      <c r="A24" s="140"/>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spans="1:26" ht="14.5">
      <c r="A25" s="140"/>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row>
    <row r="26" spans="1:26" ht="14.5">
      <c r="A26" s="140"/>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4.5">
      <c r="A27" s="140"/>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4.5">
      <c r="A28" s="146"/>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4.5">
      <c r="A29" s="146" t="s">
        <v>288</v>
      </c>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4.5">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4.5">
      <c r="A31" s="146"/>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4.5">
      <c r="A32" s="146"/>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4.5">
      <c r="A33" s="146"/>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4.5">
      <c r="A34" s="146"/>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4.5">
      <c r="A35" s="146"/>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4.5">
      <c r="A36" s="140"/>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spans="1:26" ht="14.5">
      <c r="A37" s="140"/>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4.5">
      <c r="A38" s="140"/>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4.5">
      <c r="A39" s="140"/>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4.5">
      <c r="A40" s="140"/>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4.5">
      <c r="A41" s="140"/>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spans="1:26" ht="14.5">
      <c r="A42" s="140"/>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spans="1:26" ht="14.5">
      <c r="A43" s="140"/>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spans="1:26" ht="14.5">
      <c r="A44" s="140"/>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spans="1:26" ht="14.5">
      <c r="A45" s="145"/>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row>
    <row r="46" spans="1:26" ht="14.5">
      <c r="A46" s="145"/>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row>
    <row r="47" spans="1:26" ht="14.5">
      <c r="A47" s="145"/>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row>
    <row r="48" spans="1:26" ht="14.5">
      <c r="A48" s="145"/>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row>
    <row r="49" spans="1:26" ht="14.5">
      <c r="A49" s="145"/>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row>
    <row r="50" spans="1:26" ht="14.5">
      <c r="A50" s="145"/>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row>
    <row r="51" spans="1:26" ht="14.5">
      <c r="A51" s="145"/>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row>
    <row r="52" spans="1:26" ht="14.5">
      <c r="A52" s="145"/>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row>
    <row r="53" spans="1:26" ht="14.5">
      <c r="A53" s="145"/>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row>
    <row r="54" spans="1:26" ht="14.5">
      <c r="A54" s="145"/>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row>
    <row r="55" spans="1:26" ht="14.5">
      <c r="A55" s="145"/>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row>
    <row r="56" spans="1:26" ht="14.5">
      <c r="A56" s="145"/>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row>
    <row r="57" spans="1:26" ht="14.5">
      <c r="A57" s="145"/>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row>
    <row r="58" spans="1:26" ht="14.5">
      <c r="A58" s="145"/>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row>
    <row r="59" spans="1:26" ht="14.5">
      <c r="A59" s="145"/>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spans="1:26" ht="14.5">
      <c r="A60" s="145"/>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spans="1:26" ht="14.5">
      <c r="A61" s="145"/>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spans="1:26" ht="14.5">
      <c r="A62" s="145"/>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spans="1:26" ht="14.5">
      <c r="A63" s="145"/>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spans="1:26" ht="14.5">
      <c r="A64" s="145"/>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spans="1:26" ht="14.5">
      <c r="A65" s="145"/>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spans="1:26" ht="14.5">
      <c r="A66" s="145"/>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spans="1:26" ht="14.5">
      <c r="A67" s="145"/>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spans="1:26" ht="14.5">
      <c r="A68" s="145"/>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spans="1:26" ht="14.5">
      <c r="A69" s="145"/>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spans="1:26" ht="14.5">
      <c r="A70" s="145"/>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spans="1:26" ht="14.5">
      <c r="A71" s="145"/>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spans="1:26" ht="14.5">
      <c r="A72" s="145"/>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spans="1:26" ht="14.5">
      <c r="A73" s="145"/>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spans="1:26" ht="14.5">
      <c r="A74" s="144"/>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spans="1:26" ht="14.5">
      <c r="A75" s="146" t="s">
        <v>289</v>
      </c>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spans="1:26" ht="14.5">
      <c r="A76" s="147"/>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spans="1:26" ht="14.5">
      <c r="A77" s="147"/>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spans="1:26" ht="14.5">
      <c r="A78" s="147"/>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spans="1:26" ht="14.5">
      <c r="A79" s="147"/>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spans="1:26" ht="14.5">
      <c r="A80" s="147"/>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spans="1:26" ht="14.5">
      <c r="A81" s="147"/>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spans="1:26" ht="14.5">
      <c r="A82" s="147"/>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spans="1:26" ht="14.5">
      <c r="A83" s="147"/>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spans="1:26" ht="14.5">
      <c r="A84" s="147"/>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spans="1:26" ht="14.5">
      <c r="A85" s="147"/>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spans="1:26" ht="14.5">
      <c r="A86" s="147"/>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spans="1:26" ht="14.5">
      <c r="A87" s="147"/>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spans="1:26" ht="14.5">
      <c r="A88" s="147"/>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spans="1:26" ht="14.5">
      <c r="A89" s="147"/>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spans="1:26" ht="14.5">
      <c r="A90" s="147"/>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spans="1:26" ht="14.5">
      <c r="A91" s="147"/>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spans="1:26" ht="14.5">
      <c r="A92" s="147"/>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spans="1:26" ht="14.5">
      <c r="A93" s="147"/>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spans="1:26" ht="14.5">
      <c r="A94" s="147"/>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spans="1:26" ht="14.5">
      <c r="A95" s="147"/>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spans="1:26" ht="14.5">
      <c r="A96" s="147"/>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spans="1:26" ht="14.5">
      <c r="A97" s="147"/>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spans="1:26" ht="14.5">
      <c r="A98" s="147"/>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spans="1:26" ht="14.5">
      <c r="A99" s="147"/>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spans="1:26" ht="14.5">
      <c r="A100" s="147"/>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spans="1:26" ht="14.5">
      <c r="A101" s="147"/>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spans="1:26" ht="14.5">
      <c r="A102" s="147"/>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spans="1:26" ht="14.5">
      <c r="A103" s="147"/>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spans="1:26" ht="14.5">
      <c r="A104" s="147"/>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spans="1:26" ht="14.5">
      <c r="A105" s="147"/>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spans="1:26" ht="14.5">
      <c r="A106" s="147"/>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spans="1:26" ht="14.5">
      <c r="A107" s="147"/>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spans="1:26" ht="14.5">
      <c r="A108" s="147"/>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spans="1:26" ht="14.5">
      <c r="A109" s="147"/>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spans="1:26" ht="14.5">
      <c r="A110" s="147"/>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spans="1:26" ht="14.5">
      <c r="A111" s="147"/>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spans="1:26" ht="14.5">
      <c r="A112" s="147"/>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spans="1:26" ht="14.5">
      <c r="A113" s="147"/>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spans="1:26" ht="14.5">
      <c r="A114" s="147"/>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spans="1:26" ht="14.5">
      <c r="A115" s="147"/>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spans="1:26" ht="14.5">
      <c r="A116" s="147"/>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spans="1:26" ht="14.5">
      <c r="A117" s="147"/>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spans="1:26" ht="14.5">
      <c r="A118" s="147"/>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spans="1:26" ht="14.5">
      <c r="A119" s="147"/>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spans="1:26" ht="14.5">
      <c r="A120" s="147"/>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spans="1:26" ht="14.5">
      <c r="A121" s="147"/>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spans="1:26" ht="14.5">
      <c r="A122" s="147"/>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spans="1:26" ht="14.5">
      <c r="A123" s="147"/>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spans="1:26" ht="14.5">
      <c r="A124" s="147"/>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spans="1:26" ht="14.5">
      <c r="A125" s="147"/>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spans="1:26" ht="14.5">
      <c r="A126" s="147"/>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spans="1:26" ht="14.5">
      <c r="A127" s="147"/>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spans="1:26" ht="14.5">
      <c r="A128" s="147"/>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spans="1:26" ht="14.5">
      <c r="A129" s="147"/>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spans="1:26" ht="14.5">
      <c r="A130" s="147"/>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spans="1:26" ht="14.5">
      <c r="A131" s="147"/>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spans="1:26" ht="14.5">
      <c r="A132" s="147"/>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spans="1:26" ht="14.5">
      <c r="A133" s="147"/>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spans="1:26" ht="14.5">
      <c r="A134" s="147"/>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spans="1:26" ht="14.5">
      <c r="A135" s="147"/>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spans="1:26" ht="14.5">
      <c r="A136" s="147"/>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spans="1:26" ht="14.5">
      <c r="A137" s="147"/>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spans="1:26" ht="14.5">
      <c r="A138" s="147"/>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spans="1:26" ht="14.5">
      <c r="A139" s="147"/>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spans="1:26" ht="14.5">
      <c r="A140" s="147"/>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spans="1:26" ht="14.5">
      <c r="A141" s="147"/>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spans="1:26" ht="14.5">
      <c r="A142" s="147"/>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spans="1:26" ht="14.5">
      <c r="A143" s="147"/>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spans="1:26" ht="14.5">
      <c r="A144" s="147"/>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spans="1:26" ht="14.5">
      <c r="A145" s="147"/>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spans="1:26" ht="14.5">
      <c r="A146" s="147"/>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spans="1:26" ht="14.5">
      <c r="A147" s="147"/>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spans="1:26" ht="14.5">
      <c r="A148" s="147"/>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spans="1:26" ht="14.5">
      <c r="A149" s="147"/>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spans="1:26" ht="14.5">
      <c r="A150" s="147"/>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spans="1:26" ht="14.5">
      <c r="A151" s="147"/>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spans="1:26" ht="14.5">
      <c r="A152" s="147"/>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spans="1:26" ht="14.5">
      <c r="A153" s="147"/>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spans="1:26" ht="14.5">
      <c r="A154" s="147"/>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spans="1:26" ht="14.5">
      <c r="A155" s="147"/>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spans="1:26" ht="14.5">
      <c r="A156" s="147"/>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spans="1:26" ht="14.5">
      <c r="A157" s="147"/>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spans="1:26" ht="14.5">
      <c r="A158" s="147"/>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spans="1:26" ht="14.5">
      <c r="A159" s="147"/>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spans="1:26" ht="14.5">
      <c r="A160" s="147"/>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spans="1:26" ht="14.5">
      <c r="A161" s="147"/>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spans="1:26" ht="14.5">
      <c r="A162" s="147"/>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spans="1:26" ht="14.5">
      <c r="A163" s="147"/>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spans="1:26" ht="14.5">
      <c r="A164" s="147"/>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spans="1:26" ht="14.5">
      <c r="A165" s="147"/>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spans="1:26" ht="14.5">
      <c r="A166" s="147"/>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spans="1:26" ht="14.5">
      <c r="A167" s="147"/>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spans="1:26" ht="14.5">
      <c r="A168" s="147"/>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spans="1:26" ht="14.5">
      <c r="A169" s="147"/>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spans="1:26" ht="14.5">
      <c r="A170" s="147"/>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spans="1:26" ht="14.5">
      <c r="A171" s="147"/>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spans="1:26" ht="14.5">
      <c r="A172" s="147"/>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spans="1:26" ht="14.5">
      <c r="A173" s="147"/>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spans="1:26" ht="14.5">
      <c r="A174" s="147"/>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spans="1:26" ht="14.5">
      <c r="A175" s="147"/>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spans="1:26" ht="14.5">
      <c r="A176" s="147"/>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spans="1:26" ht="14.5">
      <c r="A177" s="147"/>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spans="1:26" ht="14.5">
      <c r="A178" s="147"/>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spans="1:26" ht="14.5">
      <c r="A179" s="147"/>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spans="1:26" ht="14.5">
      <c r="A180" s="147"/>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spans="1:26" ht="14.5">
      <c r="A181" s="147"/>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spans="1:26" ht="14.5">
      <c r="A182" s="147"/>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spans="1:26" ht="14.5">
      <c r="A183" s="147"/>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spans="1:26" ht="14.5">
      <c r="A184" s="147"/>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spans="1:26" ht="14.5">
      <c r="A185" s="147"/>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spans="1:26" ht="14.5">
      <c r="A186" s="147"/>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spans="1:26" ht="14.5">
      <c r="A187" s="147"/>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spans="1:26" ht="14.5">
      <c r="A188" s="147"/>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spans="1:26" ht="14.5">
      <c r="A189" s="147"/>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spans="1:26" ht="14.5">
      <c r="A190" s="147"/>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spans="1:26" ht="14.5">
      <c r="A191" s="147"/>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spans="1:26" ht="14.5">
      <c r="A192" s="147"/>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spans="1:26" ht="14.5">
      <c r="A193" s="147"/>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spans="1:26" ht="14.5">
      <c r="A194" s="147"/>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spans="1:26" ht="14.5">
      <c r="A195" s="147"/>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spans="1:26" ht="14.5">
      <c r="A196" s="147"/>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spans="1:26" ht="14.5">
      <c r="A197" s="147"/>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spans="1:26" ht="14.5">
      <c r="A198" s="147"/>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spans="1:26" ht="14.5">
      <c r="A199" s="147"/>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spans="1:26" ht="14.5">
      <c r="A200" s="147"/>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spans="1:26" ht="14.5">
      <c r="A201" s="147"/>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spans="1:26" ht="14.5">
      <c r="A202" s="147"/>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spans="1:26" ht="14.5">
      <c r="A203" s="147"/>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spans="1:26" ht="14.5">
      <c r="A204" s="147"/>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spans="1:26" ht="14.5">
      <c r="A205" s="147"/>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spans="1:26" ht="14.5">
      <c r="A206" s="147"/>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spans="1:26" ht="14.5">
      <c r="A207" s="147"/>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spans="1:26" ht="14.5">
      <c r="A208" s="147"/>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spans="1:26" ht="14.5">
      <c r="A209" s="147"/>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spans="1:26" ht="14.5">
      <c r="A210" s="147"/>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spans="1:26" ht="14.5">
      <c r="A211" s="147"/>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spans="1:26" ht="14.5">
      <c r="A212" s="147"/>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spans="1:26" ht="14.5">
      <c r="A213" s="147"/>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spans="1:26" ht="14.5">
      <c r="A214" s="147"/>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spans="1:26" ht="14.5">
      <c r="A215" s="147"/>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spans="1:26" ht="14.5">
      <c r="A216" s="147"/>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spans="1:26" ht="14.5">
      <c r="A217" s="147"/>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4.5">
      <c r="A218" s="147"/>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4.5">
      <c r="A219" s="147"/>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4.5">
      <c r="A220" s="147"/>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4.5">
      <c r="A221" s="147"/>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4.5">
      <c r="A222" s="147"/>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4.5">
      <c r="A223" s="147"/>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4.5">
      <c r="A224" s="147"/>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4.5">
      <c r="A225" s="147"/>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4.5">
      <c r="A226" s="147"/>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4.5">
      <c r="A227" s="147"/>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4.5">
      <c r="A228" s="147"/>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4.5">
      <c r="A229" s="147"/>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4.5">
      <c r="A230" s="147"/>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4.5">
      <c r="A231" s="147"/>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4.5">
      <c r="A232" s="147"/>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4.5">
      <c r="A233" s="147"/>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4.5">
      <c r="A234" s="147"/>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4.5">
      <c r="A235" s="147"/>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4.5">
      <c r="A236" s="147"/>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4.5">
      <c r="A237" s="147"/>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4.5">
      <c r="A238" s="147"/>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4.5">
      <c r="A239" s="147"/>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4.5">
      <c r="A240" s="147"/>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4.5">
      <c r="A241" s="147"/>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4.5">
      <c r="A242" s="147"/>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4.5">
      <c r="A243" s="147"/>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4.5">
      <c r="A244" s="147"/>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4.5">
      <c r="A245" s="147"/>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4.5">
      <c r="A246" s="147"/>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4.5">
      <c r="A247" s="147"/>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4.5">
      <c r="A248" s="147"/>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4.5">
      <c r="A249" s="147"/>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4.5">
      <c r="A250" s="147"/>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4.5">
      <c r="A251" s="147"/>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4.5">
      <c r="A252" s="147"/>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4.5">
      <c r="A253" s="147"/>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4.5">
      <c r="A254" s="147"/>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4.5">
      <c r="A255" s="147"/>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4.5">
      <c r="A256" s="147"/>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4.5">
      <c r="A257" s="147"/>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4.5">
      <c r="A258" s="147"/>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4.5">
      <c r="A259" s="147"/>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4.5">
      <c r="A260" s="147"/>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4.5">
      <c r="A261" s="147"/>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4.5">
      <c r="A262" s="147"/>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4.5">
      <c r="A263" s="147"/>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4.5">
      <c r="A264" s="147"/>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4.5">
      <c r="A265" s="147"/>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4.5">
      <c r="A266" s="147"/>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4.5">
      <c r="A267" s="147"/>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4.5">
      <c r="A268" s="147"/>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4.5">
      <c r="A269" s="147"/>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4.5">
      <c r="A270" s="147"/>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4.5">
      <c r="A271" s="147"/>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4.5">
      <c r="A272" s="147"/>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4.5">
      <c r="A273" s="147"/>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4.5">
      <c r="A274" s="147"/>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4.5">
      <c r="A275" s="147"/>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4.5">
      <c r="A276" s="147"/>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4.5">
      <c r="A277" s="147"/>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4.5">
      <c r="A278" s="147"/>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4.5">
      <c r="A279" s="147"/>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4.5">
      <c r="A280" s="147"/>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4.5">
      <c r="A281" s="147"/>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4.5">
      <c r="A282" s="147"/>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4.5">
      <c r="A283" s="147"/>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4.5">
      <c r="A284" s="147"/>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4.5">
      <c r="A285" s="147"/>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4.5">
      <c r="A286" s="147"/>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4.5">
      <c r="A287" s="147"/>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4.5">
      <c r="A288" s="147"/>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4.5">
      <c r="A289" s="147"/>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4.5">
      <c r="A290" s="147"/>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4.5">
      <c r="A291" s="147"/>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4.5">
      <c r="A292" s="147"/>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4.5">
      <c r="A293" s="147"/>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4.5">
      <c r="A294" s="147"/>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4.5">
      <c r="A295" s="147"/>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4.5">
      <c r="A296" s="147"/>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4.5">
      <c r="A297" s="147"/>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4.5">
      <c r="A298" s="147"/>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4.5">
      <c r="A299" s="147"/>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4.5">
      <c r="A300" s="147"/>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4.5">
      <c r="A301" s="147"/>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4.5">
      <c r="A302" s="147"/>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4.5">
      <c r="A303" s="147"/>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4.5">
      <c r="A304" s="147"/>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4.5">
      <c r="A305" s="147"/>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4.5">
      <c r="A306" s="147"/>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4.5">
      <c r="A307" s="147"/>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4.5">
      <c r="A308" s="147"/>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4.5">
      <c r="A309" s="147"/>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4.5">
      <c r="A310" s="147"/>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4.5">
      <c r="A311" s="147"/>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4.5">
      <c r="A312" s="147"/>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4.5">
      <c r="A313" s="147"/>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4.5">
      <c r="A314" s="147"/>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4.5">
      <c r="A315" s="147"/>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4.5">
      <c r="A316" s="147"/>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4.5">
      <c r="A317" s="147"/>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4.5">
      <c r="A318" s="147"/>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4.5">
      <c r="A319" s="147"/>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4.5">
      <c r="A320" s="147"/>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4.5">
      <c r="A321" s="147"/>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4.5">
      <c r="A322" s="147"/>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4.5">
      <c r="A323" s="147"/>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4.5">
      <c r="A324" s="147"/>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4.5">
      <c r="A325" s="147"/>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4.5">
      <c r="A326" s="147"/>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4.5">
      <c r="A327" s="147"/>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4.5">
      <c r="A328" s="147"/>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4.5">
      <c r="A329" s="147"/>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4.5">
      <c r="A330" s="147"/>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4.5">
      <c r="A331" s="147"/>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4.5">
      <c r="A332" s="147"/>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4.5">
      <c r="A333" s="147"/>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4.5">
      <c r="A334" s="147"/>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4.5">
      <c r="A335" s="147"/>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4.5">
      <c r="A336" s="147"/>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4.5">
      <c r="A337" s="147"/>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4.5">
      <c r="A338" s="147"/>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4.5">
      <c r="A339" s="147"/>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4.5">
      <c r="A340" s="147"/>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4.5">
      <c r="A341" s="147"/>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4.5">
      <c r="A342" s="147"/>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4.5">
      <c r="A343" s="147"/>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4.5">
      <c r="A344" s="147"/>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4.5">
      <c r="A345" s="147"/>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4.5">
      <c r="A346" s="147"/>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4.5">
      <c r="A347" s="147"/>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4.5">
      <c r="A348" s="147"/>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4.5">
      <c r="A349" s="147"/>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4.5">
      <c r="A350" s="147"/>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4.5">
      <c r="A351" s="147"/>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4.5">
      <c r="A352" s="147"/>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4.5">
      <c r="A353" s="147"/>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4.5">
      <c r="A354" s="147"/>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4.5">
      <c r="A355" s="147"/>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4.5">
      <c r="A356" s="147"/>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4.5">
      <c r="A357" s="147"/>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4.5">
      <c r="A358" s="147"/>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4.5">
      <c r="A359" s="147"/>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4.5">
      <c r="A360" s="147"/>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4.5">
      <c r="A361" s="147"/>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4.5">
      <c r="A362" s="147"/>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4.5">
      <c r="A363" s="147"/>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4.5">
      <c r="A364" s="147"/>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4.5">
      <c r="A365" s="147"/>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4.5">
      <c r="A366" s="147"/>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4.5">
      <c r="A367" s="147"/>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4.5">
      <c r="A368" s="147"/>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4.5">
      <c r="A369" s="147"/>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4.5">
      <c r="A370" s="147"/>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4.5">
      <c r="A371" s="147"/>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4.5">
      <c r="A372" s="147"/>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4.5">
      <c r="A373" s="147"/>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4.5">
      <c r="A374" s="147"/>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4.5">
      <c r="A375" s="147"/>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4.5">
      <c r="A376" s="147"/>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4.5">
      <c r="A377" s="147"/>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4.5">
      <c r="A378" s="147"/>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4.5">
      <c r="A379" s="147"/>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4.5">
      <c r="A380" s="147"/>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4.5">
      <c r="A381" s="147"/>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4.5">
      <c r="A382" s="147"/>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4.5">
      <c r="A383" s="147"/>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4.5">
      <c r="A384" s="147"/>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4.5">
      <c r="A385" s="147"/>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4.5">
      <c r="A386" s="147"/>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4.5">
      <c r="A387" s="147"/>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4.5">
      <c r="A388" s="147"/>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4.5">
      <c r="A389" s="147"/>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4.5">
      <c r="A390" s="147"/>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4.5">
      <c r="A391" s="147"/>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4.5">
      <c r="A392" s="147"/>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4.5">
      <c r="A393" s="147"/>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4.5">
      <c r="A394" s="147"/>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4.5">
      <c r="A395" s="147"/>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spans="1:26" ht="14.5">
      <c r="A396" s="147"/>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spans="1:26" ht="14.5">
      <c r="A397" s="147"/>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spans="1:26" ht="14.5">
      <c r="A398" s="147"/>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spans="1:26" ht="14.5">
      <c r="A399" s="147"/>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spans="1:26" ht="14.5">
      <c r="A400" s="147"/>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spans="1:26" ht="14.5">
      <c r="A401" s="147"/>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spans="1:26" ht="14.5">
      <c r="A402" s="147"/>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spans="1:26" ht="14.5">
      <c r="A403" s="147"/>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spans="1:26" ht="14.5">
      <c r="A404" s="147"/>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spans="1:26" ht="14.5">
      <c r="A405" s="147"/>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spans="1:26" ht="14.5">
      <c r="A406" s="147"/>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spans="1:26" ht="14.5">
      <c r="A407" s="147"/>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spans="1:26" ht="14.5">
      <c r="A408" s="147"/>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spans="1:26" ht="14.5">
      <c r="A409" s="147"/>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spans="1:26" ht="14.5">
      <c r="A410" s="147"/>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spans="1:26" ht="14.5">
      <c r="A411" s="147"/>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spans="1:26" ht="14.5">
      <c r="A412" s="147"/>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spans="1:26" ht="14.5">
      <c r="A413" s="147"/>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spans="1:26" ht="14.5">
      <c r="A414" s="147"/>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spans="1:26" ht="14.5">
      <c r="A415" s="147"/>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spans="1:26" ht="14.5">
      <c r="A416" s="147"/>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spans="1:26" ht="14.5">
      <c r="A417" s="147"/>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spans="1:26" ht="14.5">
      <c r="A418" s="147"/>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spans="1:26" ht="14.5">
      <c r="A419" s="147"/>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spans="1:26" ht="14.5">
      <c r="A420" s="147"/>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spans="1:26" ht="14.5">
      <c r="A421" s="147"/>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spans="1:26" ht="14.5">
      <c r="A422" s="147"/>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spans="1:26" ht="14.5">
      <c r="A423" s="147"/>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spans="1:26" ht="14.5">
      <c r="A424" s="147"/>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spans="1:26" ht="14.5">
      <c r="A425" s="147"/>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spans="1:26" ht="14.5">
      <c r="A426" s="147"/>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spans="1:26" ht="14.5">
      <c r="A427" s="147"/>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spans="1:26" ht="14.5">
      <c r="A428" s="147"/>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spans="1:26" ht="14.5">
      <c r="A429" s="147"/>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spans="1:26" ht="14.5">
      <c r="A430" s="147"/>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spans="1:26" ht="14.5">
      <c r="A431" s="147"/>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spans="1:26" ht="14.5">
      <c r="A432" s="147"/>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spans="1:26" ht="14.5">
      <c r="A433" s="147"/>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spans="1:26" ht="14.5">
      <c r="A434" s="147"/>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spans="1:26" ht="14.5">
      <c r="A435" s="147"/>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spans="1:26" ht="14.5">
      <c r="A436" s="147"/>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spans="1:26" ht="14.5">
      <c r="A437" s="147"/>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spans="1:26" ht="14.5">
      <c r="A438" s="147"/>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spans="1:26" ht="14.5">
      <c r="A439" s="147"/>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spans="1:26" ht="14.5">
      <c r="A440" s="147"/>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spans="1:26" ht="14.5">
      <c r="A441" s="147"/>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spans="1:26" ht="14.5">
      <c r="A442" s="147"/>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spans="1:26" ht="14.5">
      <c r="A443" s="147"/>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spans="1:26" ht="14.5">
      <c r="A444" s="147"/>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spans="1:26" ht="14.5">
      <c r="A445" s="147"/>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spans="1:26" ht="14.5">
      <c r="A446" s="147"/>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spans="1:26" ht="14.5">
      <c r="A447" s="147"/>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spans="1:26" ht="14.5">
      <c r="A448" s="147"/>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spans="1:26" ht="14.5">
      <c r="A449" s="147"/>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spans="1:26" ht="14.5">
      <c r="A450" s="147"/>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spans="1:26" ht="14.5">
      <c r="A451" s="147"/>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spans="1:26" ht="14.5">
      <c r="A452" s="147"/>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spans="1:26" ht="14.5">
      <c r="A453" s="147"/>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spans="1:26" ht="14.5">
      <c r="A454" s="147"/>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spans="1:26" ht="14.5">
      <c r="A455" s="147"/>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spans="1:26" ht="14.5">
      <c r="A456" s="147"/>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spans="1:26" ht="14.5">
      <c r="A457" s="147"/>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spans="1:26" ht="14.5">
      <c r="A458" s="147"/>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spans="1:26" ht="14.5">
      <c r="A459" s="147"/>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spans="1:26" ht="14.5">
      <c r="A460" s="147"/>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spans="1:26" ht="14.5">
      <c r="A461" s="147"/>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spans="1:26" ht="14.5">
      <c r="A462" s="147"/>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spans="1:26" ht="14.5">
      <c r="A463" s="147"/>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spans="1:26" ht="14.5">
      <c r="A464" s="147"/>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spans="1:26" ht="14.5">
      <c r="A465" s="147"/>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spans="1:26" ht="14.5">
      <c r="A466" s="147"/>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spans="1:26" ht="14.5">
      <c r="A467" s="147"/>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spans="1:26" ht="14.5">
      <c r="A468" s="147"/>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spans="1:26" ht="14.5">
      <c r="A469" s="147"/>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spans="1:26" ht="14.5">
      <c r="A470" s="147"/>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spans="1:26" ht="14.5">
      <c r="A471" s="147"/>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spans="1:26" ht="14.5">
      <c r="A472" s="147"/>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spans="1:26" ht="14.5">
      <c r="A473" s="147"/>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spans="1:26" ht="14.5">
      <c r="A474" s="147"/>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spans="1:26" ht="14.5">
      <c r="A475" s="147"/>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spans="1:26" ht="14.5">
      <c r="A476" s="147"/>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spans="1:26" ht="14.5">
      <c r="A477" s="147"/>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spans="1:26" ht="14.5">
      <c r="A478" s="147"/>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spans="1:26" ht="14.5">
      <c r="A479" s="147"/>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spans="1:26" ht="14.5">
      <c r="A480" s="147"/>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spans="1:26" ht="14.5">
      <c r="A481" s="147"/>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spans="1:26" ht="14.5">
      <c r="A482" s="147"/>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spans="1:26" ht="14.5">
      <c r="A483" s="147"/>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spans="1:26" ht="14.5">
      <c r="A484" s="147"/>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spans="1:26" ht="14.5">
      <c r="A485" s="147"/>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spans="1:26" ht="14.5">
      <c r="A486" s="147"/>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spans="1:26" ht="14.5">
      <c r="A487" s="147"/>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spans="1:26" ht="14.5">
      <c r="A488" s="147"/>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spans="1:26" ht="14.5">
      <c r="A489" s="147"/>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spans="1:26" ht="14.5">
      <c r="A490" s="147"/>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spans="1:26" ht="14.5">
      <c r="A491" s="147"/>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spans="1:26" ht="14.5">
      <c r="A492" s="147"/>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spans="1:26" ht="14.5">
      <c r="A493" s="147"/>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spans="1:26" ht="14.5">
      <c r="A494" s="147"/>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spans="1:26" ht="14.5">
      <c r="A495" s="147"/>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spans="1:26" ht="14.5">
      <c r="A496" s="147"/>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spans="1:26" ht="14.5">
      <c r="A497" s="147"/>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spans="1:26" ht="14.5">
      <c r="A498" s="147"/>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spans="1:26" ht="14.5">
      <c r="A499" s="147"/>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spans="1:26" ht="14.5">
      <c r="A500" s="147"/>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spans="1:26" ht="14.5">
      <c r="A501" s="147"/>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spans="1:26" ht="14.5">
      <c r="A502" s="147"/>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spans="1:26" ht="14.5">
      <c r="A503" s="147"/>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spans="1:26" ht="14.5">
      <c r="A504" s="147"/>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spans="1:26" ht="14.5">
      <c r="A505" s="147"/>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spans="1:26" ht="14.5">
      <c r="A506" s="147"/>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spans="1:26" ht="14.5">
      <c r="A507" s="147"/>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spans="1:26" ht="14.5">
      <c r="A508" s="147"/>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spans="1:26" ht="14.5">
      <c r="A509" s="147"/>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spans="1:26" ht="14.5">
      <c r="A510" s="147"/>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spans="1:26" ht="14.5">
      <c r="A511" s="147"/>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spans="1:26" ht="14.5">
      <c r="A512" s="147"/>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spans="1:26" ht="14.5">
      <c r="A513" s="147"/>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spans="1:26" ht="14.5">
      <c r="A514" s="147"/>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spans="1:26" ht="14.5">
      <c r="A515" s="147"/>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spans="1:26" ht="14.5">
      <c r="A516" s="147"/>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spans="1:26" ht="14.5">
      <c r="A517" s="147"/>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spans="1:26" ht="14.5">
      <c r="A518" s="147"/>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spans="1:26" ht="14.5">
      <c r="A519" s="147"/>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spans="1:26" ht="14.5">
      <c r="A520" s="147"/>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spans="1:26" ht="14.5">
      <c r="A521" s="147"/>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spans="1:26" ht="14.5">
      <c r="A522" s="147"/>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spans="1:26" ht="14.5">
      <c r="A523" s="147"/>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spans="1:26" ht="14.5">
      <c r="A524" s="147"/>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spans="1:26" ht="14.5">
      <c r="A525" s="147"/>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spans="1:26" ht="14.5">
      <c r="A526" s="147"/>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spans="1:26" ht="14.5">
      <c r="A527" s="147"/>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spans="1:26" ht="14.5">
      <c r="A528" s="147"/>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spans="1:26" ht="14.5">
      <c r="A529" s="147"/>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spans="1:26" ht="14.5">
      <c r="A530" s="147"/>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spans="1:26" ht="14.5">
      <c r="A531" s="147"/>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spans="1:26" ht="14.5">
      <c r="A532" s="147"/>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spans="1:26" ht="14.5">
      <c r="A533" s="147"/>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spans="1:26" ht="14.5">
      <c r="A534" s="147"/>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spans="1:26" ht="14.5">
      <c r="A535" s="147"/>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spans="1:26" ht="14.5">
      <c r="A536" s="147"/>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spans="1:26" ht="14.5">
      <c r="A537" s="147"/>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spans="1:26" ht="14.5">
      <c r="A538" s="147"/>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spans="1:26" ht="14.5">
      <c r="A539" s="147"/>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spans="1:26" ht="14.5">
      <c r="A540" s="147"/>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spans="1:26" ht="14.5">
      <c r="A541" s="147"/>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spans="1:26" ht="14.5">
      <c r="A542" s="147"/>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spans="1:26" ht="14.5">
      <c r="A543" s="147"/>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spans="1:26" ht="14.5">
      <c r="A544" s="147"/>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spans="1:26" ht="14.5">
      <c r="A545" s="147"/>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spans="1:26" ht="14.5">
      <c r="A546" s="147"/>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spans="1:26" ht="14.5">
      <c r="A547" s="147"/>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spans="1:26" ht="14.5">
      <c r="A548" s="147"/>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spans="1:26" ht="14.5">
      <c r="A549" s="147"/>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spans="1:26" ht="14.5">
      <c r="A550" s="147"/>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spans="1:26" ht="14.5">
      <c r="A551" s="147"/>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spans="1:26" ht="14.5">
      <c r="A552" s="147"/>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spans="1:26" ht="14.5">
      <c r="A553" s="147"/>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spans="1:26" ht="14.5">
      <c r="A554" s="147"/>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spans="1:26" ht="14.5">
      <c r="A555" s="147"/>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spans="1:26" ht="14.5">
      <c r="A556" s="147"/>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spans="1:26" ht="14.5">
      <c r="A557" s="147"/>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spans="1:26" ht="14.5">
      <c r="A558" s="147"/>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spans="1:26" ht="14.5">
      <c r="A559" s="147"/>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spans="1:26" ht="14.5">
      <c r="A560" s="147"/>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spans="1:26" ht="14.5">
      <c r="A561" s="147"/>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spans="1:26" ht="14.5">
      <c r="A562" s="147"/>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spans="1:26" ht="14.5">
      <c r="A563" s="147"/>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spans="1:26" ht="14.5">
      <c r="A564" s="147"/>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spans="1:26" ht="14.5">
      <c r="A565" s="147"/>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spans="1:26" ht="14.5">
      <c r="A566" s="147"/>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spans="1:26" ht="14.5">
      <c r="A567" s="147"/>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spans="1:26" ht="14.5">
      <c r="A568" s="147"/>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spans="1:26" ht="14.5">
      <c r="A569" s="147"/>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spans="1:26" ht="14.5">
      <c r="A570" s="147"/>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spans="1:26" ht="14.5">
      <c r="A571" s="147"/>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spans="1:26" ht="14.5">
      <c r="A572" s="147"/>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spans="1:26" ht="14.5">
      <c r="A573" s="147"/>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spans="1:26" ht="14.5">
      <c r="A574" s="147"/>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spans="1:26" ht="14.5">
      <c r="A575" s="147"/>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spans="1:26" ht="14.5">
      <c r="A576" s="147"/>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spans="1:26" ht="14.5">
      <c r="A577" s="147"/>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spans="1:26" ht="14.5">
      <c r="A578" s="147"/>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spans="1:26" ht="14.5">
      <c r="A579" s="147"/>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spans="1:26" ht="14.5">
      <c r="A580" s="147"/>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spans="1:26" ht="14.5">
      <c r="A581" s="147"/>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spans="1:26" ht="14.5">
      <c r="A582" s="147"/>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spans="1:26" ht="14.5">
      <c r="A583" s="147"/>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spans="1:26" ht="14.5">
      <c r="A584" s="147"/>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spans="1:26" ht="14.5">
      <c r="A585" s="147"/>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spans="1:26" ht="14.5">
      <c r="A586" s="147"/>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spans="1:26" ht="14.5">
      <c r="A587" s="147"/>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spans="1:26" ht="14.5">
      <c r="A588" s="147"/>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spans="1:26" ht="14.5">
      <c r="A589" s="147"/>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spans="1:26" ht="14.5">
      <c r="A590" s="147"/>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spans="1:26" ht="14.5">
      <c r="A591" s="147"/>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spans="1:26" ht="14.5">
      <c r="A592" s="147"/>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spans="1:26" ht="14.5">
      <c r="A593" s="147"/>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spans="1:26" ht="14.5">
      <c r="A594" s="147"/>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spans="1:26" ht="14.5">
      <c r="A595" s="147"/>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spans="1:26" ht="14.5">
      <c r="A596" s="147"/>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spans="1:26" ht="14.5">
      <c r="A597" s="147"/>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spans="1:26" ht="14.5">
      <c r="A598" s="147"/>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spans="1:26" ht="14.5">
      <c r="A599" s="147"/>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spans="1:26" ht="14.5">
      <c r="A600" s="147"/>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spans="1:26" ht="14.5">
      <c r="A601" s="147"/>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spans="1:26" ht="14.5">
      <c r="A602" s="147"/>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spans="1:26" ht="14.5">
      <c r="A603" s="147"/>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spans="1:26" ht="14.5">
      <c r="A604" s="147"/>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spans="1:26" ht="14.5">
      <c r="A605" s="147"/>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spans="1:26" ht="14.5">
      <c r="A606" s="147"/>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spans="1:26" ht="14.5">
      <c r="A607" s="147"/>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spans="1:26" ht="14.5">
      <c r="A608" s="147"/>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spans="1:26" ht="14.5">
      <c r="A609" s="147"/>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spans="1:26" ht="14.5">
      <c r="A610" s="147"/>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spans="1:26" ht="14.5">
      <c r="A611" s="147"/>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spans="1:26" ht="14.5">
      <c r="A612" s="147"/>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spans="1:26" ht="14.5">
      <c r="A613" s="147"/>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spans="1:26" ht="14.5">
      <c r="A614" s="147"/>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spans="1:26" ht="14.5">
      <c r="A615" s="147"/>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spans="1:26" ht="14.5">
      <c r="A616" s="147"/>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spans="1:26" ht="14.5">
      <c r="A617" s="147"/>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spans="1:26" ht="14.5">
      <c r="A618" s="147"/>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spans="1:26" ht="14.5">
      <c r="A619" s="147"/>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spans="1:26" ht="14.5">
      <c r="A620" s="147"/>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spans="1:26" ht="14.5">
      <c r="A621" s="147"/>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spans="1:26" ht="14.5">
      <c r="A622" s="147"/>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spans="1:26" ht="14.5">
      <c r="A623" s="147"/>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spans="1:26" ht="14.5">
      <c r="A624" s="147"/>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spans="1:26" ht="14.5">
      <c r="A625" s="147"/>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spans="1:26" ht="14.5">
      <c r="A626" s="147"/>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spans="1:26" ht="14.5">
      <c r="A627" s="147"/>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spans="1:26" ht="14.5">
      <c r="A628" s="147"/>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spans="1:26" ht="14.5">
      <c r="A629" s="147"/>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spans="1:26" ht="14.5">
      <c r="A630" s="147"/>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spans="1:26" ht="14.5">
      <c r="A631" s="147"/>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spans="1:26" ht="14.5">
      <c r="A632" s="147"/>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spans="1:26" ht="14.5">
      <c r="A633" s="147"/>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spans="1:26" ht="14.5">
      <c r="A634" s="147"/>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spans="1:26" ht="14.5">
      <c r="A635" s="147"/>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spans="1:26" ht="14.5">
      <c r="A636" s="147"/>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spans="1:26" ht="14.5">
      <c r="A637" s="147"/>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spans="1:26" ht="14.5">
      <c r="A638" s="147"/>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spans="1:26" ht="14.5">
      <c r="A639" s="147"/>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spans="1:26" ht="14.5">
      <c r="A640" s="147"/>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spans="1:26" ht="14.5">
      <c r="A641" s="147"/>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spans="1:26" ht="14.5">
      <c r="A642" s="147"/>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spans="1:26" ht="14.5">
      <c r="A643" s="147"/>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spans="1:26" ht="14.5">
      <c r="A644" s="147"/>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spans="1:26" ht="14.5">
      <c r="A645" s="147"/>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spans="1:26" ht="14.5">
      <c r="A646" s="147"/>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spans="1:26" ht="14.5">
      <c r="A647" s="147"/>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spans="1:26" ht="14.5">
      <c r="A648" s="147"/>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spans="1:26" ht="14.5">
      <c r="A649" s="147"/>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spans="1:26" ht="14.5">
      <c r="A650" s="147"/>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spans="1:26" ht="14.5">
      <c r="A651" s="147"/>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spans="1:26" ht="14.5">
      <c r="A652" s="147"/>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spans="1:26" ht="14.5">
      <c r="A653" s="147"/>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spans="1:26" ht="14.5">
      <c r="A654" s="147"/>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spans="1:26" ht="14.5">
      <c r="A655" s="147"/>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spans="1:26" ht="14.5">
      <c r="A656" s="147"/>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spans="1:26" ht="14.5">
      <c r="A657" s="147"/>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spans="1:26" ht="14.5">
      <c r="A658" s="147"/>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spans="1:26" ht="14.5">
      <c r="A659" s="147"/>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spans="1:26" ht="14.5">
      <c r="A660" s="147"/>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spans="1:26" ht="14.5">
      <c r="A661" s="147"/>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spans="1:26" ht="14.5">
      <c r="A662" s="147"/>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spans="1:26" ht="14.5">
      <c r="A663" s="147"/>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spans="1:26" ht="14.5">
      <c r="A664" s="147"/>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spans="1:26" ht="14.5">
      <c r="A665" s="147"/>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spans="1:26" ht="14.5">
      <c r="A666" s="147"/>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spans="1:26" ht="14.5">
      <c r="A667" s="147"/>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spans="1:26" ht="14.5">
      <c r="A668" s="147"/>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spans="1:26" ht="14.5">
      <c r="A669" s="147"/>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spans="1:26" ht="14.5">
      <c r="A670" s="147"/>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spans="1:26" ht="14.5">
      <c r="A671" s="147"/>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spans="1:26" ht="14.5">
      <c r="A672" s="147"/>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spans="1:26" ht="14.5">
      <c r="A673" s="147"/>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spans="1:26" ht="14.5">
      <c r="A674" s="147"/>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spans="1:26" ht="14.5">
      <c r="A675" s="147"/>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spans="1:26" ht="14.5">
      <c r="A676" s="147"/>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spans="1:26" ht="14.5">
      <c r="A677" s="147"/>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spans="1:26" ht="14.5">
      <c r="A678" s="147"/>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spans="1:26" ht="14.5">
      <c r="A679" s="147"/>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spans="1:26" ht="14.5">
      <c r="A680" s="147"/>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spans="1:26" ht="14.5">
      <c r="A681" s="147"/>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spans="1:26" ht="14.5">
      <c r="A682" s="147"/>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spans="1:26" ht="14.5">
      <c r="A683" s="147"/>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spans="1:26" ht="14.5">
      <c r="A684" s="147"/>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spans="1:26" ht="14.5">
      <c r="A685" s="147"/>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spans="1:26" ht="14.5">
      <c r="A686" s="147"/>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spans="1:26" ht="14.5">
      <c r="A687" s="147"/>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spans="1:26" ht="14.5">
      <c r="A688" s="147"/>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spans="1:26" ht="14.5">
      <c r="A689" s="147"/>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spans="1:26" ht="14.5">
      <c r="A690" s="147"/>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spans="1:26" ht="14.5">
      <c r="A691" s="147"/>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spans="1:26" ht="14.5">
      <c r="A692" s="147"/>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spans="1:26" ht="14.5">
      <c r="A693" s="147"/>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spans="1:26" ht="14.5">
      <c r="A694" s="147"/>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spans="1:26" ht="14.5">
      <c r="A695" s="147"/>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spans="1:26" ht="14.5">
      <c r="A696" s="147"/>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spans="1:26" ht="14.5">
      <c r="A697" s="147"/>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spans="1:26" ht="14.5">
      <c r="A698" s="147"/>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spans="1:26" ht="14.5">
      <c r="A699" s="147"/>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spans="1:26" ht="14.5">
      <c r="A700" s="147"/>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spans="1:26" ht="14.5">
      <c r="A701" s="147"/>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spans="1:26" ht="14.5">
      <c r="A702" s="147"/>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spans="1:26" ht="14.5">
      <c r="A703" s="147"/>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spans="1:26" ht="14.5">
      <c r="A704" s="147"/>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spans="1:26" ht="14.5">
      <c r="A705" s="147"/>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spans="1:26" ht="14.5">
      <c r="A706" s="147"/>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spans="1:26" ht="14.5">
      <c r="A707" s="147"/>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spans="1:26" ht="14.5">
      <c r="A708" s="147"/>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spans="1:26" ht="14.5">
      <c r="A709" s="147"/>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spans="1:26" ht="14.5">
      <c r="A710" s="147"/>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spans="1:26" ht="14.5">
      <c r="A711" s="147"/>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spans="1:26" ht="14.5">
      <c r="A712" s="147"/>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spans="1:26" ht="14.5">
      <c r="A713" s="147"/>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spans="1:26" ht="14.5">
      <c r="A714" s="147"/>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spans="1:26" ht="14.5">
      <c r="A715" s="147"/>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spans="1:26" ht="14.5">
      <c r="A716" s="147"/>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spans="1:26" ht="14.5">
      <c r="A717" s="147"/>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spans="1:26" ht="14.5">
      <c r="A718" s="147"/>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spans="1:26" ht="14.5">
      <c r="A719" s="147"/>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spans="1:26" ht="14.5">
      <c r="A720" s="147"/>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spans="1:26" ht="14.5">
      <c r="A721" s="147"/>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spans="1:26" ht="14.5">
      <c r="A722" s="147"/>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spans="1:26" ht="14.5">
      <c r="A723" s="147"/>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spans="1:26" ht="14.5">
      <c r="A724" s="147"/>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spans="1:26" ht="14.5">
      <c r="A725" s="147"/>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spans="1:26" ht="14.5">
      <c r="A726" s="147"/>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spans="1:26" ht="14.5">
      <c r="A727" s="147"/>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spans="1:26" ht="14.5">
      <c r="A728" s="147"/>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spans="1:26" ht="14.5">
      <c r="A729" s="147"/>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spans="1:26" ht="14.5">
      <c r="A730" s="147"/>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spans="1:26" ht="14.5">
      <c r="A731" s="147"/>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spans="1:26" ht="14.5">
      <c r="A732" s="147"/>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spans="1:26" ht="14.5">
      <c r="A733" s="147"/>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spans="1:26" ht="14.5">
      <c r="A734" s="147"/>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spans="1:26" ht="14.5">
      <c r="A735" s="147"/>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spans="1:26" ht="14.5">
      <c r="A736" s="147"/>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spans="1:26" ht="14.5">
      <c r="A737" s="147"/>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spans="1:26" ht="14.5">
      <c r="A738" s="147"/>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spans="1:26" ht="14.5">
      <c r="A739" s="147"/>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spans="1:26" ht="14.5">
      <c r="A740" s="147"/>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spans="1:26" ht="14.5">
      <c r="A741" s="147"/>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spans="1:26" ht="14.5">
      <c r="A742" s="147"/>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spans="1:26" ht="14.5">
      <c r="A743" s="147"/>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spans="1:26" ht="14.5">
      <c r="A744" s="147"/>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spans="1:26" ht="14.5">
      <c r="A745" s="147"/>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spans="1:26" ht="14.5">
      <c r="A746" s="147"/>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spans="1:26" ht="14.5">
      <c r="A747" s="147"/>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spans="1:26" ht="14.5">
      <c r="A748" s="147"/>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spans="1:26" ht="14.5">
      <c r="A749" s="147"/>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spans="1:26" ht="14.5">
      <c r="A750" s="147"/>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spans="1:26" ht="14.5">
      <c r="A751" s="147"/>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spans="1:26" ht="14.5">
      <c r="A752" s="147"/>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spans="1:26" ht="14.5">
      <c r="A753" s="147"/>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spans="1:26" ht="14.5">
      <c r="A754" s="147"/>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spans="1:26" ht="14.5">
      <c r="A755" s="147"/>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spans="1:26" ht="14.5">
      <c r="A756" s="147"/>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spans="1:26" ht="14.5">
      <c r="A757" s="147"/>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spans="1:26" ht="14.5">
      <c r="A758" s="147"/>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spans="1:26" ht="14.5">
      <c r="A759" s="147"/>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spans="1:26" ht="14.5">
      <c r="A760" s="147"/>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spans="1:26" ht="14.5">
      <c r="A761" s="147"/>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spans="1:26" ht="14.5">
      <c r="A762" s="147"/>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spans="1:26" ht="14.5">
      <c r="A763" s="147"/>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spans="1:26" ht="14.5">
      <c r="A764" s="147"/>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spans="1:26" ht="14.5">
      <c r="A765" s="147"/>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spans="1:26" ht="14.5">
      <c r="A766" s="147"/>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spans="1:26" ht="14.5">
      <c r="A767" s="147"/>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spans="1:26" ht="14.5">
      <c r="A768" s="147"/>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spans="1:26" ht="14.5">
      <c r="A769" s="147"/>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spans="1:26" ht="14.5">
      <c r="A770" s="147"/>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spans="1:26" ht="14.5">
      <c r="A771" s="147"/>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spans="1:26" ht="14.5">
      <c r="A772" s="147"/>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spans="1:26" ht="14.5">
      <c r="A773" s="147"/>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spans="1:26" ht="14.5">
      <c r="A774" s="147"/>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spans="1:26" ht="14.5">
      <c r="A775" s="147"/>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spans="1:26" ht="14.5">
      <c r="A776" s="147"/>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spans="1:26" ht="14.5">
      <c r="A777" s="147"/>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spans="1:26" ht="14.5">
      <c r="A778" s="147"/>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spans="1:26" ht="14.5">
      <c r="A779" s="147"/>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spans="1:26" ht="14.5">
      <c r="A780" s="147"/>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spans="1:26" ht="14.5">
      <c r="A781" s="147"/>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spans="1:26" ht="14.5">
      <c r="A782" s="147"/>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spans="1:26" ht="14.5">
      <c r="A783" s="147"/>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spans="1:26" ht="14.5">
      <c r="A784" s="147"/>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spans="1:26" ht="14.5">
      <c r="A785" s="147"/>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spans="1:26" ht="14.5">
      <c r="A786" s="147"/>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spans="1:26" ht="14.5">
      <c r="A787" s="147"/>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spans="1:26" ht="14.5">
      <c r="A788" s="147"/>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spans="1:26" ht="14.5">
      <c r="A789" s="147"/>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spans="1:26" ht="14.5">
      <c r="A790" s="147"/>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spans="1:26" ht="14.5">
      <c r="A791" s="147"/>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spans="1:26" ht="14.5">
      <c r="A792" s="147"/>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spans="1:26" ht="14.5">
      <c r="A793" s="147"/>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spans="1:26" ht="14.5">
      <c r="A794" s="147"/>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spans="1:26" ht="14.5">
      <c r="A795" s="147"/>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spans="1:26" ht="14.5">
      <c r="A796" s="147"/>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spans="1:26" ht="14.5">
      <c r="A797" s="147"/>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spans="1:26" ht="14.5">
      <c r="A798" s="147"/>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spans="1:26" ht="14.5">
      <c r="A799" s="147"/>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spans="1:26" ht="14.5">
      <c r="A800" s="147"/>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spans="1:26" ht="14.5">
      <c r="A801" s="147"/>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spans="1:26" ht="14.5">
      <c r="A802" s="147"/>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spans="1:26" ht="14.5">
      <c r="A803" s="147"/>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spans="1:26" ht="14.5">
      <c r="A804" s="147"/>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spans="1:26" ht="14.5">
      <c r="A805" s="147"/>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spans="1:26" ht="14.5">
      <c r="A806" s="147"/>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spans="1:26" ht="14.5">
      <c r="A807" s="147"/>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spans="1:26" ht="14.5">
      <c r="A808" s="147"/>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spans="1:26" ht="14.5">
      <c r="A809" s="147"/>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spans="1:26" ht="14.5">
      <c r="A810" s="147"/>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spans="1:26" ht="14.5">
      <c r="A811" s="147"/>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spans="1:26" ht="14.5">
      <c r="A812" s="147"/>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spans="1:26" ht="14.5">
      <c r="A813" s="147"/>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spans="1:26" ht="14.5">
      <c r="A814" s="147"/>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spans="1:26" ht="14.5">
      <c r="A815" s="147"/>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spans="1:26" ht="14.5">
      <c r="A816" s="147"/>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spans="1:26" ht="14.5">
      <c r="A817" s="147"/>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spans="1:26" ht="14.5">
      <c r="A818" s="147"/>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spans="1:26" ht="14.5">
      <c r="A819" s="147"/>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spans="1:26" ht="14.5">
      <c r="A820" s="147"/>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spans="1:26" ht="14.5">
      <c r="A821" s="147"/>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spans="1:26" ht="14.5">
      <c r="A822" s="147"/>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spans="1:26" ht="14.5">
      <c r="A823" s="147"/>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spans="1:26" ht="14.5">
      <c r="A824" s="147"/>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spans="1:26" ht="14.5">
      <c r="A825" s="147"/>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spans="1:26" ht="14.5">
      <c r="A826" s="147"/>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spans="1:26" ht="14.5">
      <c r="A827" s="147"/>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spans="1:26" ht="14.5">
      <c r="A828" s="147"/>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spans="1:26" ht="14.5">
      <c r="A829" s="147"/>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spans="1:26" ht="14.5">
      <c r="A830" s="147"/>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spans="1:26" ht="14.5">
      <c r="A831" s="147"/>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spans="1:26" ht="14.5">
      <c r="A832" s="147"/>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spans="1:26" ht="14.5">
      <c r="A833" s="147"/>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spans="1:26" ht="14.5">
      <c r="A834" s="147"/>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spans="1:26" ht="14.5">
      <c r="A835" s="147"/>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spans="1:26" ht="14.5">
      <c r="A836" s="147"/>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spans="1:26" ht="14.5">
      <c r="A837" s="147"/>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spans="1:26" ht="14.5">
      <c r="A838" s="147"/>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spans="1:26" ht="14.5">
      <c r="A839" s="147"/>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spans="1:26" ht="14.5">
      <c r="A840" s="147"/>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spans="1:26" ht="14.5">
      <c r="A841" s="147"/>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spans="1:26" ht="14.5">
      <c r="A842" s="147"/>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spans="1:26" ht="14.5">
      <c r="A843" s="147"/>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spans="1:26" ht="14.5">
      <c r="A844" s="147"/>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spans="1:26" ht="14.5">
      <c r="A845" s="147"/>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spans="1:26" ht="14.5">
      <c r="A846" s="147"/>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spans="1:26" ht="14.5">
      <c r="A847" s="147"/>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spans="1:26" ht="14.5">
      <c r="A848" s="147"/>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spans="1:26" ht="14.5">
      <c r="A849" s="147"/>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spans="1:26" ht="14.5">
      <c r="A850" s="147"/>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spans="1:26" ht="14.5">
      <c r="A851" s="147"/>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spans="1:26" ht="14.5">
      <c r="A852" s="147"/>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spans="1:26" ht="14.5">
      <c r="A853" s="147"/>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spans="1:26" ht="14.5">
      <c r="A854" s="147"/>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spans="1:26" ht="14.5">
      <c r="A855" s="147"/>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spans="1:26" ht="14.5">
      <c r="A856" s="147"/>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spans="1:26" ht="14.5">
      <c r="A857" s="147"/>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spans="1:26" ht="14.5">
      <c r="A858" s="147"/>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spans="1:26" ht="14.5">
      <c r="A859" s="147"/>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spans="1:26" ht="14.5">
      <c r="A860" s="147"/>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spans="1:26" ht="14.5">
      <c r="A861" s="147"/>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spans="1:26" ht="14.5">
      <c r="A862" s="147"/>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spans="1:26" ht="14.5">
      <c r="A863" s="147"/>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spans="1:26" ht="14.5">
      <c r="A864" s="147"/>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spans="1:26" ht="14.5">
      <c r="A865" s="147"/>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spans="1:26" ht="14.5">
      <c r="A866" s="147"/>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spans="1:26" ht="14.5">
      <c r="A867" s="147"/>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spans="1:26" ht="14.5">
      <c r="A868" s="147"/>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spans="1:26" ht="14.5">
      <c r="A869" s="147"/>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spans="1:26" ht="14.5">
      <c r="A870" s="147"/>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spans="1:26" ht="14.5">
      <c r="A871" s="147"/>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spans="1:26" ht="14.5">
      <c r="A872" s="147"/>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spans="1:26" ht="14.5">
      <c r="A873" s="147"/>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spans="1:26" ht="14.5">
      <c r="A874" s="147"/>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spans="1:26" ht="14.5">
      <c r="A875" s="147"/>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spans="1:26" ht="14.5">
      <c r="A876" s="147"/>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spans="1:26" ht="14.5">
      <c r="A877" s="147"/>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spans="1:26" ht="14.5">
      <c r="A878" s="147"/>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spans="1:26" ht="14.5">
      <c r="A879" s="147"/>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spans="1:26" ht="14.5">
      <c r="A880" s="147"/>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spans="1:26" ht="14.5">
      <c r="A881" s="147"/>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spans="1:26" ht="14.5">
      <c r="A882" s="147"/>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spans="1:26" ht="14.5">
      <c r="A883" s="147"/>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spans="1:26" ht="14.5">
      <c r="A884" s="147"/>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spans="1:26" ht="14.5">
      <c r="A885" s="147"/>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spans="1:26" ht="14.5">
      <c r="A886" s="147"/>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spans="1:26" ht="14.5">
      <c r="A887" s="147"/>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spans="1:26" ht="14.5">
      <c r="A888" s="147"/>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spans="1:26" ht="14.5">
      <c r="A889" s="147"/>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spans="1:26" ht="14.5">
      <c r="A890" s="147"/>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spans="1:26" ht="14.5">
      <c r="A891" s="147"/>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spans="1:26" ht="14.5">
      <c r="A892" s="147"/>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spans="1:26" ht="14.5">
      <c r="A893" s="147"/>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spans="1:26" ht="14.5">
      <c r="A894" s="147"/>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spans="1:26" ht="14.5">
      <c r="A895" s="147"/>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spans="1:26" ht="14.5">
      <c r="A896" s="147"/>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spans="1:26" ht="14.5">
      <c r="A897" s="147"/>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spans="1:26" ht="14.5">
      <c r="A898" s="147"/>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spans="1:26" ht="14.5">
      <c r="A899" s="147"/>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spans="1:26" ht="14.5">
      <c r="A900" s="147"/>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spans="1:26" ht="14.5">
      <c r="A901" s="147"/>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spans="1:26" ht="14.5">
      <c r="A902" s="147"/>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spans="1:26" ht="14.5">
      <c r="A903" s="147"/>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spans="1:26" ht="14.5">
      <c r="A904" s="147"/>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spans="1:26" ht="14.5">
      <c r="A905" s="147"/>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spans="1:26" ht="14.5">
      <c r="A906" s="147"/>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spans="1:26" ht="14.5">
      <c r="A907" s="147"/>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spans="1:26" ht="14.5">
      <c r="A908" s="147"/>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spans="1:26" ht="14.5">
      <c r="A909" s="147"/>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spans="1:26" ht="14.5">
      <c r="A910" s="147"/>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spans="1:26" ht="14.5">
      <c r="A911" s="147"/>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spans="1:26" ht="14.5">
      <c r="A912" s="147"/>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spans="1:26" ht="14.5">
      <c r="A913" s="147"/>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spans="1:26" ht="14.5">
      <c r="A914" s="147"/>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spans="1:26" ht="14.5">
      <c r="A915" s="147"/>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spans="1:26" ht="14.5">
      <c r="A916" s="147"/>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spans="1:26" ht="14.5">
      <c r="A917" s="147"/>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spans="1:26" ht="14.5">
      <c r="A918" s="147"/>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spans="1:26" ht="14.5">
      <c r="A919" s="147"/>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spans="1:26" ht="14.5">
      <c r="A920" s="147"/>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spans="1:26" ht="14.5">
      <c r="A921" s="147"/>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spans="1:26" ht="14.5">
      <c r="A922" s="147"/>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spans="1:26" ht="14.5">
      <c r="A923" s="147"/>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spans="1:26" ht="14.5">
      <c r="A924" s="147"/>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spans="1:26" ht="14.5">
      <c r="A925" s="147"/>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spans="1:26" ht="14.5">
      <c r="A926" s="147"/>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spans="1:26" ht="14.5">
      <c r="A927" s="147"/>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spans="1:26" ht="14.5">
      <c r="A928" s="147"/>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spans="1:26" ht="14.5">
      <c r="A929" s="147"/>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spans="1:26" ht="14.5">
      <c r="A930" s="147"/>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spans="1:26" ht="14.5">
      <c r="A931" s="147"/>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spans="1:26" ht="14.5">
      <c r="A932" s="147"/>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spans="1:26" ht="14.5">
      <c r="A933" s="147"/>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spans="1:26" ht="14.5">
      <c r="A934" s="147"/>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spans="1:26" ht="14.5">
      <c r="A935" s="147"/>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spans="1:26" ht="14.5">
      <c r="A936" s="147"/>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spans="1:26" ht="14.5">
      <c r="A937" s="147"/>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spans="1:26" ht="14.5">
      <c r="A938" s="147"/>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spans="1:26" ht="14.5">
      <c r="A939" s="147"/>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spans="1:26" ht="14.5">
      <c r="A940" s="147"/>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spans="1:26" ht="14.5">
      <c r="A941" s="147"/>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spans="1:26" ht="14.5">
      <c r="A942" s="147"/>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spans="1:26" ht="14.5">
      <c r="A943" s="147"/>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spans="1:26" ht="14.5">
      <c r="A944" s="147"/>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spans="1:26" ht="14.5">
      <c r="A945" s="147"/>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spans="1:26" ht="14.5">
      <c r="A946" s="147"/>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spans="1:26" ht="14.5">
      <c r="A947" s="147"/>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spans="1:26" ht="14.5">
      <c r="A948" s="147"/>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spans="1:26" ht="14.5">
      <c r="A949" s="147"/>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spans="1:26" ht="14.5">
      <c r="A950" s="147"/>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spans="1:26" ht="14.5">
      <c r="A951" s="147"/>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spans="1:26" ht="14.5">
      <c r="A952" s="147"/>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spans="1:26" ht="14.5">
      <c r="A953" s="147"/>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spans="1:26" ht="14.5">
      <c r="A954" s="147"/>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spans="1:26" ht="14.5">
      <c r="A955" s="147"/>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spans="1:26" ht="14.5">
      <c r="A956" s="147"/>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spans="1:26" ht="14.5">
      <c r="A957" s="147"/>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spans="1:26" ht="14.5">
      <c r="A958" s="147"/>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spans="1:26" ht="14.5">
      <c r="A959" s="147"/>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spans="1:26" ht="14.5">
      <c r="A960" s="147"/>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spans="1:26" ht="14.5">
      <c r="A961" s="147"/>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spans="1:26" ht="14.5">
      <c r="A962" s="147"/>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spans="1:26" ht="14.5">
      <c r="A963" s="147"/>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spans="1:26" ht="14.5">
      <c r="A964" s="147"/>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spans="1:26" ht="14.5">
      <c r="A965" s="147"/>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spans="1:26" ht="14.5">
      <c r="A966" s="147"/>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spans="1:26" ht="14.5">
      <c r="A967" s="147"/>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spans="1:26" ht="14.5">
      <c r="A968" s="147"/>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spans="1:26" ht="14.5">
      <c r="A969" s="147"/>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spans="1:26" ht="14.5">
      <c r="A970" s="147"/>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spans="1:26" ht="14.5">
      <c r="A971" s="147"/>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spans="1:26" ht="14.5">
      <c r="A972" s="147"/>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spans="1:26" ht="14.5">
      <c r="A973" s="147"/>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spans="1:26" ht="14.5">
      <c r="A974" s="147"/>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spans="1:26" ht="14.5">
      <c r="A975" s="147"/>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spans="1:26" ht="14.5">
      <c r="A976" s="147"/>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spans="1:26" ht="14.5">
      <c r="A977" s="147"/>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spans="1:26" ht="14.5">
      <c r="A978" s="147"/>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spans="1:26" ht="14.5">
      <c r="A979" s="147"/>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spans="1:26" ht="14.5">
      <c r="A980" s="147"/>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spans="1:26" ht="14.5">
      <c r="A981" s="147"/>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spans="1:26" ht="14.5">
      <c r="A982" s="147"/>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spans="1:26" ht="14.5">
      <c r="A983" s="147"/>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spans="1:26" ht="14.5">
      <c r="A984" s="147"/>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sheetData>
  <hyperlinks>
    <hyperlink ref="A17" r:id="rId1" display="http://www.tmforum.org/" xr:uid="{5A96A460-0C87-42B3-8484-BAE366E2ED6D}"/>
  </hyperlinks>
  <pageMargins left="0.25" right="0.25" top="0.75" bottom="0.75" header="0.3" footer="0.3"/>
  <pageSetup orientation="portrait" horizontalDpi="4294967293" verticalDpi="4294967293"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2BA8-8F4E-4256-B684-49987D25EA7F}">
  <dimension ref="B1:G54"/>
  <sheetViews>
    <sheetView topLeftCell="A25" zoomScaleNormal="100" workbookViewId="0">
      <selection activeCell="B9" sqref="B9:F9"/>
    </sheetView>
  </sheetViews>
  <sheetFormatPr defaultColWidth="8.453125" defaultRowHeight="12"/>
  <cols>
    <col min="1" max="1" width="1.1796875" style="91" customWidth="1"/>
    <col min="2" max="2" width="9.453125" style="91" customWidth="1"/>
    <col min="3" max="3" width="16.81640625" style="91" customWidth="1"/>
    <col min="4" max="4" width="36.54296875" style="91" customWidth="1"/>
    <col min="5" max="5" width="2.1796875" style="91" bestFit="1" customWidth="1"/>
    <col min="6" max="6" width="83.81640625" style="91" customWidth="1"/>
    <col min="7" max="7" width="3.81640625" style="91" customWidth="1"/>
    <col min="8" max="16384" width="8.453125" style="91"/>
  </cols>
  <sheetData>
    <row r="1" spans="2:7" ht="12.5" thickBot="1"/>
    <row r="2" spans="2:7" s="92" customFormat="1" ht="16.399999999999999" customHeight="1" thickBot="1">
      <c r="B2" s="212" t="s">
        <v>19</v>
      </c>
      <c r="C2" s="213"/>
      <c r="D2" s="213"/>
      <c r="E2" s="213"/>
      <c r="F2" s="214"/>
    </row>
    <row r="3" spans="2:7" s="92" customFormat="1" ht="12" customHeight="1">
      <c r="B3" s="206" t="s">
        <v>313</v>
      </c>
      <c r="C3" s="207"/>
      <c r="D3" s="207"/>
      <c r="E3" s="207"/>
      <c r="F3" s="208"/>
    </row>
    <row r="4" spans="2:7" s="92" customFormat="1" ht="22.25" customHeight="1">
      <c r="B4" s="206" t="s">
        <v>240</v>
      </c>
      <c r="C4" s="207"/>
      <c r="D4" s="207"/>
      <c r="E4" s="207"/>
      <c r="F4" s="208"/>
    </row>
    <row r="5" spans="2:7" s="92" customFormat="1" ht="14" customHeight="1">
      <c r="B5" s="209" t="s">
        <v>241</v>
      </c>
      <c r="C5" s="210"/>
      <c r="D5" s="210"/>
      <c r="E5" s="210"/>
      <c r="F5" s="211"/>
    </row>
    <row r="6" spans="2:7" s="92" customFormat="1" ht="15" customHeight="1">
      <c r="B6" s="206" t="s">
        <v>242</v>
      </c>
      <c r="C6" s="207"/>
      <c r="D6" s="207"/>
      <c r="E6" s="207"/>
      <c r="F6" s="208"/>
    </row>
    <row r="7" spans="2:7" s="92" customFormat="1" ht="15" customHeight="1">
      <c r="B7" s="209" t="s">
        <v>234</v>
      </c>
      <c r="C7" s="210"/>
      <c r="D7" s="210"/>
      <c r="E7" s="210"/>
      <c r="F7" s="211"/>
    </row>
    <row r="8" spans="2:7" s="92" customFormat="1" ht="12" customHeight="1">
      <c r="B8" s="209" t="s">
        <v>312</v>
      </c>
      <c r="C8" s="210"/>
      <c r="D8" s="210"/>
      <c r="E8" s="210"/>
      <c r="F8" s="211"/>
    </row>
    <row r="9" spans="2:7" s="92" customFormat="1" ht="12" customHeight="1">
      <c r="B9" s="209" t="s">
        <v>323</v>
      </c>
      <c r="C9" s="210"/>
      <c r="D9" s="210"/>
      <c r="E9" s="210"/>
      <c r="F9" s="211"/>
    </row>
    <row r="10" spans="2:7" s="92" customFormat="1" ht="12" customHeight="1">
      <c r="B10" s="209" t="s">
        <v>236</v>
      </c>
      <c r="C10" s="210"/>
      <c r="D10" s="210"/>
      <c r="E10" s="210"/>
      <c r="F10" s="211"/>
    </row>
    <row r="11" spans="2:7" s="92" customFormat="1" ht="12" customHeight="1">
      <c r="B11" s="209" t="s">
        <v>20</v>
      </c>
      <c r="C11" s="210"/>
      <c r="D11" s="210"/>
      <c r="E11" s="210"/>
      <c r="F11" s="211"/>
    </row>
    <row r="12" spans="2:7" s="92" customFormat="1" ht="12" customHeight="1">
      <c r="B12" s="209" t="s">
        <v>239</v>
      </c>
      <c r="C12" s="210"/>
      <c r="D12" s="210"/>
      <c r="E12" s="210"/>
      <c r="F12" s="211"/>
    </row>
    <row r="13" spans="2:7" s="92" customFormat="1" ht="12.5" customHeight="1" thickBot="1">
      <c r="B13" s="199" t="s">
        <v>21</v>
      </c>
      <c r="C13" s="200"/>
      <c r="D13" s="200"/>
      <c r="E13" s="200"/>
      <c r="F13" s="201"/>
    </row>
    <row r="14" spans="2:7" s="92" customFormat="1" ht="12.5" customHeight="1" thickBot="1"/>
    <row r="15" spans="2:7" s="92" customFormat="1" ht="12.5" customHeight="1" thickBot="1">
      <c r="B15" s="212" t="s">
        <v>310</v>
      </c>
      <c r="C15" s="213"/>
      <c r="D15" s="213"/>
      <c r="E15" s="213"/>
      <c r="F15" s="214"/>
      <c r="G15" s="149"/>
    </row>
    <row r="16" spans="2:7" s="92" customFormat="1" ht="12.5" customHeight="1">
      <c r="B16" s="206" t="s">
        <v>320</v>
      </c>
      <c r="C16" s="207"/>
      <c r="D16" s="207"/>
      <c r="E16" s="207"/>
      <c r="F16" s="208"/>
      <c r="G16" s="149"/>
    </row>
    <row r="17" spans="2:7" s="92" customFormat="1" ht="12.5" customHeight="1">
      <c r="B17" s="206" t="s">
        <v>325</v>
      </c>
      <c r="C17" s="207"/>
      <c r="D17" s="207"/>
      <c r="E17" s="207"/>
      <c r="F17" s="208"/>
      <c r="G17" s="149"/>
    </row>
    <row r="18" spans="2:7" s="92" customFormat="1" ht="12.5" customHeight="1">
      <c r="B18" s="206" t="s">
        <v>363</v>
      </c>
      <c r="C18" s="207"/>
      <c r="D18" s="207"/>
      <c r="E18" s="207"/>
      <c r="F18" s="208"/>
      <c r="G18" s="149"/>
    </row>
    <row r="19" spans="2:7" s="92" customFormat="1" ht="12.5" customHeight="1" thickBot="1">
      <c r="B19" s="199" t="s">
        <v>362</v>
      </c>
      <c r="C19" s="200"/>
      <c r="D19" s="200"/>
      <c r="E19" s="200"/>
      <c r="F19" s="201"/>
      <c r="G19" s="149"/>
    </row>
    <row r="20" spans="2:7" ht="12.5" thickBot="1">
      <c r="G20" s="150"/>
    </row>
    <row r="21" spans="2:7" ht="12.5" thickBot="1">
      <c r="B21" s="93"/>
      <c r="C21" s="202" t="s">
        <v>309</v>
      </c>
      <c r="D21" s="203"/>
      <c r="E21" s="204"/>
      <c r="F21" s="205"/>
    </row>
    <row r="22" spans="2:7" ht="36">
      <c r="B22" s="94" t="s">
        <v>22</v>
      </c>
      <c r="C22" s="95" t="s">
        <v>23</v>
      </c>
      <c r="D22" s="96" t="s">
        <v>24</v>
      </c>
      <c r="E22" s="198" t="s">
        <v>25</v>
      </c>
      <c r="F22" s="198"/>
    </row>
    <row r="23" spans="2:7" ht="36">
      <c r="B23" s="195" t="s">
        <v>26</v>
      </c>
      <c r="C23" s="192" t="str">
        <f>'Service Assurance Questionnaire'!C4</f>
        <v>Intent Translation &amp; Fulfilment</v>
      </c>
      <c r="D23" s="189" t="str">
        <f>'Service Assurance Questionnaire'!E4</f>
        <v>How does the System translate Service  intents (e.g., throughput, latency, availability) into network actions and evaluate their fulfillment?</v>
      </c>
      <c r="E23" s="157" t="s">
        <v>335</v>
      </c>
      <c r="F23" s="161" t="str">
        <f>'Service Assurance Questionnaire'!F4</f>
        <v xml:space="preserve">The System automatically generates Service  Assurance objectives (e.g., throughput targets, latency bounds) and policy actions based on Service intents, entered/updated by Person.
The System evaluates and presents intent fulfillment based on implementation effect, and informs if intent is not fulfilled.  </v>
      </c>
    </row>
    <row r="24" spans="2:7" ht="36">
      <c r="B24" s="196"/>
      <c r="C24" s="193"/>
      <c r="D24" s="190"/>
      <c r="E24" s="158" t="s">
        <v>336</v>
      </c>
      <c r="F24" s="162" t="str">
        <f>'Service Assurance Questionnaire'!F4</f>
        <v xml:space="preserve">The System automatically generates Service  Assurance objectives (e.g., throughput targets, latency bounds) and policy actions based on Service intents, entered/updated by Person.
The System evaluates and presents intent fulfillment based on implementation effect, and informs if intent is not fulfilled.  </v>
      </c>
    </row>
    <row r="25" spans="2:7" ht="24">
      <c r="B25" s="196"/>
      <c r="C25" s="193"/>
      <c r="D25" s="190"/>
      <c r="E25" s="158" t="s">
        <v>337</v>
      </c>
      <c r="F25" s="162" t="str">
        <f>'Service Assurance Questionnaire'!H4</f>
        <v>The System processes Intent using templates and guided workflows. 
Intent fulfillment evaluation is manually validated.</v>
      </c>
    </row>
    <row r="26" spans="2:7" ht="24">
      <c r="B26" s="197"/>
      <c r="C26" s="194"/>
      <c r="D26" s="191"/>
      <c r="E26" s="159" t="s">
        <v>338</v>
      </c>
      <c r="F26" s="160" t="str">
        <f>'Service Assurance Questionnaire'!I4</f>
        <v>Intent configuration and evaluation are entirely manual and based on human expertise.</v>
      </c>
    </row>
    <row r="27" spans="2:7" ht="14.5" customHeight="1">
      <c r="B27" s="195" t="s">
        <v>28</v>
      </c>
      <c r="C27" s="192" t="str">
        <f>'Service Assurance Questionnaire'!C5</f>
        <v>Service Performance Monitoring &amp; degradation/outage detection</v>
      </c>
      <c r="D27" s="189" t="str">
        <f>'Service Assurance Questionnaire'!E5</f>
        <v>How does the System monitor Service KPIs (e.g., throughput, latency, availability, experience KPIs, VoLTE/VoNR call drop rate) and detect performance degradation, outage or anomalies?</v>
      </c>
      <c r="E27" s="157" t="s">
        <v>335</v>
      </c>
      <c r="F27" s="161" t="str">
        <f>'Service Assurance Questionnaire'!F5</f>
        <v>The System continuously monitors Service KPIs (e.g., throughput, latency, availability, experience KPIs, VoLTE/VoNR call drop rate) and detect performance degradation, outage or anomalies without human intervention.</v>
      </c>
    </row>
    <row r="28" spans="2:7" ht="24">
      <c r="B28" s="196"/>
      <c r="C28" s="193"/>
      <c r="D28" s="190"/>
      <c r="E28" s="158" t="s">
        <v>336</v>
      </c>
      <c r="F28" s="162" t="str">
        <f>'Service Assurance Questionnaire'!G5</f>
        <v>The System continuously monitors Service  KPIs (e.g., throughput, latency, availability, experience KPIs, VoLTE/VoNR call drop rate) and detect performance degradation, outage or anomalies based on predefined rules</v>
      </c>
    </row>
    <row r="29" spans="2:7">
      <c r="B29" s="196"/>
      <c r="C29" s="194"/>
      <c r="D29" s="191"/>
      <c r="E29" s="159" t="s">
        <v>337</v>
      </c>
      <c r="F29" s="160" t="str">
        <f>'Service Assurance Questionnaire'!H5</f>
        <v>Performance monitoring, Service  degradation and anomaly / outage detection are determined based on human expertise</v>
      </c>
    </row>
    <row r="30" spans="2:7" ht="22.5" customHeight="1">
      <c r="B30" s="196"/>
      <c r="C30" s="192" t="str">
        <f>'Service Assurance Questionnaire'!C6</f>
        <v>Service Performance degradation Prediction</v>
      </c>
      <c r="D30" s="189" t="str">
        <f>'Service Assurance Questionnaire'!E6</f>
        <v>How does the System predict Service degradation (e.g., throughput, latency, availability, experience KPIs, VoLTE/VoNR call drop rate) and SLA violation ?</v>
      </c>
      <c r="E30" s="157" t="s">
        <v>335</v>
      </c>
      <c r="F30" s="161" t="str">
        <f>'Service Assurance Questionnaire'!F6</f>
        <v>The System uses self-learning AI Models to analyze Service KPIs (e.g., throughput, latency, availability, experience KPIs, VoLTE/VoNR call drop rate) and predicts SLA violations, without human intervention</v>
      </c>
    </row>
    <row r="31" spans="2:7" ht="22.5" customHeight="1">
      <c r="B31" s="196"/>
      <c r="C31" s="193"/>
      <c r="D31" s="190"/>
      <c r="E31" s="158" t="s">
        <v>336</v>
      </c>
      <c r="F31" s="162" t="str">
        <f>'Service Assurance Questionnaire'!G6</f>
        <v>The System uses dynamic rules (context-aware) or ML outputs to analyze Service KPIs (e.g., throughput, latency, availability, experience KPIs, VoLTE/VoNR call drop rate) and predicts SLA violations and may require human intervention (e.g. for model re-training)</v>
      </c>
    </row>
    <row r="32" spans="2:7">
      <c r="B32" s="196"/>
      <c r="C32" s="193"/>
      <c r="D32" s="190"/>
      <c r="E32" s="158" t="s">
        <v>337</v>
      </c>
      <c r="F32" s="162" t="str">
        <f>'Service Assurance Questionnaire'!H6</f>
        <v>The System predicts SLA violations based on pre-defined rules.</v>
      </c>
    </row>
    <row r="33" spans="2:6" ht="24">
      <c r="B33" s="197"/>
      <c r="C33" s="194"/>
      <c r="D33" s="191"/>
      <c r="E33" s="159" t="s">
        <v>338</v>
      </c>
      <c r="F33" s="163" t="str">
        <f>'Service Assurance Questionnaire'!I6</f>
        <v>SLA violation is manually detected and addressed based on performance reports.</v>
      </c>
    </row>
    <row r="34" spans="2:6" ht="24">
      <c r="B34" s="195" t="s">
        <v>29</v>
      </c>
      <c r="C34" s="192" t="str">
        <f>'Service Assurance Questionnaire'!C7</f>
        <v xml:space="preserve">Service Degradation Impact Analysis </v>
      </c>
      <c r="D34" s="189" t="str">
        <f>'Service Assurance Questionnaire'!E7</f>
        <v>How does the System identify and analyze the impact of Service degradation (e.g., throughput, latency, stability issues, experience deterioration,VoLTE/VoNR call drop rate) on user experience or SLA compliance?</v>
      </c>
      <c r="E34" s="157" t="s">
        <v>335</v>
      </c>
      <c r="F34" s="164" t="str">
        <f>'Service Assurance Questionnaire'!F7</f>
        <v>The System identifies and analyzes the impact of Service degradation (e.g., throughput, latency, stability issues, experience deterioration, VoLTE/VoNR call drop rate) using self-learning AI Models without human intervention.</v>
      </c>
    </row>
    <row r="35" spans="2:6" ht="36">
      <c r="B35" s="196"/>
      <c r="C35" s="193"/>
      <c r="D35" s="190"/>
      <c r="E35" s="158" t="s">
        <v>336</v>
      </c>
      <c r="F35" s="165" t="str">
        <f>'Service Assurance Questionnaire'!G7</f>
        <v>The System identifies and analyzes the impact of Service degradation (e.g., throughput, latency, stability issues, experience deterioration, VoLTE/VoNR call drop rate) using dynamic rules (context-aware) or ML Outputs and may require human confirmation to proceed</v>
      </c>
    </row>
    <row r="36" spans="2:6">
      <c r="B36" s="196"/>
      <c r="C36" s="193"/>
      <c r="D36" s="190"/>
      <c r="E36" s="158" t="s">
        <v>337</v>
      </c>
      <c r="F36" s="165" t="str">
        <f>'Service Assurance Questionnaire'!H7</f>
        <v>The System identifies &amp; analyzes impact of Service degradation, based on predefined rules</v>
      </c>
    </row>
    <row r="37" spans="2:6" ht="24">
      <c r="B37" s="196"/>
      <c r="C37" s="194"/>
      <c r="D37" s="191"/>
      <c r="E37" s="159" t="s">
        <v>338</v>
      </c>
      <c r="F37" s="160" t="str">
        <f>'Service Assurance Questionnaire'!I7</f>
        <v>Impact of degradation is determined based on human expertise.</v>
      </c>
    </row>
    <row r="38" spans="2:6" ht="24">
      <c r="B38" s="196"/>
      <c r="C38" s="192" t="str">
        <f>'Service Assurance Questionnaire'!C8</f>
        <v>Service Degradation Demarcation &amp; Root Cause Analysis</v>
      </c>
      <c r="D38" s="189" t="str">
        <f>'Service Assurance Questionnaire'!E8</f>
        <v>How does the System isolate the root causes of Service degradation by analyzing contributing factors within or across network domains (e.g., RAN, transport, core), covering performance, stability, and experience-related issues?</v>
      </c>
      <c r="E38" s="157" t="s">
        <v>335</v>
      </c>
      <c r="F38" s="161" t="str">
        <f>'Service Assurance Questionnaire'!F8</f>
        <v>The System isolates and analyzes the root causes of Service degradation by evaluating contributing factors within or across network domains using self learning AI Models, without human intervention.</v>
      </c>
    </row>
    <row r="39" spans="2:6" ht="20.5" customHeight="1">
      <c r="B39" s="196"/>
      <c r="C39" s="193"/>
      <c r="D39" s="190"/>
      <c r="E39" s="158" t="s">
        <v>336</v>
      </c>
      <c r="F39" s="162" t="str">
        <f>'Service Assurance Questionnaire'!G8</f>
        <v>The System isolates and analyzes the root cause of Service degradation using Dynamic Rules (context-aware) or ML Outputs and may require human intervention</v>
      </c>
    </row>
    <row r="40" spans="2:6">
      <c r="B40" s="196"/>
      <c r="C40" s="193"/>
      <c r="D40" s="190"/>
      <c r="E40" s="158" t="s">
        <v>337</v>
      </c>
      <c r="F40" s="162" t="str">
        <f>'Service Assurance Questionnaire'!H8</f>
        <v>The System isolates &amp; analyzes performance degradation Root Cause, based on predefined rules</v>
      </c>
    </row>
    <row r="41" spans="2:6" ht="24">
      <c r="B41" s="196"/>
      <c r="C41" s="194"/>
      <c r="D41" s="191"/>
      <c r="E41" s="159" t="s">
        <v>338</v>
      </c>
      <c r="F41" s="160" t="str">
        <f>'Service Assurance Questionnaire'!I8</f>
        <v>Performance data and alarms are manually analyzed to determine the root cause.</v>
      </c>
    </row>
    <row r="42" spans="2:6" ht="36">
      <c r="B42" s="196"/>
      <c r="C42" s="192" t="str">
        <f>'Service Assurance Questionnaire'!C9</f>
        <v xml:space="preserve">Solution Generation </v>
      </c>
      <c r="D42" s="189" t="str">
        <f>'Service Assurance Questionnaire'!E9</f>
        <v>How does the System generate solutions to address Service degradation (performance, stability, or experience) based on root cause analysis?</v>
      </c>
      <c r="E42" s="157" t="s">
        <v>335</v>
      </c>
      <c r="F42" s="161" t="str">
        <f>'Service Assurance Questionnaire'!F9</f>
        <v xml:space="preserve">The System generates corrective actions (towards specific user group, service type and Apps) to address Service degradation and continuously learns from past resolutions using AI Models, without human intervention.
</v>
      </c>
    </row>
    <row r="43" spans="2:6" ht="24">
      <c r="B43" s="196"/>
      <c r="C43" s="193"/>
      <c r="D43" s="190"/>
      <c r="E43" s="158" t="s">
        <v>336</v>
      </c>
      <c r="F43" s="162" t="str">
        <f>'Service Assurance Questionnaire'!G9</f>
        <v>The System generates corrective actions using dynamic rules (context-aware) or ML Outputs and may require human confirmation</v>
      </c>
    </row>
    <row r="44" spans="2:6">
      <c r="B44" s="196"/>
      <c r="C44" s="193"/>
      <c r="D44" s="190"/>
      <c r="E44" s="158" t="s">
        <v>337</v>
      </c>
      <c r="F44" s="162" t="str">
        <f>'Service Assurance Questionnaire'!H9</f>
        <v xml:space="preserve">The System suggests corrective actions based on pre-defined rules. </v>
      </c>
    </row>
    <row r="45" spans="2:6" ht="24">
      <c r="B45" s="196"/>
      <c r="C45" s="193"/>
      <c r="D45" s="190"/>
      <c r="E45" s="158" t="s">
        <v>338</v>
      </c>
      <c r="F45" s="165" t="str">
        <f>'Service Assurance Questionnaire'!I9</f>
        <v xml:space="preserve">Solutions are manually created based on human expertise </v>
      </c>
    </row>
    <row r="46" spans="2:6">
      <c r="B46" s="197"/>
      <c r="C46" s="194"/>
      <c r="D46" s="191"/>
      <c r="E46" s="159"/>
      <c r="F46" s="163" t="s">
        <v>344</v>
      </c>
    </row>
    <row r="47" spans="2:6" ht="24">
      <c r="B47" s="219" t="s">
        <v>31</v>
      </c>
      <c r="C47" s="192" t="str">
        <f>'Service Assurance Questionnaire'!C10</f>
        <v>Solution Evaluation &amp; Decision making</v>
      </c>
      <c r="D47" s="189" t="str">
        <f>'Service Assurance Questionnaire'!E10</f>
        <v xml:space="preserve">How does the System evaluate solutions and decide on the optimal solution to implement ?
</v>
      </c>
      <c r="E47" s="157" t="s">
        <v>335</v>
      </c>
      <c r="F47" s="164" t="str">
        <f>'Service Assurance Questionnaire'!F10</f>
        <v>The System evaluates multiple remediation options, analyzes risk and trade-offs, and selects the optimal solution using self learning AI Models, without requiring human decision-making.</v>
      </c>
    </row>
    <row r="48" spans="2:6" ht="24">
      <c r="B48" s="220"/>
      <c r="C48" s="193"/>
      <c r="D48" s="190"/>
      <c r="E48" s="158" t="s">
        <v>336</v>
      </c>
      <c r="F48" s="165" t="str">
        <f>'Service Assurance Questionnaire'!G10</f>
        <v>The System evaluates remediation options, recommends the optimal solution to be executed using Dynamic rules (context-aware) or ML Outputs and may require human approval</v>
      </c>
    </row>
    <row r="49" spans="2:6" ht="24">
      <c r="B49" s="220"/>
      <c r="C49" s="193"/>
      <c r="D49" s="190"/>
      <c r="E49" s="158" t="s">
        <v>337</v>
      </c>
      <c r="F49" s="165" t="str">
        <f>'Service Assurance Questionnaire'!H10</f>
        <v>The System evaluates remediation options, recommends the optimal solution to be executed based on pre-defined rules. 
Option selection is made by Human</v>
      </c>
    </row>
    <row r="50" spans="2:6" ht="24">
      <c r="B50" s="221"/>
      <c r="C50" s="194"/>
      <c r="D50" s="191"/>
      <c r="E50" s="159" t="s">
        <v>338</v>
      </c>
      <c r="F50" s="163" t="str">
        <f>'Service Assurance Questionnaire'!I10</f>
        <v>Remediation options, risk assessment and selection of appropriate solutions are manually done</v>
      </c>
    </row>
    <row r="51" spans="2:6" ht="24">
      <c r="B51" s="216" t="s">
        <v>33</v>
      </c>
      <c r="C51" s="192" t="str">
        <f>'Service Assurance Questionnaire'!C11</f>
        <v>Solution Implementation</v>
      </c>
      <c r="D51" s="189" t="str">
        <f>'Service Assurance Questionnaire'!E11</f>
        <v>How does the System implement solution and apply fallback mechanisms in case of solution failure?</v>
      </c>
      <c r="E51" s="157" t="s">
        <v>335</v>
      </c>
      <c r="F51" s="164" t="str">
        <f>'Service Assurance Questionnaire'!F11</f>
        <v>The System implements the selected corrective action and triggers fallback mechanisms in case of failure, without human intervention</v>
      </c>
    </row>
    <row r="52" spans="2:6">
      <c r="B52" s="216"/>
      <c r="C52" s="193"/>
      <c r="D52" s="190"/>
      <c r="E52" s="158" t="s">
        <v>336</v>
      </c>
      <c r="F52" s="165" t="str">
        <f>'Service Assurance Questionnaire'!G11</f>
        <v>The System applies corrective action and fallback mechanisms using pre-defined rules, based on human approval.</v>
      </c>
    </row>
    <row r="53" spans="2:6">
      <c r="B53" s="216"/>
      <c r="C53" s="193"/>
      <c r="D53" s="190"/>
      <c r="E53" s="158" t="s">
        <v>337</v>
      </c>
      <c r="F53" s="165" t="str">
        <f>'Service Assurance Questionnaire'!H11</f>
        <v>Implementation and fallback handling of the corrective action are manually executed</v>
      </c>
    </row>
    <row r="54" spans="2:6" ht="12.5" thickBot="1">
      <c r="B54" s="217"/>
      <c r="C54" s="218"/>
      <c r="D54" s="215"/>
      <c r="E54" s="159"/>
      <c r="F54" s="166" t="s">
        <v>345</v>
      </c>
    </row>
  </sheetData>
  <mergeCells count="40">
    <mergeCell ref="D51:D54"/>
    <mergeCell ref="B51:B54"/>
    <mergeCell ref="C51:C54"/>
    <mergeCell ref="B47:B50"/>
    <mergeCell ref="D42:D46"/>
    <mergeCell ref="D47:D50"/>
    <mergeCell ref="C47:C50"/>
    <mergeCell ref="B27:B33"/>
    <mergeCell ref="C34:C37"/>
    <mergeCell ref="C38:C41"/>
    <mergeCell ref="C42:C46"/>
    <mergeCell ref="B34:B46"/>
    <mergeCell ref="D27:D29"/>
    <mergeCell ref="C27:C29"/>
    <mergeCell ref="D30:D33"/>
    <mergeCell ref="D34:D37"/>
    <mergeCell ref="D38:D41"/>
    <mergeCell ref="C30:C33"/>
    <mergeCell ref="B2:F2"/>
    <mergeCell ref="B3:F3"/>
    <mergeCell ref="B8:F8"/>
    <mergeCell ref="B9:F9"/>
    <mergeCell ref="B4:F4"/>
    <mergeCell ref="B6:F6"/>
    <mergeCell ref="B5:F5"/>
    <mergeCell ref="B7:F7"/>
    <mergeCell ref="B10:F10"/>
    <mergeCell ref="B11:F11"/>
    <mergeCell ref="B12:F12"/>
    <mergeCell ref="B15:F15"/>
    <mergeCell ref="B17:F17"/>
    <mergeCell ref="B16:F16"/>
    <mergeCell ref="D23:D26"/>
    <mergeCell ref="C23:C26"/>
    <mergeCell ref="B23:B26"/>
    <mergeCell ref="E22:F22"/>
    <mergeCell ref="B13:F13"/>
    <mergeCell ref="C21:F21"/>
    <mergeCell ref="B18:F18"/>
    <mergeCell ref="B19:F1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8923-1D3E-48F3-A52C-CCF9C996FA12}">
  <dimension ref="A1:O16"/>
  <sheetViews>
    <sheetView showGridLines="0" tabSelected="1" topLeftCell="B1" zoomScaleNormal="100" workbookViewId="0">
      <pane xSplit="1" ySplit="3" topLeftCell="H4" activePane="bottomRight" state="frozen"/>
      <selection activeCell="B1" sqref="B1"/>
      <selection pane="topRight" activeCell="C1" sqref="C1"/>
      <selection pane="bottomLeft" activeCell="B4" sqref="B4"/>
      <selection pane="bottomRight" activeCell="E4" sqref="E4"/>
    </sheetView>
  </sheetViews>
  <sheetFormatPr defaultColWidth="8.81640625" defaultRowHeight="12"/>
  <cols>
    <col min="1" max="1" width="9.1796875" style="5" customWidth="1"/>
    <col min="2" max="2" width="12.1796875" style="5" customWidth="1"/>
    <col min="3" max="3" width="25.81640625" style="5" customWidth="1"/>
    <col min="4" max="4" width="7.1796875" style="5" customWidth="1"/>
    <col min="5" max="5" width="41.81640625" style="5" customWidth="1"/>
    <col min="6" max="9" width="30.81640625" style="5" customWidth="1"/>
    <col min="10" max="10" width="28.81640625" style="5" customWidth="1"/>
    <col min="11" max="13" width="10.81640625" style="5" customWidth="1"/>
    <col min="14" max="14" width="21.1796875" style="22" customWidth="1"/>
    <col min="15" max="15" width="19.1796875" style="22" customWidth="1"/>
    <col min="16" max="16384" width="8.81640625" style="5"/>
  </cols>
  <sheetData>
    <row r="1" spans="1:15" ht="18" customHeight="1">
      <c r="A1" s="238" t="s">
        <v>35</v>
      </c>
      <c r="B1" s="228" t="s">
        <v>36</v>
      </c>
      <c r="C1" s="241" t="s">
        <v>291</v>
      </c>
      <c r="D1" s="241" t="s">
        <v>37</v>
      </c>
      <c r="E1" s="228" t="s">
        <v>38</v>
      </c>
      <c r="F1" s="228" t="s">
        <v>39</v>
      </c>
      <c r="G1" s="228" t="s">
        <v>40</v>
      </c>
      <c r="H1" s="228" t="s">
        <v>41</v>
      </c>
      <c r="I1" s="231" t="s">
        <v>42</v>
      </c>
      <c r="J1" s="234" t="s">
        <v>43</v>
      </c>
      <c r="K1" s="222" t="s">
        <v>306</v>
      </c>
      <c r="L1" s="223"/>
      <c r="M1" s="224"/>
      <c r="N1" s="225" t="s">
        <v>45</v>
      </c>
      <c r="O1" s="225" t="s">
        <v>46</v>
      </c>
    </row>
    <row r="2" spans="1:15" ht="23" customHeight="1">
      <c r="A2" s="239"/>
      <c r="B2" s="229"/>
      <c r="C2" s="226"/>
      <c r="D2" s="226"/>
      <c r="E2" s="229"/>
      <c r="F2" s="229"/>
      <c r="G2" s="229"/>
      <c r="H2" s="229"/>
      <c r="I2" s="232"/>
      <c r="J2" s="235"/>
      <c r="K2" s="87" t="s">
        <v>319</v>
      </c>
      <c r="L2" s="87" t="s">
        <v>308</v>
      </c>
      <c r="M2" s="87" t="s">
        <v>307</v>
      </c>
      <c r="N2" s="226"/>
      <c r="O2" s="226"/>
    </row>
    <row r="3" spans="1:15" ht="17.399999999999999" customHeight="1">
      <c r="A3" s="240"/>
      <c r="B3" s="230"/>
      <c r="C3" s="227"/>
      <c r="D3" s="227"/>
      <c r="E3" s="230"/>
      <c r="F3" s="230"/>
      <c r="G3" s="230"/>
      <c r="H3" s="230"/>
      <c r="I3" s="233"/>
      <c r="J3" s="236"/>
      <c r="K3" s="153">
        <v>0.2</v>
      </c>
      <c r="L3" s="153">
        <v>0.4</v>
      </c>
      <c r="M3" s="153">
        <v>0.4</v>
      </c>
      <c r="N3" s="227"/>
      <c r="O3" s="227"/>
    </row>
    <row r="4" spans="1:15" ht="86.5" customHeight="1">
      <c r="A4" s="237" t="s">
        <v>292</v>
      </c>
      <c r="B4" s="6" t="s">
        <v>26</v>
      </c>
      <c r="C4" s="112" t="s">
        <v>27</v>
      </c>
      <c r="D4" s="97">
        <v>0.1</v>
      </c>
      <c r="E4" s="98" t="s">
        <v>342</v>
      </c>
      <c r="F4" s="151" t="s">
        <v>364</v>
      </c>
      <c r="G4" s="151" t="s">
        <v>290</v>
      </c>
      <c r="H4" s="151" t="s">
        <v>315</v>
      </c>
      <c r="I4" s="151" t="s">
        <v>314</v>
      </c>
      <c r="J4" s="111" t="s">
        <v>233</v>
      </c>
      <c r="K4" s="90" t="s">
        <v>47</v>
      </c>
      <c r="L4" s="90" t="s">
        <v>47</v>
      </c>
      <c r="M4" s="90" t="s">
        <v>47</v>
      </c>
      <c r="N4" s="1"/>
      <c r="O4" s="1"/>
    </row>
    <row r="5" spans="1:15" s="18" customFormat="1" ht="72">
      <c r="A5" s="237"/>
      <c r="B5" s="219" t="s">
        <v>28</v>
      </c>
      <c r="C5" s="112" t="s">
        <v>324</v>
      </c>
      <c r="D5" s="97">
        <v>0.1</v>
      </c>
      <c r="E5" s="19" t="s">
        <v>347</v>
      </c>
      <c r="F5" s="151" t="s">
        <v>348</v>
      </c>
      <c r="G5" s="151" t="s">
        <v>349</v>
      </c>
      <c r="H5" s="151" t="s">
        <v>321</v>
      </c>
      <c r="I5" s="152"/>
      <c r="J5" s="111" t="s">
        <v>228</v>
      </c>
      <c r="K5" s="90" t="s">
        <v>47</v>
      </c>
      <c r="L5" s="90" t="s">
        <v>47</v>
      </c>
      <c r="M5" s="90" t="s">
        <v>47</v>
      </c>
      <c r="N5" s="17"/>
      <c r="O5" s="17"/>
    </row>
    <row r="6" spans="1:15" s="18" customFormat="1" ht="82.75" customHeight="1">
      <c r="A6" s="237"/>
      <c r="B6" s="221"/>
      <c r="C6" s="112" t="s">
        <v>237</v>
      </c>
      <c r="D6" s="154">
        <v>0.1</v>
      </c>
      <c r="E6" s="19" t="s">
        <v>350</v>
      </c>
      <c r="F6" s="151" t="s">
        <v>351</v>
      </c>
      <c r="G6" s="151" t="s">
        <v>352</v>
      </c>
      <c r="H6" s="151" t="s">
        <v>340</v>
      </c>
      <c r="I6" s="151" t="s">
        <v>339</v>
      </c>
      <c r="J6" s="111" t="s">
        <v>229</v>
      </c>
      <c r="K6" s="90" t="s">
        <v>47</v>
      </c>
      <c r="L6" s="90" t="s">
        <v>47</v>
      </c>
      <c r="M6" s="90" t="s">
        <v>47</v>
      </c>
      <c r="N6" s="17"/>
      <c r="O6" s="86"/>
    </row>
    <row r="7" spans="1:15" s="18" customFormat="1" ht="93.65" customHeight="1">
      <c r="A7" s="237"/>
      <c r="B7" s="219" t="s">
        <v>29</v>
      </c>
      <c r="C7" s="112" t="s">
        <v>326</v>
      </c>
      <c r="D7" s="97">
        <v>0.1</v>
      </c>
      <c r="E7" s="155" t="s">
        <v>353</v>
      </c>
      <c r="F7" s="151" t="s">
        <v>354</v>
      </c>
      <c r="G7" s="151" t="s">
        <v>355</v>
      </c>
      <c r="H7" s="151" t="s">
        <v>322</v>
      </c>
      <c r="I7" s="151" t="s">
        <v>294</v>
      </c>
      <c r="J7" s="111" t="s">
        <v>238</v>
      </c>
      <c r="K7" s="90" t="s">
        <v>47</v>
      </c>
      <c r="L7" s="90" t="s">
        <v>47</v>
      </c>
      <c r="M7" s="90" t="s">
        <v>47</v>
      </c>
      <c r="N7" s="17"/>
      <c r="O7" s="86"/>
    </row>
    <row r="8" spans="1:15" s="18" customFormat="1" ht="85.75" customHeight="1">
      <c r="A8" s="237"/>
      <c r="B8" s="220"/>
      <c r="C8" s="112" t="s">
        <v>327</v>
      </c>
      <c r="D8" s="154">
        <v>0.15</v>
      </c>
      <c r="E8" s="156" t="s">
        <v>328</v>
      </c>
      <c r="F8" s="151" t="s">
        <v>329</v>
      </c>
      <c r="G8" s="151" t="s">
        <v>330</v>
      </c>
      <c r="H8" s="151" t="s">
        <v>293</v>
      </c>
      <c r="I8" s="151" t="s">
        <v>341</v>
      </c>
      <c r="J8" s="111" t="s">
        <v>238</v>
      </c>
      <c r="K8" s="90" t="s">
        <v>47</v>
      </c>
      <c r="L8" s="90" t="s">
        <v>47</v>
      </c>
      <c r="M8" s="90" t="s">
        <v>47</v>
      </c>
      <c r="N8" s="17"/>
      <c r="O8" s="86"/>
    </row>
    <row r="9" spans="1:15" s="18" customFormat="1" ht="66.650000000000006" customHeight="1">
      <c r="A9" s="237"/>
      <c r="B9" s="221"/>
      <c r="C9" s="112" t="s">
        <v>30</v>
      </c>
      <c r="D9" s="97">
        <v>0.15</v>
      </c>
      <c r="E9" s="155" t="s">
        <v>331</v>
      </c>
      <c r="F9" s="151" t="s">
        <v>361</v>
      </c>
      <c r="G9" s="151" t="s">
        <v>332</v>
      </c>
      <c r="H9" s="151" t="s">
        <v>317</v>
      </c>
      <c r="I9" s="151" t="s">
        <v>295</v>
      </c>
      <c r="J9" s="111" t="s">
        <v>230</v>
      </c>
      <c r="K9" s="90" t="s">
        <v>47</v>
      </c>
      <c r="L9" s="90" t="s">
        <v>47</v>
      </c>
      <c r="M9" s="90" t="s">
        <v>47</v>
      </c>
      <c r="N9" s="17"/>
      <c r="O9" s="17"/>
    </row>
    <row r="10" spans="1:15" s="18" customFormat="1" ht="67.75" customHeight="1">
      <c r="A10" s="237"/>
      <c r="B10" s="104" t="s">
        <v>31</v>
      </c>
      <c r="C10" s="112" t="s">
        <v>32</v>
      </c>
      <c r="D10" s="97">
        <v>0.2</v>
      </c>
      <c r="E10" s="105" t="s">
        <v>343</v>
      </c>
      <c r="F10" s="151" t="s">
        <v>333</v>
      </c>
      <c r="G10" s="151" t="s">
        <v>334</v>
      </c>
      <c r="H10" s="151" t="s">
        <v>316</v>
      </c>
      <c r="I10" s="151" t="s">
        <v>296</v>
      </c>
      <c r="J10" s="111" t="s">
        <v>231</v>
      </c>
      <c r="K10" s="90" t="s">
        <v>47</v>
      </c>
      <c r="L10" s="90" t="s">
        <v>47</v>
      </c>
      <c r="M10" s="90" t="s">
        <v>47</v>
      </c>
      <c r="N10" s="17"/>
      <c r="O10" s="17"/>
    </row>
    <row r="11" spans="1:15" s="18" customFormat="1" ht="68.75" customHeight="1">
      <c r="A11" s="237"/>
      <c r="B11" s="4" t="s">
        <v>33</v>
      </c>
      <c r="C11" s="112" t="s">
        <v>227</v>
      </c>
      <c r="D11" s="97">
        <v>0.1</v>
      </c>
      <c r="E11" s="105" t="s">
        <v>297</v>
      </c>
      <c r="F11" s="151" t="s">
        <v>298</v>
      </c>
      <c r="G11" s="151" t="s">
        <v>299</v>
      </c>
      <c r="H11" s="151" t="s">
        <v>318</v>
      </c>
      <c r="I11" s="152"/>
      <c r="J11" s="111" t="s">
        <v>232</v>
      </c>
      <c r="K11" s="90" t="s">
        <v>47</v>
      </c>
      <c r="L11" s="90" t="s">
        <v>47</v>
      </c>
      <c r="M11" s="90" t="s">
        <v>47</v>
      </c>
      <c r="N11" s="17"/>
      <c r="O11" s="17"/>
    </row>
    <row r="12" spans="1:15">
      <c r="D12" s="99">
        <f>SUM(D4:D11)</f>
        <v>1.0000000000000002</v>
      </c>
    </row>
    <row r="13" spans="1:15" ht="14.5">
      <c r="A13" s="5" t="s">
        <v>48</v>
      </c>
      <c r="F13" s="89"/>
      <c r="H13" s="88"/>
    </row>
    <row r="15" spans="1:15">
      <c r="F15" s="88"/>
      <c r="G15" s="88"/>
    </row>
    <row r="16" spans="1:15">
      <c r="G16" s="88"/>
    </row>
  </sheetData>
  <sheetProtection formatCells="0" insertHyperlinks="0" autoFilter="0"/>
  <mergeCells count="16">
    <mergeCell ref="A4:A11"/>
    <mergeCell ref="A1:A3"/>
    <mergeCell ref="B1:B3"/>
    <mergeCell ref="C1:C3"/>
    <mergeCell ref="D1:D3"/>
    <mergeCell ref="K1:M1"/>
    <mergeCell ref="N1:N3"/>
    <mergeCell ref="O1:O3"/>
    <mergeCell ref="B5:B6"/>
    <mergeCell ref="B7:B9"/>
    <mergeCell ref="E1:E3"/>
    <mergeCell ref="F1:F3"/>
    <mergeCell ref="G1:G3"/>
    <mergeCell ref="H1:H3"/>
    <mergeCell ref="I1:I3"/>
    <mergeCell ref="J1:J3"/>
  </mergeCells>
  <dataValidations count="1">
    <dataValidation type="list" allowBlank="1" showInputMessage="1" showErrorMessage="1" sqref="K4:M11" xr:uid="{247836EA-369A-4660-9C74-B7BD95C6DB29}">
      <formula1>"A,B,C,D"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2222-5802-45E9-BE2F-27E8D1F6F381}">
  <dimension ref="A1:V38"/>
  <sheetViews>
    <sheetView showGridLines="0" topLeftCell="A4" zoomScale="90" zoomScaleNormal="90" workbookViewId="0">
      <selection activeCell="M3" sqref="M3:O3"/>
    </sheetView>
  </sheetViews>
  <sheetFormatPr defaultColWidth="9" defaultRowHeight="12"/>
  <cols>
    <col min="1" max="1" width="11.1796875" style="41" customWidth="1"/>
    <col min="2" max="2" width="10" style="41" customWidth="1"/>
    <col min="3" max="3" width="23.1796875" style="41" customWidth="1"/>
    <col min="4" max="4" width="7.81640625" style="41" customWidth="1"/>
    <col min="5" max="5" width="79.1796875" style="28" customWidth="1"/>
    <col min="6" max="9" width="6.36328125" style="41" customWidth="1"/>
    <col min="10" max="12" width="9.81640625" style="41" customWidth="1"/>
    <col min="13" max="22" width="7.90625" style="41" customWidth="1"/>
    <col min="23" max="16384" width="9" style="41"/>
  </cols>
  <sheetData>
    <row r="1" spans="1:22" s="23" customFormat="1" ht="15" customHeight="1">
      <c r="A1" s="286" t="s">
        <v>35</v>
      </c>
      <c r="B1" s="256" t="s">
        <v>36</v>
      </c>
      <c r="C1" s="256" t="s">
        <v>23</v>
      </c>
      <c r="D1" s="256" t="s">
        <v>37</v>
      </c>
      <c r="E1" s="256" t="s">
        <v>24</v>
      </c>
      <c r="F1" s="242" t="s">
        <v>49</v>
      </c>
      <c r="G1" s="243"/>
      <c r="H1" s="243"/>
      <c r="I1" s="243"/>
      <c r="J1" s="243"/>
      <c r="K1" s="243"/>
      <c r="L1" s="243"/>
      <c r="M1" s="243"/>
      <c r="N1" s="243"/>
      <c r="O1" s="243"/>
      <c r="P1" s="243"/>
      <c r="Q1" s="243"/>
      <c r="R1" s="243"/>
      <c r="S1" s="243"/>
      <c r="T1" s="243"/>
      <c r="U1" s="243"/>
      <c r="V1" s="243"/>
    </row>
    <row r="2" spans="1:22" s="23" customFormat="1" ht="15" customHeight="1">
      <c r="A2" s="287"/>
      <c r="B2" s="257"/>
      <c r="C2" s="257"/>
      <c r="D2" s="257"/>
      <c r="E2" s="257"/>
      <c r="F2" s="271" t="s">
        <v>50</v>
      </c>
      <c r="G2" s="272"/>
      <c r="H2" s="272"/>
      <c r="I2" s="273"/>
      <c r="J2" s="277" t="s">
        <v>44</v>
      </c>
      <c r="K2" s="278"/>
      <c r="L2" s="279"/>
      <c r="M2" s="262" t="s">
        <v>319</v>
      </c>
      <c r="N2" s="262"/>
      <c r="O2" s="263"/>
      <c r="P2" s="264" t="s">
        <v>308</v>
      </c>
      <c r="Q2" s="264"/>
      <c r="R2" s="265"/>
      <c r="S2" s="245" t="s">
        <v>307</v>
      </c>
      <c r="T2" s="245"/>
      <c r="U2" s="246"/>
      <c r="V2" s="254" t="s">
        <v>360</v>
      </c>
    </row>
    <row r="3" spans="1:22" s="23" customFormat="1" ht="15" customHeight="1">
      <c r="A3" s="288"/>
      <c r="B3" s="258"/>
      <c r="C3" s="258"/>
      <c r="D3" s="258"/>
      <c r="E3" s="258"/>
      <c r="F3" s="274"/>
      <c r="G3" s="275"/>
      <c r="H3" s="275"/>
      <c r="I3" s="276"/>
      <c r="J3" s="280"/>
      <c r="K3" s="281"/>
      <c r="L3" s="282"/>
      <c r="M3" s="283">
        <v>0.2</v>
      </c>
      <c r="N3" s="284"/>
      <c r="O3" s="285"/>
      <c r="P3" s="266">
        <v>0.4</v>
      </c>
      <c r="Q3" s="267"/>
      <c r="R3" s="268"/>
      <c r="S3" s="247">
        <v>0.4</v>
      </c>
      <c r="T3" s="248"/>
      <c r="U3" s="249"/>
      <c r="V3" s="254"/>
    </row>
    <row r="4" spans="1:22" s="23" customFormat="1" ht="39.65" customHeight="1" thickBot="1">
      <c r="A4" s="289"/>
      <c r="B4" s="259"/>
      <c r="C4" s="259"/>
      <c r="D4" s="259"/>
      <c r="E4" s="259"/>
      <c r="F4" s="110" t="s">
        <v>39</v>
      </c>
      <c r="G4" s="110" t="s">
        <v>40</v>
      </c>
      <c r="H4" s="110" t="s">
        <v>41</v>
      </c>
      <c r="I4" s="110" t="s">
        <v>42</v>
      </c>
      <c r="J4" s="167" t="s">
        <v>319</v>
      </c>
      <c r="K4" s="167" t="s">
        <v>308</v>
      </c>
      <c r="L4" s="167" t="s">
        <v>307</v>
      </c>
      <c r="M4" s="170" t="s">
        <v>52</v>
      </c>
      <c r="N4" s="170" t="s">
        <v>53</v>
      </c>
      <c r="O4" s="171" t="s">
        <v>54</v>
      </c>
      <c r="P4" s="172" t="s">
        <v>52</v>
      </c>
      <c r="Q4" s="172" t="s">
        <v>53</v>
      </c>
      <c r="R4" s="173" t="s">
        <v>54</v>
      </c>
      <c r="S4" s="168" t="s">
        <v>52</v>
      </c>
      <c r="T4" s="168" t="s">
        <v>53</v>
      </c>
      <c r="U4" s="169" t="s">
        <v>54</v>
      </c>
      <c r="V4" s="255"/>
    </row>
    <row r="5" spans="1:22" s="23" customFormat="1" ht="49.4" customHeight="1">
      <c r="A5" s="197" t="s">
        <v>235</v>
      </c>
      <c r="B5" s="103" t="s">
        <v>26</v>
      </c>
      <c r="C5" s="112" t="str">
        <f>'Service Assurance Questionnaire'!C4</f>
        <v>Intent Translation &amp; Fulfilment</v>
      </c>
      <c r="D5" s="106">
        <f>'Service Assurance Questionnaire'!D4</f>
        <v>0.1</v>
      </c>
      <c r="E5" s="98" t="str">
        <f>'Service Assurance Questionnaire'!E4</f>
        <v>How does the System translate Service  intents (e.g., throughput, latency, availability) into network actions and evaluate their fulfillment?</v>
      </c>
      <c r="F5" s="107">
        <v>4</v>
      </c>
      <c r="G5" s="107">
        <v>3</v>
      </c>
      <c r="H5" s="107">
        <v>2</v>
      </c>
      <c r="I5" s="107">
        <v>1</v>
      </c>
      <c r="J5" s="108" t="str">
        <f>'Service Assurance Questionnaire'!K4</f>
        <v>A</v>
      </c>
      <c r="K5" s="108" t="str">
        <f>'Service Assurance Questionnaire'!L4</f>
        <v>A</v>
      </c>
      <c r="L5" s="108" t="str">
        <f>'Service Assurance Questionnaire'!M4</f>
        <v>A</v>
      </c>
      <c r="M5" s="108">
        <f>IF(J5="A",F5,IF(J5="B",G5, IF(J5="C",H5, IF(J5="D",I5))))</f>
        <v>4</v>
      </c>
      <c r="N5" s="109">
        <f>M5</f>
        <v>4</v>
      </c>
      <c r="O5" s="260">
        <f>SUMPRODUCT(N5:N12,D5:D12)</f>
        <v>4.0000000000000009</v>
      </c>
      <c r="P5" s="108">
        <f>IF(K5="A",F5,IF(K5="B",G5, IF(K5="C",H5, IF(K5="D",I5))))</f>
        <v>4</v>
      </c>
      <c r="Q5" s="109">
        <f>P5</f>
        <v>4</v>
      </c>
      <c r="R5" s="269">
        <f>SUMPRODUCT(Q5:Q12,D5:D12)</f>
        <v>4.0000000000000009</v>
      </c>
      <c r="S5" s="108">
        <f>IF(L5="A",F5,IF(L5="B",G5, IF(L5="C",H5, IF(L5="D",I5))))</f>
        <v>4</v>
      </c>
      <c r="T5" s="109">
        <f>S5</f>
        <v>4</v>
      </c>
      <c r="U5" s="250">
        <f>SUMPRODUCT(T5:T12,D5:D12)</f>
        <v>4.0000000000000009</v>
      </c>
      <c r="V5" s="252">
        <f>(O5*M3+R5*P3+U5*S3)/(M3+P3+S3)</f>
        <v>4.0000000000000018</v>
      </c>
    </row>
    <row r="6" spans="1:22" s="23" customFormat="1" ht="55.25" customHeight="1">
      <c r="A6" s="237"/>
      <c r="B6" s="244" t="s">
        <v>28</v>
      </c>
      <c r="C6" s="112" t="str">
        <f>'Service Assurance Questionnaire'!C5</f>
        <v>Service Performance Monitoring &amp; degradation/outage detection</v>
      </c>
      <c r="D6" s="106">
        <f>'Service Assurance Questionnaire'!D5</f>
        <v>0.1</v>
      </c>
      <c r="E6" s="98" t="str">
        <f>'Service Assurance Questionnaire'!E5</f>
        <v>How does the System monitor Service KPIs (e.g., throughput, latency, availability, experience KPIs, VoLTE/VoNR call drop rate) and detect performance degradation, outage or anomalies?</v>
      </c>
      <c r="F6" s="14">
        <v>3</v>
      </c>
      <c r="G6" s="14">
        <v>2</v>
      </c>
      <c r="H6" s="14">
        <v>1</v>
      </c>
      <c r="I6" s="14">
        <v>0</v>
      </c>
      <c r="J6" s="108" t="str">
        <f>'Service Assurance Questionnaire'!K5</f>
        <v>A</v>
      </c>
      <c r="K6" s="108" t="str">
        <f>'Service Assurance Questionnaire'!L5</f>
        <v>A</v>
      </c>
      <c r="L6" s="108" t="str">
        <f>'Service Assurance Questionnaire'!M5</f>
        <v>A</v>
      </c>
      <c r="M6" s="100">
        <f t="shared" ref="M6:M12" si="0">IF(J6="A",F6,IF(J6="B",G6, IF(J6="C",H6, IF(J6="D",I6))))</f>
        <v>3</v>
      </c>
      <c r="N6" s="101">
        <f>IF(AND(M6=3,AVERAGE(M$5,M$7,M$8,M$9,M$10,M$11)&gt;3),AVERAGE(M$5,M$7,M$8,M$9,M$10,M$11),M6)</f>
        <v>4</v>
      </c>
      <c r="O6" s="261"/>
      <c r="P6" s="108">
        <f t="shared" ref="P6:P12" si="1">IF(K6="A",F6,IF(K6="B",G6, IF(K6="C",H6, IF(K6="D",I6))))</f>
        <v>3</v>
      </c>
      <c r="Q6" s="101">
        <f>IF(AND(P6=3,AVERAGE(P$5,P$7,P$8,P$9,P$10,P$11)&gt;3),AVERAGE(P$5,P$7,P$8,P$9,P$10,P$11),P6)</f>
        <v>4</v>
      </c>
      <c r="R6" s="270"/>
      <c r="S6" s="108">
        <f t="shared" ref="S6:S12" si="2">IF(L6="A",F6,IF(L6="B",G6, IF(L6="C",H6, IF(L6="D",I6))))</f>
        <v>3</v>
      </c>
      <c r="T6" s="101">
        <f>IF(AND(S6=3,AVERAGE(S$5,S$7,S$8,S$9,S$10,S$11)&gt;3),AVERAGE(S$5,S$7,S$8,S$9,S$10,S$11),S6)</f>
        <v>4</v>
      </c>
      <c r="U6" s="251"/>
      <c r="V6" s="253"/>
    </row>
    <row r="7" spans="1:22" s="23" customFormat="1" ht="40.4" customHeight="1">
      <c r="A7" s="237"/>
      <c r="B7" s="244"/>
      <c r="C7" s="112" t="str">
        <f>'Service Assurance Questionnaire'!C6</f>
        <v>Service Performance degradation Prediction</v>
      </c>
      <c r="D7" s="106">
        <f>'Service Assurance Questionnaire'!D6</f>
        <v>0.1</v>
      </c>
      <c r="E7" s="105" t="str">
        <f>'Service Assurance Questionnaire'!E6</f>
        <v>How does the System predict Service degradation (e.g., throughput, latency, availability, experience KPIs, VoLTE/VoNR call drop rate) and SLA violation ?</v>
      </c>
      <c r="F7" s="14">
        <v>4</v>
      </c>
      <c r="G7" s="14">
        <v>3</v>
      </c>
      <c r="H7" s="14">
        <v>2</v>
      </c>
      <c r="I7" s="14">
        <v>1</v>
      </c>
      <c r="J7" s="108" t="str">
        <f>'Service Assurance Questionnaire'!K6</f>
        <v>A</v>
      </c>
      <c r="K7" s="108" t="str">
        <f>'Service Assurance Questionnaire'!L6</f>
        <v>A</v>
      </c>
      <c r="L7" s="108" t="str">
        <f>'Service Assurance Questionnaire'!M6</f>
        <v>A</v>
      </c>
      <c r="M7" s="100">
        <f t="shared" si="0"/>
        <v>4</v>
      </c>
      <c r="N7" s="101">
        <f>M7</f>
        <v>4</v>
      </c>
      <c r="O7" s="261"/>
      <c r="P7" s="108">
        <f t="shared" si="1"/>
        <v>4</v>
      </c>
      <c r="Q7" s="101">
        <f>P7</f>
        <v>4</v>
      </c>
      <c r="R7" s="270"/>
      <c r="S7" s="108">
        <f t="shared" si="2"/>
        <v>4</v>
      </c>
      <c r="T7" s="101">
        <f>S7</f>
        <v>4</v>
      </c>
      <c r="U7" s="251"/>
      <c r="V7" s="253"/>
    </row>
    <row r="8" spans="1:22" s="23" customFormat="1" ht="40.4" customHeight="1">
      <c r="A8" s="237"/>
      <c r="B8" s="244" t="s">
        <v>29</v>
      </c>
      <c r="C8" s="112" t="str">
        <f>'Service Assurance Questionnaire'!C7</f>
        <v xml:space="preserve">Service Degradation Impact Analysis </v>
      </c>
      <c r="D8" s="106">
        <f>'Service Assurance Questionnaire'!D7</f>
        <v>0.1</v>
      </c>
      <c r="E8" s="105" t="str">
        <f>'Service Assurance Questionnaire'!E7</f>
        <v>How does the System identify and analyze the impact of Service degradation (e.g., throughput, latency, stability issues, experience deterioration,VoLTE/VoNR call drop rate) on user experience or SLA compliance?</v>
      </c>
      <c r="F8" s="14">
        <v>4</v>
      </c>
      <c r="G8" s="14">
        <v>3</v>
      </c>
      <c r="H8" s="14">
        <v>2</v>
      </c>
      <c r="I8" s="14">
        <v>1</v>
      </c>
      <c r="J8" s="108" t="str">
        <f>'Service Assurance Questionnaire'!K7</f>
        <v>A</v>
      </c>
      <c r="K8" s="108" t="str">
        <f>'Service Assurance Questionnaire'!L7</f>
        <v>A</v>
      </c>
      <c r="L8" s="108" t="str">
        <f>'Service Assurance Questionnaire'!M7</f>
        <v>A</v>
      </c>
      <c r="M8" s="100">
        <f t="shared" si="0"/>
        <v>4</v>
      </c>
      <c r="N8" s="101">
        <f>M8</f>
        <v>4</v>
      </c>
      <c r="O8" s="261"/>
      <c r="P8" s="108">
        <f t="shared" si="1"/>
        <v>4</v>
      </c>
      <c r="Q8" s="101">
        <f>P8</f>
        <v>4</v>
      </c>
      <c r="R8" s="270"/>
      <c r="S8" s="108">
        <f t="shared" si="2"/>
        <v>4</v>
      </c>
      <c r="T8" s="101">
        <f>S8</f>
        <v>4</v>
      </c>
      <c r="U8" s="251"/>
      <c r="V8" s="253"/>
    </row>
    <row r="9" spans="1:22" s="23" customFormat="1" ht="40.4" customHeight="1">
      <c r="A9" s="237"/>
      <c r="B9" s="244"/>
      <c r="C9" s="112" t="str">
        <f>'Service Assurance Questionnaire'!C8</f>
        <v>Service Degradation Demarcation &amp; Root Cause Analysis</v>
      </c>
      <c r="D9" s="106">
        <f>'Service Assurance Questionnaire'!D8</f>
        <v>0.15</v>
      </c>
      <c r="E9" s="105" t="str">
        <f>'Service Assurance Questionnaire'!E8</f>
        <v>How does the System isolate the root causes of Service degradation by analyzing contributing factors within or across network domains (e.g., RAN, transport, core), covering performance, stability, and experience-related issues?</v>
      </c>
      <c r="F9" s="14">
        <v>4</v>
      </c>
      <c r="G9" s="14">
        <v>3</v>
      </c>
      <c r="H9" s="14">
        <v>2</v>
      </c>
      <c r="I9" s="14">
        <v>1</v>
      </c>
      <c r="J9" s="108" t="str">
        <f>'Service Assurance Questionnaire'!K8</f>
        <v>A</v>
      </c>
      <c r="K9" s="108" t="str">
        <f>'Service Assurance Questionnaire'!L8</f>
        <v>A</v>
      </c>
      <c r="L9" s="108" t="str">
        <f>'Service Assurance Questionnaire'!M8</f>
        <v>A</v>
      </c>
      <c r="M9" s="100">
        <f t="shared" ref="M9" si="3">IF(J9="A",F9,IF(J9="B",G9, IF(J9="C",H9, IF(J9="D",I9))))</f>
        <v>4</v>
      </c>
      <c r="N9" s="101">
        <f>M9</f>
        <v>4</v>
      </c>
      <c r="O9" s="261"/>
      <c r="P9" s="108">
        <f t="shared" si="1"/>
        <v>4</v>
      </c>
      <c r="Q9" s="101">
        <f>P9</f>
        <v>4</v>
      </c>
      <c r="R9" s="270"/>
      <c r="S9" s="108">
        <f t="shared" si="2"/>
        <v>4</v>
      </c>
      <c r="T9" s="101">
        <f>S9</f>
        <v>4</v>
      </c>
      <c r="U9" s="251"/>
      <c r="V9" s="253"/>
    </row>
    <row r="10" spans="1:22" s="23" customFormat="1" ht="40.4" customHeight="1">
      <c r="A10" s="237"/>
      <c r="B10" s="244"/>
      <c r="C10" s="112" t="str">
        <f>'Service Assurance Questionnaire'!C9</f>
        <v xml:space="preserve">Solution Generation </v>
      </c>
      <c r="D10" s="106">
        <f>'Service Assurance Questionnaire'!D9</f>
        <v>0.15</v>
      </c>
      <c r="E10" s="105" t="str">
        <f>'Service Assurance Questionnaire'!E9</f>
        <v>How does the System generate solutions to address Service degradation (performance, stability, or experience) based on root cause analysis?</v>
      </c>
      <c r="F10" s="14">
        <v>4</v>
      </c>
      <c r="G10" s="14">
        <v>3</v>
      </c>
      <c r="H10" s="14">
        <v>2</v>
      </c>
      <c r="I10" s="14">
        <v>1</v>
      </c>
      <c r="J10" s="108" t="str">
        <f>'Service Assurance Questionnaire'!K9</f>
        <v>A</v>
      </c>
      <c r="K10" s="108" t="str">
        <f>'Service Assurance Questionnaire'!L9</f>
        <v>A</v>
      </c>
      <c r="L10" s="108" t="str">
        <f>'Service Assurance Questionnaire'!M9</f>
        <v>A</v>
      </c>
      <c r="M10" s="100">
        <f t="shared" si="0"/>
        <v>4</v>
      </c>
      <c r="N10" s="101">
        <f>M10</f>
        <v>4</v>
      </c>
      <c r="O10" s="261"/>
      <c r="P10" s="108">
        <f t="shared" si="1"/>
        <v>4</v>
      </c>
      <c r="Q10" s="101">
        <f>P10</f>
        <v>4</v>
      </c>
      <c r="R10" s="270"/>
      <c r="S10" s="108">
        <f t="shared" si="2"/>
        <v>4</v>
      </c>
      <c r="T10" s="101">
        <f>S10</f>
        <v>4</v>
      </c>
      <c r="U10" s="251"/>
      <c r="V10" s="253"/>
    </row>
    <row r="11" spans="1:22" s="23" customFormat="1" ht="40.4" customHeight="1">
      <c r="A11" s="237"/>
      <c r="B11" s="6" t="s">
        <v>31</v>
      </c>
      <c r="C11" s="112" t="str">
        <f>'Service Assurance Questionnaire'!C10</f>
        <v>Solution Evaluation &amp; Decision making</v>
      </c>
      <c r="D11" s="106">
        <f>'Service Assurance Questionnaire'!D10</f>
        <v>0.2</v>
      </c>
      <c r="E11" s="105" t="str">
        <f>'Service Assurance Questionnaire'!E10</f>
        <v xml:space="preserve">How does the System evaluate solutions and decide on the optimal solution to implement ?
</v>
      </c>
      <c r="F11" s="14">
        <v>4</v>
      </c>
      <c r="G11" s="14">
        <v>3</v>
      </c>
      <c r="H11" s="14">
        <v>2</v>
      </c>
      <c r="I11" s="14">
        <v>1</v>
      </c>
      <c r="J11" s="108" t="str">
        <f>'Service Assurance Questionnaire'!K10</f>
        <v>A</v>
      </c>
      <c r="K11" s="108" t="str">
        <f>'Service Assurance Questionnaire'!L10</f>
        <v>A</v>
      </c>
      <c r="L11" s="108" t="str">
        <f>'Service Assurance Questionnaire'!M10</f>
        <v>A</v>
      </c>
      <c r="M11" s="100">
        <f t="shared" si="0"/>
        <v>4</v>
      </c>
      <c r="N11" s="101">
        <f>M11</f>
        <v>4</v>
      </c>
      <c r="O11" s="261"/>
      <c r="P11" s="108">
        <f t="shared" si="1"/>
        <v>4</v>
      </c>
      <c r="Q11" s="101">
        <f>P11</f>
        <v>4</v>
      </c>
      <c r="R11" s="270"/>
      <c r="S11" s="108">
        <f t="shared" si="2"/>
        <v>4</v>
      </c>
      <c r="T11" s="101">
        <f>S11</f>
        <v>4</v>
      </c>
      <c r="U11" s="251"/>
      <c r="V11" s="253"/>
    </row>
    <row r="12" spans="1:22" s="23" customFormat="1" ht="40.4" customHeight="1">
      <c r="A12" s="237"/>
      <c r="B12" s="4" t="s">
        <v>33</v>
      </c>
      <c r="C12" s="112" t="str">
        <f>'Service Assurance Questionnaire'!C11</f>
        <v>Solution Implementation</v>
      </c>
      <c r="D12" s="106">
        <f>'Service Assurance Questionnaire'!D11</f>
        <v>0.1</v>
      </c>
      <c r="E12" s="105" t="str">
        <f>'Service Assurance Questionnaire'!E11</f>
        <v>How does the System implement solution and apply fallback mechanisms in case of solution failure?</v>
      </c>
      <c r="F12" s="14">
        <v>2</v>
      </c>
      <c r="G12" s="14">
        <v>1</v>
      </c>
      <c r="H12" s="14">
        <v>0</v>
      </c>
      <c r="I12" s="14">
        <v>0</v>
      </c>
      <c r="J12" s="108" t="str">
        <f>'Service Assurance Questionnaire'!K11</f>
        <v>A</v>
      </c>
      <c r="K12" s="108" t="str">
        <f>'Service Assurance Questionnaire'!L11</f>
        <v>A</v>
      </c>
      <c r="L12" s="108" t="str">
        <f>'Service Assurance Questionnaire'!M11</f>
        <v>A</v>
      </c>
      <c r="M12" s="100">
        <f t="shared" si="0"/>
        <v>2</v>
      </c>
      <c r="N12" s="101">
        <f>IF(AND(M12=2,AVERAGE(M$5,M$7,M$8,M$9,M$10,M$11)&gt;2),AVERAGE(M$5,M$7,M$8,M$9,M$10,M$11),M12)</f>
        <v>4</v>
      </c>
      <c r="O12" s="261"/>
      <c r="P12" s="108">
        <f t="shared" si="1"/>
        <v>2</v>
      </c>
      <c r="Q12" s="101">
        <f>IF(AND(P12=2,AVERAGE(P$5,P$7,P$8,P$9,P$10,P$11)&gt;2),AVERAGE(P$5,P$7,P$8,P$9,P$10,P$11),P12)</f>
        <v>4</v>
      </c>
      <c r="R12" s="270"/>
      <c r="S12" s="108">
        <f t="shared" si="2"/>
        <v>2</v>
      </c>
      <c r="T12" s="101">
        <f>IF(AND(S12=2,AVERAGE(S$5,S$7,S$8,S$9,S$10,S$11)&gt;2),AVERAGE(S$5,S$7,S$8,S$9,S$10,S$11),S12)</f>
        <v>4</v>
      </c>
      <c r="U12" s="251"/>
      <c r="V12" s="253"/>
    </row>
    <row r="13" spans="1:22" s="23" customFormat="1" ht="17.25" customHeight="1">
      <c r="B13" s="21" t="s">
        <v>55</v>
      </c>
      <c r="E13" s="40"/>
    </row>
    <row r="14" spans="1:22" s="23" customFormat="1" ht="10.4" customHeight="1">
      <c r="D14" s="102">
        <f>SUM(D5:D12)</f>
        <v>1.0000000000000002</v>
      </c>
      <c r="E14" s="40"/>
    </row>
    <row r="15" spans="1:22" s="23" customFormat="1" ht="10.4" customHeight="1">
      <c r="E15" s="40"/>
    </row>
    <row r="16" spans="1:22" s="23" customFormat="1" ht="13.5" customHeight="1">
      <c r="E16" s="40"/>
      <c r="O16" s="41"/>
      <c r="R16" s="41"/>
      <c r="U16" s="41"/>
    </row>
    <row r="17" spans="2:5" s="23" customFormat="1" ht="10.4" customHeight="1">
      <c r="E17" s="40"/>
    </row>
    <row r="18" spans="2:5" s="23" customFormat="1" ht="10.4" customHeight="1">
      <c r="E18" s="40"/>
    </row>
    <row r="19" spans="2:5" s="23" customFormat="1" ht="10.4" customHeight="1">
      <c r="E19" s="40"/>
    </row>
    <row r="20" spans="2:5" s="23" customFormat="1" ht="10.4" customHeight="1">
      <c r="B20" s="41"/>
      <c r="E20" s="40"/>
    </row>
    <row r="21" spans="2:5" s="23" customFormat="1" ht="10.4" customHeight="1">
      <c r="B21" s="41"/>
      <c r="E21" s="40"/>
    </row>
    <row r="22" spans="2:5" s="23" customFormat="1" ht="10.4" customHeight="1">
      <c r="B22" s="41"/>
      <c r="E22" s="40"/>
    </row>
    <row r="23" spans="2:5" s="23" customFormat="1" ht="10.4" customHeight="1">
      <c r="E23" s="40"/>
    </row>
    <row r="24" spans="2:5" s="23" customFormat="1" ht="10.4" customHeight="1">
      <c r="E24" s="40"/>
    </row>
    <row r="25" spans="2:5" s="23" customFormat="1" ht="10.4" customHeight="1">
      <c r="E25" s="40"/>
    </row>
    <row r="26" spans="2:5" s="23" customFormat="1" ht="10.4" customHeight="1">
      <c r="E26" s="40"/>
    </row>
    <row r="27" spans="2:5" s="23" customFormat="1" ht="10.4" customHeight="1">
      <c r="E27" s="40"/>
    </row>
    <row r="28" spans="2:5" s="23" customFormat="1" ht="10.4" customHeight="1">
      <c r="E28" s="40"/>
    </row>
    <row r="29" spans="2:5" s="23" customFormat="1" ht="10.4" customHeight="1">
      <c r="E29" s="40"/>
    </row>
    <row r="30" spans="2:5" s="23" customFormat="1" ht="10.4" customHeight="1">
      <c r="E30" s="40"/>
    </row>
    <row r="31" spans="2:5" s="23" customFormat="1" ht="10.4" customHeight="1">
      <c r="E31" s="40"/>
    </row>
    <row r="32" spans="2:5" s="23" customFormat="1" ht="10.4" customHeight="1">
      <c r="E32" s="40"/>
    </row>
    <row r="33" spans="5:5" s="23" customFormat="1" ht="10.4" customHeight="1">
      <c r="E33" s="40"/>
    </row>
    <row r="34" spans="5:5" s="23" customFormat="1" ht="10.4" customHeight="1">
      <c r="E34" s="40"/>
    </row>
    <row r="35" spans="5:5" s="23" customFormat="1" ht="10.4" customHeight="1">
      <c r="E35" s="40"/>
    </row>
    <row r="36" spans="5:5" s="23" customFormat="1" ht="10.4" customHeight="1">
      <c r="E36" s="40"/>
    </row>
    <row r="37" spans="5:5" s="23" customFormat="1" ht="10.4" customHeight="1">
      <c r="E37" s="40"/>
    </row>
    <row r="38" spans="5:5" s="23" customFormat="1" ht="10.4" customHeight="1">
      <c r="E38" s="40"/>
    </row>
  </sheetData>
  <sheetProtection formatCells="0" insertHyperlinks="0" autoFilter="0"/>
  <mergeCells count="22">
    <mergeCell ref="A5:A12"/>
    <mergeCell ref="O5:O12"/>
    <mergeCell ref="M2:O2"/>
    <mergeCell ref="B6:B7"/>
    <mergeCell ref="P2:R2"/>
    <mergeCell ref="P3:R3"/>
    <mergeCell ref="R5:R12"/>
    <mergeCell ref="F2:I3"/>
    <mergeCell ref="J2:L3"/>
    <mergeCell ref="M3:O3"/>
    <mergeCell ref="A1:A4"/>
    <mergeCell ref="F1:V1"/>
    <mergeCell ref="B8:B10"/>
    <mergeCell ref="S2:U2"/>
    <mergeCell ref="S3:U3"/>
    <mergeCell ref="U5:U12"/>
    <mergeCell ref="V5:V12"/>
    <mergeCell ref="V2:V4"/>
    <mergeCell ref="B1:B4"/>
    <mergeCell ref="C1:C4"/>
    <mergeCell ref="D1:D4"/>
    <mergeCell ref="E1:E4"/>
  </mergeCells>
  <pageMargins left="0.7" right="0.7" top="0.75" bottom="0.75" header="0.3" footer="0.3"/>
  <pageSetup paperSize="9" orientation="portrait" r:id="rId1"/>
  <ignoredErrors>
    <ignoredError sqref="N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4937-FBB2-41AB-827F-41D118795602}">
  <dimension ref="C3:F27"/>
  <sheetViews>
    <sheetView topLeftCell="A7" workbookViewId="0">
      <selection activeCell="C19" sqref="C19"/>
    </sheetView>
  </sheetViews>
  <sheetFormatPr defaultColWidth="8.81640625" defaultRowHeight="14"/>
  <cols>
    <col min="1" max="1" width="1" style="131" customWidth="1"/>
    <col min="2" max="2" width="8.81640625" style="131" bestFit="1" customWidth="1"/>
    <col min="3" max="3" width="9.453125" style="131" customWidth="1"/>
    <col min="4" max="6" width="36.453125" style="131" customWidth="1"/>
    <col min="7" max="16384" width="8.81640625" style="131"/>
  </cols>
  <sheetData>
    <row r="3" spans="3:6">
      <c r="C3" s="129"/>
      <c r="D3" s="130"/>
    </row>
    <row r="4" spans="3:6">
      <c r="C4" s="129"/>
      <c r="D4" s="130"/>
    </row>
    <row r="5" spans="3:6" s="129" customFormat="1">
      <c r="D5" s="132" t="s">
        <v>248</v>
      </c>
      <c r="E5" s="132" t="s">
        <v>249</v>
      </c>
      <c r="F5" s="132" t="s">
        <v>250</v>
      </c>
    </row>
    <row r="6" spans="3:6">
      <c r="D6" s="133" t="s">
        <v>251</v>
      </c>
      <c r="E6" s="133" t="s">
        <v>252</v>
      </c>
      <c r="F6" s="133" t="s">
        <v>253</v>
      </c>
    </row>
    <row r="7" spans="3:6" s="129" customFormat="1">
      <c r="D7" s="133" t="s">
        <v>254</v>
      </c>
      <c r="E7" s="133" t="s">
        <v>255</v>
      </c>
      <c r="F7" s="133" t="s">
        <v>256</v>
      </c>
    </row>
    <row r="8" spans="3:6" s="129" customFormat="1">
      <c r="D8" s="133" t="s">
        <v>257</v>
      </c>
      <c r="E8" s="133" t="s">
        <v>252</v>
      </c>
      <c r="F8" s="133" t="s">
        <v>256</v>
      </c>
    </row>
    <row r="9" spans="3:6" s="129" customFormat="1">
      <c r="D9" s="133" t="s">
        <v>261</v>
      </c>
      <c r="E9" s="133" t="s">
        <v>259</v>
      </c>
      <c r="F9" s="133" t="s">
        <v>260</v>
      </c>
    </row>
    <row r="10" spans="3:6" s="129" customFormat="1">
      <c r="D10" s="133" t="s">
        <v>258</v>
      </c>
      <c r="E10" s="133" t="s">
        <v>259</v>
      </c>
      <c r="F10" s="133" t="s">
        <v>346</v>
      </c>
    </row>
    <row r="11" spans="3:6" s="129" customFormat="1">
      <c r="D11" s="133" t="s">
        <v>262</v>
      </c>
      <c r="E11" s="133" t="s">
        <v>263</v>
      </c>
      <c r="F11" s="133" t="s">
        <v>264</v>
      </c>
    </row>
    <row r="12" spans="3:6" s="129" customFormat="1">
      <c r="D12" s="133" t="s">
        <v>265</v>
      </c>
      <c r="E12" s="133" t="s">
        <v>266</v>
      </c>
      <c r="F12" s="133" t="s">
        <v>264</v>
      </c>
    </row>
    <row r="13" spans="3:6" s="129" customFormat="1">
      <c r="D13" s="133" t="s">
        <v>267</v>
      </c>
      <c r="E13" s="133" t="s">
        <v>259</v>
      </c>
      <c r="F13" s="133" t="s">
        <v>264</v>
      </c>
    </row>
    <row r="14" spans="3:6" s="129" customFormat="1">
      <c r="D14" s="133" t="s">
        <v>268</v>
      </c>
      <c r="E14" s="133" t="s">
        <v>259</v>
      </c>
      <c r="F14" s="134" t="s">
        <v>269</v>
      </c>
    </row>
    <row r="15" spans="3:6" s="129" customFormat="1">
      <c r="D15" s="133" t="s">
        <v>366</v>
      </c>
      <c r="E15" s="133" t="s">
        <v>365</v>
      </c>
      <c r="F15" s="134" t="s">
        <v>269</v>
      </c>
    </row>
    <row r="16" spans="3:6" s="129" customFormat="1">
      <c r="D16" s="133" t="s">
        <v>270</v>
      </c>
      <c r="E16" s="133" t="s">
        <v>271</v>
      </c>
      <c r="F16" s="134" t="s">
        <v>269</v>
      </c>
    </row>
    <row r="17" spans="4:6" s="129" customFormat="1">
      <c r="D17" s="133" t="s">
        <v>272</v>
      </c>
      <c r="E17" s="133" t="s">
        <v>273</v>
      </c>
      <c r="F17" s="134" t="s">
        <v>269</v>
      </c>
    </row>
    <row r="18" spans="4:6" s="129" customFormat="1">
      <c r="D18" s="133" t="s">
        <v>274</v>
      </c>
      <c r="E18" s="135" t="s">
        <v>252</v>
      </c>
      <c r="F18" s="134" t="s">
        <v>269</v>
      </c>
    </row>
    <row r="19" spans="4:6" s="129" customFormat="1">
      <c r="D19" s="133" t="s">
        <v>275</v>
      </c>
      <c r="E19" s="135" t="s">
        <v>252</v>
      </c>
      <c r="F19" s="134" t="s">
        <v>269</v>
      </c>
    </row>
    <row r="20" spans="4:6" s="129" customFormat="1">
      <c r="D20" s="133" t="s">
        <v>311</v>
      </c>
      <c r="E20" s="135" t="s">
        <v>252</v>
      </c>
      <c r="F20" s="134" t="s">
        <v>269</v>
      </c>
    </row>
    <row r="21" spans="4:6" s="129" customFormat="1">
      <c r="D21" s="133" t="s">
        <v>276</v>
      </c>
      <c r="E21" s="133" t="s">
        <v>259</v>
      </c>
      <c r="F21" s="134" t="s">
        <v>269</v>
      </c>
    </row>
    <row r="22" spans="4:6" s="129" customFormat="1">
      <c r="D22" s="134" t="s">
        <v>277</v>
      </c>
      <c r="E22" s="134" t="s">
        <v>278</v>
      </c>
      <c r="F22" s="134" t="s">
        <v>269</v>
      </c>
    </row>
    <row r="23" spans="4:6" s="129" customFormat="1">
      <c r="D23" s="134" t="s">
        <v>280</v>
      </c>
      <c r="E23" s="134" t="s">
        <v>278</v>
      </c>
      <c r="F23" s="134" t="s">
        <v>269</v>
      </c>
    </row>
    <row r="24" spans="4:6" s="129" customFormat="1">
      <c r="D24" s="131"/>
      <c r="E24" s="131"/>
      <c r="F24" s="131"/>
    </row>
    <row r="25" spans="4:6" s="129" customFormat="1" ht="14.5">
      <c r="D25" s="136" t="s">
        <v>279</v>
      </c>
      <c r="E25" s="131"/>
      <c r="F25" s="131"/>
    </row>
    <row r="26" spans="4:6" ht="20.25" customHeight="1"/>
    <row r="27" spans="4:6" s="129" customFormat="1">
      <c r="F27" s="131"/>
    </row>
  </sheetData>
  <sheetProtection formatCells="0" insertHyperlinks="0" autoFilter="0"/>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topLeftCell="C1" zoomScale="90" zoomScaleNormal="90" workbookViewId="0">
      <pane ySplit="1" topLeftCell="A2" activePane="bottomLeft" state="frozen"/>
      <selection pane="bottomLeft" activeCell="I11" sqref="I11"/>
    </sheetView>
  </sheetViews>
  <sheetFormatPr defaultColWidth="8.81640625" defaultRowHeight="12"/>
  <cols>
    <col min="1" max="1" width="10.81640625" style="5" customWidth="1"/>
    <col min="2" max="2" width="10.1796875" style="5" customWidth="1"/>
    <col min="3" max="3" width="17.453125" style="5" customWidth="1"/>
    <col min="4" max="4" width="8.1796875" style="5" customWidth="1"/>
    <col min="5" max="5" width="41.81640625" style="5" customWidth="1"/>
    <col min="6" max="6" width="22.1796875" style="5" customWidth="1"/>
    <col min="7" max="7" width="20.1796875" style="5" customWidth="1"/>
    <col min="8" max="8" width="17.1796875" style="5" customWidth="1"/>
    <col min="9" max="9" width="17.453125" style="5" customWidth="1"/>
    <col min="10" max="10" width="40.1796875" style="5" hidden="1" customWidth="1"/>
    <col min="11" max="14" width="8.81640625" style="5" hidden="1" customWidth="1"/>
    <col min="15" max="15" width="8.81640625" style="5" customWidth="1"/>
    <col min="16" max="16" width="19.1796875" style="22" customWidth="1"/>
    <col min="17" max="17" width="26" style="22" customWidth="1"/>
    <col min="18" max="16384" width="8.81640625" style="5"/>
  </cols>
  <sheetData>
    <row r="1" spans="1:17" ht="24">
      <c r="A1" s="1" t="s">
        <v>57</v>
      </c>
      <c r="B1" s="1" t="s">
        <v>58</v>
      </c>
      <c r="C1" s="2" t="s">
        <v>59</v>
      </c>
      <c r="D1" s="2" t="s">
        <v>60</v>
      </c>
      <c r="E1" s="1" t="s">
        <v>38</v>
      </c>
      <c r="F1" s="1" t="s">
        <v>39</v>
      </c>
      <c r="G1" s="1" t="s">
        <v>40</v>
      </c>
      <c r="H1" s="1" t="s">
        <v>41</v>
      </c>
      <c r="I1" s="1" t="s">
        <v>42</v>
      </c>
      <c r="J1" s="3" t="s">
        <v>43</v>
      </c>
      <c r="K1" s="1" t="s">
        <v>39</v>
      </c>
      <c r="L1" s="1" t="s">
        <v>40</v>
      </c>
      <c r="M1" s="1" t="s">
        <v>41</v>
      </c>
      <c r="N1" s="1" t="s">
        <v>42</v>
      </c>
      <c r="O1" s="1" t="s">
        <v>44</v>
      </c>
      <c r="P1" s="4" t="s">
        <v>46</v>
      </c>
      <c r="Q1" s="4" t="s">
        <v>45</v>
      </c>
    </row>
    <row r="2" spans="1:17">
      <c r="A2" s="219" t="s">
        <v>61</v>
      </c>
      <c r="B2" s="6" t="s">
        <v>26</v>
      </c>
      <c r="C2" s="7" t="s">
        <v>26</v>
      </c>
      <c r="D2" s="8">
        <v>0</v>
      </c>
      <c r="E2" s="1" t="s">
        <v>62</v>
      </c>
      <c r="F2" s="1" t="s">
        <v>63</v>
      </c>
      <c r="G2" s="1" t="s">
        <v>63</v>
      </c>
      <c r="H2" s="1" t="s">
        <v>63</v>
      </c>
      <c r="I2" s="1" t="s">
        <v>63</v>
      </c>
      <c r="J2" s="9"/>
      <c r="K2" s="1"/>
      <c r="L2" s="1"/>
      <c r="M2" s="1"/>
      <c r="N2" s="1"/>
      <c r="O2" s="1"/>
      <c r="P2" s="6"/>
      <c r="Q2" s="6"/>
    </row>
    <row r="3" spans="1:17" s="18" customFormat="1" ht="37.5" customHeight="1">
      <c r="A3" s="220"/>
      <c r="B3" s="6" t="s">
        <v>28</v>
      </c>
      <c r="C3" s="7" t="s">
        <v>64</v>
      </c>
      <c r="D3" s="10">
        <v>0.1</v>
      </c>
      <c r="E3" s="11" t="s">
        <v>65</v>
      </c>
      <c r="F3" s="11" t="s">
        <v>66</v>
      </c>
      <c r="G3" s="11" t="s">
        <v>67</v>
      </c>
      <c r="H3" s="11" t="s">
        <v>68</v>
      </c>
      <c r="I3" s="12"/>
      <c r="J3" s="13" t="s">
        <v>69</v>
      </c>
      <c r="K3" s="14">
        <v>3</v>
      </c>
      <c r="L3" s="14">
        <v>2</v>
      </c>
      <c r="M3" s="14">
        <v>1</v>
      </c>
      <c r="N3" s="15"/>
      <c r="O3" s="16" t="s">
        <v>47</v>
      </c>
      <c r="P3" s="17"/>
      <c r="Q3" s="17"/>
    </row>
    <row r="4" spans="1:17" s="18" customFormat="1" ht="33" customHeight="1">
      <c r="A4" s="220"/>
      <c r="B4" s="244" t="s">
        <v>29</v>
      </c>
      <c r="C4" s="7" t="s">
        <v>70</v>
      </c>
      <c r="D4" s="10">
        <v>0.1</v>
      </c>
      <c r="E4" s="11" t="s">
        <v>71</v>
      </c>
      <c r="F4" s="11" t="s">
        <v>72</v>
      </c>
      <c r="G4" s="11" t="s">
        <v>73</v>
      </c>
      <c r="H4" s="11" t="s">
        <v>74</v>
      </c>
      <c r="I4" s="12"/>
      <c r="J4" s="13" t="s">
        <v>75</v>
      </c>
      <c r="K4" s="14">
        <v>3</v>
      </c>
      <c r="L4" s="14">
        <v>2</v>
      </c>
      <c r="M4" s="14">
        <v>1</v>
      </c>
      <c r="N4" s="15"/>
      <c r="O4" s="16" t="s">
        <v>47</v>
      </c>
      <c r="P4" s="17"/>
      <c r="Q4" s="17"/>
    </row>
    <row r="5" spans="1:17" s="18" customFormat="1" ht="34.5" customHeight="1">
      <c r="A5" s="220"/>
      <c r="B5" s="244"/>
      <c r="C5" s="7" t="s">
        <v>76</v>
      </c>
      <c r="D5" s="10">
        <v>0.1</v>
      </c>
      <c r="E5" s="11" t="s">
        <v>77</v>
      </c>
      <c r="F5" s="11" t="s">
        <v>78</v>
      </c>
      <c r="G5" s="11" t="s">
        <v>79</v>
      </c>
      <c r="H5" s="11" t="s">
        <v>80</v>
      </c>
      <c r="I5" s="11" t="s">
        <v>81</v>
      </c>
      <c r="J5" s="13" t="s">
        <v>82</v>
      </c>
      <c r="K5" s="14">
        <v>4</v>
      </c>
      <c r="L5" s="14">
        <v>3</v>
      </c>
      <c r="M5" s="14">
        <v>2</v>
      </c>
      <c r="N5" s="14">
        <v>1</v>
      </c>
      <c r="O5" s="16" t="s">
        <v>47</v>
      </c>
      <c r="P5" s="17"/>
      <c r="Q5" s="17"/>
    </row>
    <row r="6" spans="1:17" s="18" customFormat="1" ht="38.9" customHeight="1">
      <c r="A6" s="220"/>
      <c r="B6" s="244"/>
      <c r="C6" s="7" t="s">
        <v>83</v>
      </c>
      <c r="D6" s="10">
        <v>0.15</v>
      </c>
      <c r="E6" s="11" t="s">
        <v>84</v>
      </c>
      <c r="F6" s="11" t="s">
        <v>85</v>
      </c>
      <c r="G6" s="11" t="s">
        <v>86</v>
      </c>
      <c r="H6" s="11" t="s">
        <v>87</v>
      </c>
      <c r="I6" s="11" t="s">
        <v>88</v>
      </c>
      <c r="J6" s="19" t="s">
        <v>89</v>
      </c>
      <c r="K6" s="14">
        <v>4</v>
      </c>
      <c r="L6" s="14">
        <v>3</v>
      </c>
      <c r="M6" s="14">
        <v>2</v>
      </c>
      <c r="N6" s="14">
        <v>1</v>
      </c>
      <c r="O6" s="16" t="s">
        <v>47</v>
      </c>
      <c r="P6" s="17"/>
      <c r="Q6" s="17"/>
    </row>
    <row r="7" spans="1:17" s="18" customFormat="1" ht="32.9" customHeight="1">
      <c r="A7" s="220"/>
      <c r="B7" s="244"/>
      <c r="C7" s="7" t="s">
        <v>90</v>
      </c>
      <c r="D7" s="10">
        <v>0.15</v>
      </c>
      <c r="E7" s="11" t="s">
        <v>91</v>
      </c>
      <c r="F7" s="11" t="s">
        <v>92</v>
      </c>
      <c r="G7" s="11" t="s">
        <v>93</v>
      </c>
      <c r="H7" s="11" t="s">
        <v>94</v>
      </c>
      <c r="I7" s="11" t="s">
        <v>95</v>
      </c>
      <c r="J7" s="19" t="s">
        <v>89</v>
      </c>
      <c r="K7" s="14">
        <v>4</v>
      </c>
      <c r="L7" s="14">
        <v>3</v>
      </c>
      <c r="M7" s="14">
        <v>2</v>
      </c>
      <c r="N7" s="14">
        <v>1</v>
      </c>
      <c r="O7" s="16" t="s">
        <v>47</v>
      </c>
      <c r="P7" s="17"/>
      <c r="Q7" s="17"/>
    </row>
    <row r="8" spans="1:17" s="18" customFormat="1" ht="36" customHeight="1">
      <c r="A8" s="220"/>
      <c r="B8" s="219" t="s">
        <v>31</v>
      </c>
      <c r="C8" s="20" t="s">
        <v>96</v>
      </c>
      <c r="D8" s="10">
        <v>0.1</v>
      </c>
      <c r="E8" s="11" t="s">
        <v>97</v>
      </c>
      <c r="F8" s="11" t="s">
        <v>98</v>
      </c>
      <c r="G8" s="11" t="s">
        <v>99</v>
      </c>
      <c r="H8" s="11" t="s">
        <v>100</v>
      </c>
      <c r="I8" s="11" t="s">
        <v>101</v>
      </c>
      <c r="J8" s="19" t="s">
        <v>102</v>
      </c>
      <c r="K8" s="14">
        <v>4</v>
      </c>
      <c r="L8" s="14">
        <v>3</v>
      </c>
      <c r="M8" s="14">
        <v>2</v>
      </c>
      <c r="N8" s="14">
        <v>1</v>
      </c>
      <c r="O8" s="16" t="s">
        <v>47</v>
      </c>
      <c r="P8" s="17"/>
      <c r="Q8" s="17"/>
    </row>
    <row r="9" spans="1:17" s="18" customFormat="1" ht="37.4" customHeight="1">
      <c r="A9" s="220"/>
      <c r="B9" s="221"/>
      <c r="C9" s="7" t="s">
        <v>103</v>
      </c>
      <c r="D9" s="10">
        <v>0.1</v>
      </c>
      <c r="E9" s="11" t="s">
        <v>104</v>
      </c>
      <c r="F9" s="11" t="s">
        <v>105</v>
      </c>
      <c r="G9" s="11" t="s">
        <v>106</v>
      </c>
      <c r="H9" s="11" t="s">
        <v>107</v>
      </c>
      <c r="I9" s="11" t="s">
        <v>108</v>
      </c>
      <c r="J9" s="19" t="s">
        <v>109</v>
      </c>
      <c r="K9" s="14">
        <v>4</v>
      </c>
      <c r="L9" s="14">
        <v>3</v>
      </c>
      <c r="M9" s="14">
        <v>2</v>
      </c>
      <c r="N9" s="14">
        <v>1</v>
      </c>
      <c r="O9" s="16" t="s">
        <v>47</v>
      </c>
      <c r="P9" s="17"/>
      <c r="Q9" s="17"/>
    </row>
    <row r="10" spans="1:17" s="18" customFormat="1" ht="35.15" customHeight="1">
      <c r="A10" s="220"/>
      <c r="B10" s="290" t="s">
        <v>33</v>
      </c>
      <c r="C10" s="7" t="s">
        <v>110</v>
      </c>
      <c r="D10" s="10">
        <v>0.1</v>
      </c>
      <c r="E10" s="11" t="s">
        <v>111</v>
      </c>
      <c r="F10" s="11" t="s">
        <v>112</v>
      </c>
      <c r="G10" s="11" t="s">
        <v>113</v>
      </c>
      <c r="H10" s="12"/>
      <c r="I10" s="12"/>
      <c r="J10" s="19" t="s">
        <v>114</v>
      </c>
      <c r="K10" s="14">
        <v>2</v>
      </c>
      <c r="L10" s="14">
        <v>1</v>
      </c>
      <c r="M10" s="15"/>
      <c r="N10" s="15"/>
      <c r="O10" s="16" t="s">
        <v>47</v>
      </c>
      <c r="P10" s="17"/>
      <c r="Q10" s="17"/>
    </row>
    <row r="11" spans="1:17" s="18" customFormat="1" ht="38.15" customHeight="1">
      <c r="A11" s="221"/>
      <c r="B11" s="244"/>
      <c r="C11" s="7" t="s">
        <v>115</v>
      </c>
      <c r="D11" s="10">
        <v>0.1</v>
      </c>
      <c r="E11" s="11" t="s">
        <v>116</v>
      </c>
      <c r="F11" s="11" t="s">
        <v>117</v>
      </c>
      <c r="G11" s="11" t="s">
        <v>118</v>
      </c>
      <c r="H11" s="11" t="s">
        <v>119</v>
      </c>
      <c r="I11" s="12"/>
      <c r="J11" s="12" t="s">
        <v>120</v>
      </c>
      <c r="K11" s="14">
        <v>4</v>
      </c>
      <c r="L11" s="14">
        <v>3</v>
      </c>
      <c r="M11" s="14">
        <v>2</v>
      </c>
      <c r="N11" s="14">
        <v>1</v>
      </c>
      <c r="O11" s="16" t="s">
        <v>47</v>
      </c>
      <c r="P11" s="17"/>
      <c r="Q11" s="17"/>
    </row>
    <row r="12" spans="1:17">
      <c r="A12" s="21" t="s">
        <v>48</v>
      </c>
    </row>
  </sheetData>
  <sheetProtection formatCells="0" insertHyperlinks="0" autoFilter="0"/>
  <mergeCells count="4">
    <mergeCell ref="A2:A11"/>
    <mergeCell ref="B4:B7"/>
    <mergeCell ref="B8:B9"/>
    <mergeCell ref="B10:B11"/>
  </mergeCells>
  <phoneticPr fontId="10" type="noConversion"/>
  <dataValidations count="3">
    <dataValidation type="list" allowBlank="1" showInputMessage="1" showErrorMessage="1" sqref="O3:O4" xr:uid="{00000000-0002-0000-0100-000000000000}">
      <formula1>"A,B,C"</formula1>
    </dataValidation>
    <dataValidation type="list" allowBlank="1" showInputMessage="1" showErrorMessage="1" sqref="O11 O5:O9" xr:uid="{00000000-0002-0000-0100-000001000000}">
      <formula1>"A,B,C,D"</formula1>
    </dataValidation>
    <dataValidation type="list" allowBlank="1" showInputMessage="1" showErrorMessage="1" sqref="O10" xr:uid="{00000000-0002-0000-0100-000002000000}">
      <formula1>"A,B"</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0"/>
  <sheetViews>
    <sheetView showGridLines="0" topLeftCell="A5" zoomScaleNormal="100" workbookViewId="0">
      <selection activeCell="L5" sqref="L5"/>
    </sheetView>
  </sheetViews>
  <sheetFormatPr defaultColWidth="9" defaultRowHeight="12"/>
  <cols>
    <col min="1" max="1" width="9.1796875" style="41" customWidth="1"/>
    <col min="2" max="2" width="10" style="41" customWidth="1"/>
    <col min="3" max="3" width="15" style="41" customWidth="1"/>
    <col min="4" max="4" width="7.81640625" style="41" customWidth="1"/>
    <col min="5" max="5" width="36.1796875" style="28" customWidth="1"/>
    <col min="6" max="6" width="9.1796875" style="41" customWidth="1"/>
    <col min="7" max="7" width="6.81640625" style="41" customWidth="1"/>
    <col min="8" max="8" width="6.453125" style="41" customWidth="1"/>
    <col min="9" max="9" width="10" style="41" customWidth="1"/>
    <col min="10" max="10" width="6.81640625" style="41" customWidth="1"/>
    <col min="11" max="11" width="7.81640625" style="41" customWidth="1"/>
    <col min="12" max="12" width="8.81640625" style="41" customWidth="1"/>
    <col min="13" max="13" width="8.453125" style="41" customWidth="1"/>
    <col min="14" max="14" width="9.1796875" style="41" customWidth="1"/>
    <col min="15" max="24" width="9" style="41" customWidth="1"/>
    <col min="25" max="25" width="13.81640625" style="41" customWidth="1"/>
    <col min="26" max="26" width="10.81640625" style="41" customWidth="1"/>
    <col min="27" max="28" width="9" style="41" customWidth="1"/>
    <col min="29" max="29" width="15.1796875" style="41" customWidth="1"/>
    <col min="30" max="16384" width="9" style="41"/>
  </cols>
  <sheetData>
    <row r="1" spans="1:29" s="23" customFormat="1" ht="15" customHeight="1">
      <c r="A1" s="291" t="s">
        <v>121</v>
      </c>
      <c r="B1" s="291" t="s">
        <v>22</v>
      </c>
      <c r="C1" s="291" t="s">
        <v>23</v>
      </c>
      <c r="D1" s="291" t="s">
        <v>37</v>
      </c>
      <c r="E1" s="291" t="s">
        <v>24</v>
      </c>
      <c r="F1" s="308" t="s">
        <v>122</v>
      </c>
      <c r="G1" s="308"/>
      <c r="H1" s="308"/>
      <c r="I1" s="308"/>
      <c r="J1" s="308"/>
      <c r="K1" s="308"/>
      <c r="L1" s="308"/>
      <c r="M1" s="308"/>
      <c r="N1" s="309" t="s">
        <v>123</v>
      </c>
      <c r="O1" s="309"/>
      <c r="P1" s="309"/>
      <c r="Q1" s="309"/>
      <c r="R1" s="309"/>
      <c r="S1" s="309"/>
      <c r="T1" s="309"/>
      <c r="U1" s="309"/>
      <c r="V1" s="309"/>
      <c r="W1" s="309"/>
      <c r="X1" s="309"/>
      <c r="Y1" s="309"/>
      <c r="Z1" s="309"/>
      <c r="AA1" s="309"/>
      <c r="AB1" s="309"/>
    </row>
    <row r="2" spans="1:29" s="23" customFormat="1" ht="15" customHeight="1">
      <c r="A2" s="291"/>
      <c r="B2" s="291"/>
      <c r="C2" s="291"/>
      <c r="D2" s="291"/>
      <c r="E2" s="291"/>
      <c r="F2" s="308" t="s">
        <v>50</v>
      </c>
      <c r="G2" s="308"/>
      <c r="H2" s="308"/>
      <c r="I2" s="308"/>
      <c r="J2" s="306" t="s">
        <v>44</v>
      </c>
      <c r="K2" s="308" t="s">
        <v>124</v>
      </c>
      <c r="L2" s="308"/>
      <c r="M2" s="308"/>
      <c r="N2" s="309" t="s">
        <v>50</v>
      </c>
      <c r="O2" s="309"/>
      <c r="P2" s="309"/>
      <c r="Q2" s="309"/>
      <c r="R2" s="309"/>
      <c r="S2" s="313" t="s">
        <v>44</v>
      </c>
      <c r="T2" s="310" t="s">
        <v>124</v>
      </c>
      <c r="U2" s="311"/>
      <c r="V2" s="311"/>
      <c r="W2" s="311"/>
      <c r="X2" s="311"/>
      <c r="Y2" s="311"/>
      <c r="Z2" s="311"/>
      <c r="AA2" s="311"/>
      <c r="AB2" s="312"/>
    </row>
    <row r="3" spans="1:29" s="23" customFormat="1" ht="59.9" customHeight="1">
      <c r="A3" s="291"/>
      <c r="B3" s="291"/>
      <c r="C3" s="291"/>
      <c r="D3" s="291"/>
      <c r="E3" s="291"/>
      <c r="F3" s="24" t="s">
        <v>39</v>
      </c>
      <c r="G3" s="24" t="s">
        <v>40</v>
      </c>
      <c r="H3" s="24" t="s">
        <v>41</v>
      </c>
      <c r="I3" s="24" t="s">
        <v>42</v>
      </c>
      <c r="J3" s="306"/>
      <c r="K3" s="25" t="s">
        <v>52</v>
      </c>
      <c r="L3" s="25" t="s">
        <v>53</v>
      </c>
      <c r="M3" s="24" t="s">
        <v>54</v>
      </c>
      <c r="N3" s="26" t="s">
        <v>125</v>
      </c>
      <c r="O3" s="26" t="s">
        <v>126</v>
      </c>
      <c r="P3" s="26" t="s">
        <v>127</v>
      </c>
      <c r="Q3" s="26" t="s">
        <v>128</v>
      </c>
      <c r="R3" s="26" t="s">
        <v>129</v>
      </c>
      <c r="S3" s="314"/>
      <c r="T3" s="27" t="s">
        <v>130</v>
      </c>
      <c r="U3" s="27" t="s">
        <v>131</v>
      </c>
      <c r="V3" s="27" t="s">
        <v>132</v>
      </c>
      <c r="W3" s="27" t="s">
        <v>133</v>
      </c>
      <c r="X3" s="26" t="s">
        <v>134</v>
      </c>
      <c r="Y3" s="27" t="s">
        <v>135</v>
      </c>
      <c r="Z3" s="27" t="s">
        <v>136</v>
      </c>
      <c r="AA3" s="26" t="s">
        <v>137</v>
      </c>
      <c r="AB3" s="26" t="s">
        <v>54</v>
      </c>
      <c r="AC3" s="28"/>
    </row>
    <row r="4" spans="1:29" s="23" customFormat="1" ht="29.25" customHeight="1">
      <c r="A4" s="292" t="s">
        <v>138</v>
      </c>
      <c r="B4" s="29" t="s">
        <v>28</v>
      </c>
      <c r="C4" s="30" t="s">
        <v>139</v>
      </c>
      <c r="D4" s="31">
        <v>0.1</v>
      </c>
      <c r="E4" s="32" t="s">
        <v>140</v>
      </c>
      <c r="F4" s="33">
        <v>3</v>
      </c>
      <c r="G4" s="30">
        <v>2</v>
      </c>
      <c r="H4" s="30">
        <v>1</v>
      </c>
      <c r="I4" s="34"/>
      <c r="J4" s="35" t="str">
        <f>'Core Network Fault Management_O'!O3</f>
        <v>A</v>
      </c>
      <c r="K4" s="35">
        <f>IF(J4="A",F4,IF(J4="B",G4, IF(J4="C",H4, IF(J4="D",I4))))</f>
        <v>3</v>
      </c>
      <c r="L4" s="36">
        <f>IF(AND(K4=3,AVERAGE(K6:K10,K12:K12)&gt;3),AVERAGE(K6:K10,K12:K12),K4)</f>
        <v>4</v>
      </c>
      <c r="M4" s="307">
        <f>SUMPRODUCT(L4:L12,D4:D12)</f>
        <v>4</v>
      </c>
      <c r="N4" s="37"/>
      <c r="O4" s="35" t="s">
        <v>141</v>
      </c>
      <c r="P4" s="35" t="s">
        <v>56</v>
      </c>
      <c r="Q4" s="35" t="s">
        <v>47</v>
      </c>
      <c r="R4" s="35" t="s">
        <v>47</v>
      </c>
      <c r="S4" s="35" t="s">
        <v>47</v>
      </c>
      <c r="T4" s="38">
        <f>IF(S4&lt;=O4,1,0)</f>
        <v>1</v>
      </c>
      <c r="U4" s="38">
        <f>IF(S4&lt;=P4,1,0)</f>
        <v>1</v>
      </c>
      <c r="V4" s="38">
        <f>IF(S4&lt;=Q4,1,0)</f>
        <v>1</v>
      </c>
      <c r="W4" s="38">
        <f>IF(S4&lt;=R4,1,0)</f>
        <v>1</v>
      </c>
      <c r="X4" s="296">
        <f>IF(AVERAGE(W4:W12)=1,4,IF(AVERAGE(V4:V12)=1,3,IF(AVERAGE(U4:U12)=1,2,IF(AVERAGE(T4:T12)=1,1,0))))</f>
        <v>4</v>
      </c>
      <c r="Y4" s="35" cm="1">
        <f t="array" ref="Y4">_xlfn.SWITCH(X4, 0, IF(O4&lt;N4,1,0),1, IF(P4&lt;O4,1,0), 2, IF(Q4&lt;P4,1,0), 3, IF(R4&lt;Q4,1,0),4,0)</f>
        <v>0</v>
      </c>
      <c r="Z4" s="35" cm="1">
        <f t="array" ref="Z4">IF(Y4&gt;0,_xlfn.SWITCH(X4,0,IF(S4&lt;=O4,1,0), 1,IF(S4&lt;=P4,1,0),2,IF(S4&lt;=Q4,1,0),3,IF(S4&lt;=R4,1,0)),0)</f>
        <v>0</v>
      </c>
      <c r="AA4" s="299">
        <f>IF(X4=4,0,SUMPRODUCT(Z4:Z12,D4:D12))/IF(SUMPRODUCT(Y4:Y12,D4:D12)=0,1,SUMPRODUCT(Y4:Y12,D4:D12))</f>
        <v>0</v>
      </c>
      <c r="AB4" s="302">
        <f>AA4+X4</f>
        <v>4</v>
      </c>
      <c r="AC4" s="305"/>
    </row>
    <row r="5" spans="1:29" s="23" customFormat="1" ht="29.25" customHeight="1">
      <c r="A5" s="292"/>
      <c r="B5" s="293" t="s">
        <v>29</v>
      </c>
      <c r="C5" s="30" t="s">
        <v>142</v>
      </c>
      <c r="D5" s="31">
        <v>0.1</v>
      </c>
      <c r="E5" s="32" t="s">
        <v>143</v>
      </c>
      <c r="F5" s="33">
        <v>3</v>
      </c>
      <c r="G5" s="30">
        <v>2</v>
      </c>
      <c r="H5" s="30">
        <v>1</v>
      </c>
      <c r="I5" s="34"/>
      <c r="J5" s="35" t="str">
        <f>'Core Network Fault Management_O'!O4</f>
        <v>A</v>
      </c>
      <c r="K5" s="35">
        <f t="shared" ref="K5:K12" si="0">IF(J5="A",F5,IF(J5="B",G5, IF(J5="C",H5, IF(J5="D",I5))))</f>
        <v>3</v>
      </c>
      <c r="L5" s="36">
        <f>IF(AND(K5=3,AVERAGE(K6:K10,K12:K12)&gt;3),AVERAGE(K6:K10,K12:K12),K5)</f>
        <v>4</v>
      </c>
      <c r="M5" s="307"/>
      <c r="N5" s="37"/>
      <c r="O5" s="35" t="s">
        <v>141</v>
      </c>
      <c r="P5" s="35" t="s">
        <v>56</v>
      </c>
      <c r="Q5" s="35" t="s">
        <v>47</v>
      </c>
      <c r="R5" s="35" t="s">
        <v>47</v>
      </c>
      <c r="S5" s="35" t="str">
        <f t="shared" ref="S5:S12" si="1">J5</f>
        <v>A</v>
      </c>
      <c r="T5" s="38">
        <f t="shared" ref="T5:T12" si="2">IF(S5&lt;=O5,1,0)</f>
        <v>1</v>
      </c>
      <c r="U5" s="38">
        <f t="shared" ref="U5:U12" si="3">IF(S5&lt;=P5,1,0)</f>
        <v>1</v>
      </c>
      <c r="V5" s="38">
        <f t="shared" ref="V5:V12" si="4">IF(S5&lt;=Q5,1,0)</f>
        <v>1</v>
      </c>
      <c r="W5" s="38">
        <f t="shared" ref="W5:W12" si="5">IF(S5&lt;=R5,1,0)</f>
        <v>1</v>
      </c>
      <c r="X5" s="297"/>
      <c r="Y5" s="35" cm="1">
        <f t="array" ref="Y5">_xlfn.SWITCH(X4, 0, IF(O5&lt;N5,1,0),1, IF(P5&lt;O5,1,0), 2, IF(Q5&lt;P5,1,0), 3, IF(R5&lt;Q5,1,0),4,0)</f>
        <v>0</v>
      </c>
      <c r="Z5" s="35" cm="1">
        <f t="array" ref="Z5">IF(Y5&gt;0,_xlfn.SWITCH(X4,0,IF(S5&lt;=O5,1,0), 1,IF(S5&lt;=P5,1,0),2,IF(S5&lt;=Q5,1,0),3,IF(S5&lt;=R5,1,0)),0)</f>
        <v>0</v>
      </c>
      <c r="AA5" s="300"/>
      <c r="AB5" s="303"/>
      <c r="AC5" s="305"/>
    </row>
    <row r="6" spans="1:29" s="23" customFormat="1" ht="29.25" customHeight="1">
      <c r="A6" s="292"/>
      <c r="B6" s="293"/>
      <c r="C6" s="30" t="s">
        <v>144</v>
      </c>
      <c r="D6" s="31">
        <v>0.1</v>
      </c>
      <c r="E6" s="32" t="s">
        <v>145</v>
      </c>
      <c r="F6" s="30">
        <v>4</v>
      </c>
      <c r="G6" s="30">
        <v>3</v>
      </c>
      <c r="H6" s="30">
        <v>2</v>
      </c>
      <c r="I6" s="30">
        <v>1</v>
      </c>
      <c r="J6" s="35" t="str">
        <f>'Core Network Fault Management_O'!O5</f>
        <v>A</v>
      </c>
      <c r="K6" s="35">
        <f t="shared" si="0"/>
        <v>4</v>
      </c>
      <c r="L6" s="36">
        <f t="shared" ref="L6:L10" si="6">K6</f>
        <v>4</v>
      </c>
      <c r="M6" s="307"/>
      <c r="N6" s="37"/>
      <c r="O6" s="35" t="s">
        <v>146</v>
      </c>
      <c r="P6" s="35" t="s">
        <v>141</v>
      </c>
      <c r="Q6" s="35" t="s">
        <v>56</v>
      </c>
      <c r="R6" s="35" t="s">
        <v>47</v>
      </c>
      <c r="S6" s="35" t="str">
        <f t="shared" si="1"/>
        <v>A</v>
      </c>
      <c r="T6" s="38">
        <f t="shared" si="2"/>
        <v>1</v>
      </c>
      <c r="U6" s="38">
        <f t="shared" si="3"/>
        <v>1</v>
      </c>
      <c r="V6" s="38">
        <f t="shared" si="4"/>
        <v>1</v>
      </c>
      <c r="W6" s="38">
        <f t="shared" si="5"/>
        <v>1</v>
      </c>
      <c r="X6" s="297"/>
      <c r="Y6" s="35" cm="1">
        <f t="array" ref="Y6">_xlfn.SWITCH(X4, 0, IF(O6&lt;N6,1,0),1, IF(P6&lt;O6,1,0), 2, IF(Q6&lt;P6,1,0), 3, IF(R6&lt;Q6,1,0),4,0)</f>
        <v>0</v>
      </c>
      <c r="Z6" s="35" cm="1">
        <f t="array" ref="Z6">IF(Y6&gt;0,_xlfn.SWITCH(X4,0,IF(S6&lt;=O6,1,0), 1,IF(S6&lt;=P6,1,0),2,IF(S6&lt;=Q6,1,0),3,IF(S6&lt;=R6,1,0)),0)</f>
        <v>0</v>
      </c>
      <c r="AA6" s="300"/>
      <c r="AB6" s="303"/>
      <c r="AC6" s="305"/>
    </row>
    <row r="7" spans="1:29" s="23" customFormat="1" ht="29.25" customHeight="1">
      <c r="A7" s="292"/>
      <c r="B7" s="293"/>
      <c r="C7" s="30" t="s">
        <v>147</v>
      </c>
      <c r="D7" s="31">
        <v>0.15</v>
      </c>
      <c r="E7" s="32" t="s">
        <v>148</v>
      </c>
      <c r="F7" s="30">
        <v>4</v>
      </c>
      <c r="G7" s="30">
        <v>3</v>
      </c>
      <c r="H7" s="30">
        <v>2</v>
      </c>
      <c r="I7" s="30">
        <v>1</v>
      </c>
      <c r="J7" s="35" t="str">
        <f>'Core Network Fault Management_O'!O6</f>
        <v>A</v>
      </c>
      <c r="K7" s="35">
        <f t="shared" si="0"/>
        <v>4</v>
      </c>
      <c r="L7" s="36">
        <f t="shared" si="6"/>
        <v>4</v>
      </c>
      <c r="M7" s="307"/>
      <c r="N7" s="37"/>
      <c r="O7" s="35" t="s">
        <v>146</v>
      </c>
      <c r="P7" s="35" t="s">
        <v>141</v>
      </c>
      <c r="Q7" s="35" t="s">
        <v>56</v>
      </c>
      <c r="R7" s="35" t="s">
        <v>47</v>
      </c>
      <c r="S7" s="35" t="str">
        <f t="shared" si="1"/>
        <v>A</v>
      </c>
      <c r="T7" s="38">
        <f t="shared" si="2"/>
        <v>1</v>
      </c>
      <c r="U7" s="38">
        <f t="shared" si="3"/>
        <v>1</v>
      </c>
      <c r="V7" s="38">
        <f t="shared" si="4"/>
        <v>1</v>
      </c>
      <c r="W7" s="38">
        <f t="shared" si="5"/>
        <v>1</v>
      </c>
      <c r="X7" s="297"/>
      <c r="Y7" s="35" cm="1">
        <f t="array" ref="Y7">_xlfn.SWITCH(X4, 0, IF(O7&lt;N7,1,0),1, IF(P7&lt;O7,1,0), 2, IF(Q7&lt;P7,1,0), 3, IF(R7&lt;Q7,1,0),4,0)</f>
        <v>0</v>
      </c>
      <c r="Z7" s="35" cm="1">
        <f t="array" ref="Z7">IF(Y7&gt;0,_xlfn.SWITCH(X4,0,IF(S7&lt;=O7,1,0), 1,IF(S7&lt;=P7,1,0),2,IF(S7&lt;=Q7,1,0),3,IF(S7&lt;=R7,1,0)),0)</f>
        <v>0</v>
      </c>
      <c r="AA7" s="300"/>
      <c r="AB7" s="303"/>
      <c r="AC7" s="305"/>
    </row>
    <row r="8" spans="1:29" s="23" customFormat="1" ht="29.25" customHeight="1">
      <c r="A8" s="292"/>
      <c r="B8" s="293"/>
      <c r="C8" s="30" t="s">
        <v>149</v>
      </c>
      <c r="D8" s="31">
        <v>0.15</v>
      </c>
      <c r="E8" s="32" t="s">
        <v>150</v>
      </c>
      <c r="F8" s="30">
        <v>4</v>
      </c>
      <c r="G8" s="30">
        <v>3</v>
      </c>
      <c r="H8" s="30">
        <v>2</v>
      </c>
      <c r="I8" s="30">
        <v>1</v>
      </c>
      <c r="J8" s="35" t="str">
        <f>'Core Network Fault Management_O'!O7</f>
        <v>A</v>
      </c>
      <c r="K8" s="35">
        <f t="shared" si="0"/>
        <v>4</v>
      </c>
      <c r="L8" s="36">
        <f t="shared" si="6"/>
        <v>4</v>
      </c>
      <c r="M8" s="307"/>
      <c r="N8" s="37"/>
      <c r="O8" s="35" t="s">
        <v>146</v>
      </c>
      <c r="P8" s="35" t="s">
        <v>141</v>
      </c>
      <c r="Q8" s="35" t="s">
        <v>56</v>
      </c>
      <c r="R8" s="35" t="s">
        <v>47</v>
      </c>
      <c r="S8" s="35" t="str">
        <f t="shared" si="1"/>
        <v>A</v>
      </c>
      <c r="T8" s="38">
        <f t="shared" si="2"/>
        <v>1</v>
      </c>
      <c r="U8" s="38">
        <f t="shared" si="3"/>
        <v>1</v>
      </c>
      <c r="V8" s="38">
        <f t="shared" si="4"/>
        <v>1</v>
      </c>
      <c r="W8" s="38">
        <f t="shared" si="5"/>
        <v>1</v>
      </c>
      <c r="X8" s="297"/>
      <c r="Y8" s="35" cm="1">
        <f t="array" ref="Y8">_xlfn.SWITCH(X4, 0, IF(O8&lt;N8,1,0),1, IF(P8&lt;O8,1,0), 2, IF(Q8&lt;P8,1,0), 3, IF(R8&lt;Q8,1,0),4,0)</f>
        <v>0</v>
      </c>
      <c r="Z8" s="35" cm="1">
        <f t="array" ref="Z8">IF(Y8&gt;0,_xlfn.SWITCH(X4,0,IF(S8&lt;=O8,1,0), 1,IF(S8&lt;=P8,1,0),2,IF(S8&lt;=Q8,1,0),3,IF(S8&lt;=R8,1,0)),0)</f>
        <v>0</v>
      </c>
      <c r="AA8" s="300"/>
      <c r="AB8" s="303"/>
      <c r="AC8" s="305"/>
    </row>
    <row r="9" spans="1:29" s="23" customFormat="1" ht="29.25" customHeight="1">
      <c r="A9" s="292"/>
      <c r="B9" s="294" t="s">
        <v>31</v>
      </c>
      <c r="C9" s="30" t="s">
        <v>151</v>
      </c>
      <c r="D9" s="31">
        <v>0.1</v>
      </c>
      <c r="E9" s="32" t="s">
        <v>152</v>
      </c>
      <c r="F9" s="30">
        <v>4</v>
      </c>
      <c r="G9" s="30">
        <v>3</v>
      </c>
      <c r="H9" s="30">
        <v>2</v>
      </c>
      <c r="I9" s="30">
        <v>1</v>
      </c>
      <c r="J9" s="35" t="str">
        <f>'Core Network Fault Management_O'!O8</f>
        <v>A</v>
      </c>
      <c r="K9" s="35">
        <f t="shared" si="0"/>
        <v>4</v>
      </c>
      <c r="L9" s="36">
        <f t="shared" si="6"/>
        <v>4</v>
      </c>
      <c r="M9" s="307"/>
      <c r="N9" s="37"/>
      <c r="O9" s="35" t="s">
        <v>146</v>
      </c>
      <c r="P9" s="35" t="s">
        <v>141</v>
      </c>
      <c r="Q9" s="35" t="s">
        <v>56</v>
      </c>
      <c r="R9" s="35" t="s">
        <v>47</v>
      </c>
      <c r="S9" s="35" t="str">
        <f t="shared" si="1"/>
        <v>A</v>
      </c>
      <c r="T9" s="38">
        <f t="shared" si="2"/>
        <v>1</v>
      </c>
      <c r="U9" s="38">
        <f t="shared" si="3"/>
        <v>1</v>
      </c>
      <c r="V9" s="38">
        <f t="shared" si="4"/>
        <v>1</v>
      </c>
      <c r="W9" s="38">
        <f t="shared" si="5"/>
        <v>1</v>
      </c>
      <c r="X9" s="297"/>
      <c r="Y9" s="35" cm="1">
        <f t="array" ref="Y9">_xlfn.SWITCH(X5, 0, IF(O9&lt;N9,1,0),1, IF(P9&lt;O9,1,0), 2, IF(Q9&lt;P9,1,0), 3, IF(R9&lt;Q9,1,0),4,0)</f>
        <v>0</v>
      </c>
      <c r="Z9" s="35" cm="1">
        <f t="array" ref="Z9">IF(Y9&gt;0,_xlfn.SWITCH(X5,0,IF(S9&lt;=O9,1,0), 1,IF(S9&lt;=P9,1,0),2,IF(S9&lt;=Q9,1,0),3,IF(S9&lt;=R9,1,0)),0)</f>
        <v>0</v>
      </c>
      <c r="AA9" s="300"/>
      <c r="AB9" s="303"/>
      <c r="AC9" s="305"/>
    </row>
    <row r="10" spans="1:29" s="23" customFormat="1" ht="29.25" customHeight="1">
      <c r="A10" s="292"/>
      <c r="B10" s="294"/>
      <c r="C10" s="30" t="s">
        <v>153</v>
      </c>
      <c r="D10" s="31">
        <v>0.1</v>
      </c>
      <c r="E10" s="32" t="s">
        <v>154</v>
      </c>
      <c r="F10" s="30">
        <v>4</v>
      </c>
      <c r="G10" s="30">
        <v>3</v>
      </c>
      <c r="H10" s="30">
        <v>2</v>
      </c>
      <c r="I10" s="30">
        <v>1</v>
      </c>
      <c r="J10" s="35" t="str">
        <f>'Core Network Fault Management_O'!O9</f>
        <v>A</v>
      </c>
      <c r="K10" s="35">
        <f t="shared" si="0"/>
        <v>4</v>
      </c>
      <c r="L10" s="36">
        <f t="shared" si="6"/>
        <v>4</v>
      </c>
      <c r="M10" s="307"/>
      <c r="N10" s="37"/>
      <c r="O10" s="35" t="s">
        <v>146</v>
      </c>
      <c r="P10" s="35" t="s">
        <v>141</v>
      </c>
      <c r="Q10" s="35" t="s">
        <v>56</v>
      </c>
      <c r="R10" s="35" t="s">
        <v>47</v>
      </c>
      <c r="S10" s="35" t="str">
        <f t="shared" si="1"/>
        <v>A</v>
      </c>
      <c r="T10" s="38">
        <f t="shared" si="2"/>
        <v>1</v>
      </c>
      <c r="U10" s="38">
        <f t="shared" si="3"/>
        <v>1</v>
      </c>
      <c r="V10" s="38">
        <f t="shared" si="4"/>
        <v>1</v>
      </c>
      <c r="W10" s="38">
        <f t="shared" si="5"/>
        <v>1</v>
      </c>
      <c r="X10" s="297"/>
      <c r="Y10" s="35" cm="1">
        <f t="array" ref="Y10">_xlfn.SWITCH(X4, 0, IF(O10&lt;N10,1,0),1, IF(P10&lt;O10,1,0), 2, IF(Q10&lt;P10,1,0), 3, IF(R10&lt;Q10,1,0),4,0)</f>
        <v>0</v>
      </c>
      <c r="Z10" s="35" cm="1">
        <f t="array" ref="Z10">IF(Y10&gt;0,_xlfn.SWITCH(X4,0,IF(S10&lt;=O10,1,0), 1,IF(S10&lt;=P10,1,0),2,IF(S10&lt;=Q10,1,0),3,IF(S10&lt;=R10,1,0)),0)</f>
        <v>0</v>
      </c>
      <c r="AA10" s="300"/>
      <c r="AB10" s="303"/>
      <c r="AC10" s="305"/>
    </row>
    <row r="11" spans="1:29" s="23" customFormat="1" ht="29.25" customHeight="1">
      <c r="A11" s="292"/>
      <c r="B11" s="295" t="s">
        <v>155</v>
      </c>
      <c r="C11" s="30" t="s">
        <v>34</v>
      </c>
      <c r="D11" s="31">
        <v>0.1</v>
      </c>
      <c r="E11" s="32" t="s">
        <v>156</v>
      </c>
      <c r="F11" s="33">
        <v>2</v>
      </c>
      <c r="G11" s="30">
        <v>1</v>
      </c>
      <c r="H11" s="34"/>
      <c r="I11" s="34"/>
      <c r="J11" s="35" t="str">
        <f>'Core Network Fault Management_O'!O10</f>
        <v>A</v>
      </c>
      <c r="K11" s="35">
        <f t="shared" si="0"/>
        <v>2</v>
      </c>
      <c r="L11" s="36">
        <f>IF(AND(K11=2,AVERAGE(K6:K10,K12:K12)&gt;2),AVERAGE(K6:K10,K12:K12),K11)</f>
        <v>4</v>
      </c>
      <c r="M11" s="307"/>
      <c r="N11" s="37"/>
      <c r="O11" s="35" t="s">
        <v>56</v>
      </c>
      <c r="P11" s="35" t="s">
        <v>47</v>
      </c>
      <c r="Q11" s="35" t="s">
        <v>47</v>
      </c>
      <c r="R11" s="35" t="s">
        <v>47</v>
      </c>
      <c r="S11" s="35" t="str">
        <f t="shared" si="1"/>
        <v>A</v>
      </c>
      <c r="T11" s="38">
        <f t="shared" si="2"/>
        <v>1</v>
      </c>
      <c r="U11" s="38">
        <f t="shared" si="3"/>
        <v>1</v>
      </c>
      <c r="V11" s="38">
        <f t="shared" si="4"/>
        <v>1</v>
      </c>
      <c r="W11" s="38">
        <f t="shared" si="5"/>
        <v>1</v>
      </c>
      <c r="X11" s="297"/>
      <c r="Y11" s="35" cm="1">
        <f t="array" ref="Y11">_xlfn.SWITCH(X4, 0, IF(O11&lt;N11,1,0),1, IF(P11&lt;O11,1,0), 2, IF(Q11&lt;P11,1,0), 3, IF(R11&lt;Q11,1,0),4,0)</f>
        <v>0</v>
      </c>
      <c r="Z11" s="35" cm="1">
        <f t="array" ref="Z11">IF(Y11&gt;0,_xlfn.SWITCH(X4,0,IF(S11&lt;=O11,1,0), 1,IF(S11&lt;=P11,1,0),2,IF(S11&lt;=Q11,1,0),3,IF(S11&lt;=R11,1,0)),0)</f>
        <v>0</v>
      </c>
      <c r="AA11" s="300"/>
      <c r="AB11" s="303"/>
      <c r="AC11" s="305"/>
    </row>
    <row r="12" spans="1:29" s="23" customFormat="1" ht="29.9" customHeight="1">
      <c r="A12" s="292"/>
      <c r="B12" s="294"/>
      <c r="C12" s="30" t="s">
        <v>157</v>
      </c>
      <c r="D12" s="31">
        <v>0.1</v>
      </c>
      <c r="E12" s="32" t="s">
        <v>158</v>
      </c>
      <c r="F12" s="30">
        <v>4</v>
      </c>
      <c r="G12" s="30">
        <v>3</v>
      </c>
      <c r="H12" s="30">
        <v>2</v>
      </c>
      <c r="I12" s="30">
        <v>1</v>
      </c>
      <c r="J12" s="35" t="str">
        <f>'Core Network Fault Management_O'!O11</f>
        <v>A</v>
      </c>
      <c r="K12" s="35">
        <f t="shared" si="0"/>
        <v>4</v>
      </c>
      <c r="L12" s="36">
        <f t="shared" ref="L12" si="7">K12</f>
        <v>4</v>
      </c>
      <c r="M12" s="307"/>
      <c r="N12" s="39"/>
      <c r="O12" s="35" t="s">
        <v>146</v>
      </c>
      <c r="P12" s="35" t="s">
        <v>141</v>
      </c>
      <c r="Q12" s="35" t="s">
        <v>56</v>
      </c>
      <c r="R12" s="35" t="s">
        <v>47</v>
      </c>
      <c r="S12" s="35" t="str">
        <f t="shared" si="1"/>
        <v>A</v>
      </c>
      <c r="T12" s="38">
        <f t="shared" si="2"/>
        <v>1</v>
      </c>
      <c r="U12" s="38">
        <f t="shared" si="3"/>
        <v>1</v>
      </c>
      <c r="V12" s="38">
        <f t="shared" si="4"/>
        <v>1</v>
      </c>
      <c r="W12" s="38">
        <f t="shared" si="5"/>
        <v>1</v>
      </c>
      <c r="X12" s="298"/>
      <c r="Y12" s="35" cm="1">
        <f t="array" ref="Y12">_xlfn.SWITCH(X4, 0, IF(O12&lt;N12,1,0),1, IF(P12&lt;O12,1,0), 2, IF(Q12&lt;P12,1,0), 3, IF(R12&lt;Q12,1,0),4,0)</f>
        <v>0</v>
      </c>
      <c r="Z12" s="35" cm="1">
        <f t="array" ref="Z12">IF(Y12&gt;0,_xlfn.SWITCH(X4,0,IF(S12&lt;=O12,1,0), 1,IF(S12&lt;=P12,1,0),2,IF(S12&lt;=Q12,1,0),3,IF(S12&lt;=R12,1,0)),0)</f>
        <v>0</v>
      </c>
      <c r="AA12" s="301"/>
      <c r="AB12" s="304"/>
      <c r="AC12" s="305"/>
    </row>
    <row r="13" spans="1:29" s="23" customFormat="1" ht="10.4" customHeight="1">
      <c r="E13" s="40"/>
    </row>
    <row r="14" spans="1:29" s="23" customFormat="1" ht="17.25" customHeight="1">
      <c r="B14" s="21" t="s">
        <v>55</v>
      </c>
      <c r="E14" s="40"/>
    </row>
    <row r="15" spans="1:29" s="23" customFormat="1" ht="20.25" customHeight="1">
      <c r="B15" s="21" t="s">
        <v>159</v>
      </c>
      <c r="E15" s="40"/>
    </row>
    <row r="16" spans="1:29" s="23" customFormat="1" ht="10.4" customHeight="1">
      <c r="E16" s="40"/>
    </row>
    <row r="17" spans="2:13" s="23" customFormat="1" ht="10.4" customHeight="1">
      <c r="E17" s="40"/>
    </row>
    <row r="18" spans="2:13" s="23" customFormat="1" ht="13.5" customHeight="1">
      <c r="E18" s="40"/>
      <c r="M18" s="41"/>
    </row>
    <row r="19" spans="2:13" s="23" customFormat="1" ht="10.4" customHeight="1">
      <c r="E19" s="40"/>
    </row>
    <row r="20" spans="2:13" s="23" customFormat="1" ht="10.4" customHeight="1">
      <c r="E20" s="40"/>
    </row>
    <row r="21" spans="2:13" s="23" customFormat="1" ht="10.4" customHeight="1">
      <c r="E21" s="40"/>
    </row>
    <row r="22" spans="2:13" s="23" customFormat="1" ht="10.4" customHeight="1">
      <c r="B22" s="41"/>
      <c r="E22" s="40"/>
    </row>
    <row r="23" spans="2:13" s="23" customFormat="1" ht="10.4" customHeight="1">
      <c r="B23" s="41"/>
      <c r="E23" s="40"/>
    </row>
    <row r="24" spans="2:13" s="23" customFormat="1" ht="10.4" customHeight="1">
      <c r="B24" s="41"/>
      <c r="E24" s="40"/>
    </row>
    <row r="25" spans="2:13" s="23" customFormat="1" ht="10.4" customHeight="1">
      <c r="E25" s="40"/>
    </row>
    <row r="26" spans="2:13" s="23" customFormat="1" ht="10.4" customHeight="1">
      <c r="E26" s="40"/>
    </row>
    <row r="27" spans="2:13" s="23" customFormat="1" ht="10.4" customHeight="1">
      <c r="E27" s="40"/>
    </row>
    <row r="28" spans="2:13" s="23" customFormat="1" ht="10.4" customHeight="1">
      <c r="E28" s="40"/>
    </row>
    <row r="29" spans="2:13" s="23" customFormat="1" ht="10.4" customHeight="1">
      <c r="E29" s="40"/>
    </row>
    <row r="30" spans="2:13" s="23" customFormat="1" ht="10.4" customHeight="1">
      <c r="E30" s="40"/>
    </row>
    <row r="31" spans="2:13" s="23" customFormat="1" ht="10.4" customHeight="1">
      <c r="E31" s="40"/>
    </row>
    <row r="32" spans="2:13" s="23" customFormat="1" ht="10.4" customHeight="1">
      <c r="E32" s="40"/>
    </row>
    <row r="33" spans="5:5" s="23" customFormat="1" ht="10.4" customHeight="1">
      <c r="E33" s="40"/>
    </row>
    <row r="34" spans="5:5" s="23" customFormat="1" ht="10.4" customHeight="1">
      <c r="E34" s="40"/>
    </row>
    <row r="35" spans="5:5" s="23" customFormat="1" ht="10.4" customHeight="1">
      <c r="E35" s="40"/>
    </row>
    <row r="36" spans="5:5" s="23" customFormat="1" ht="10.4" customHeight="1">
      <c r="E36" s="40"/>
    </row>
    <row r="37" spans="5:5" s="23" customFormat="1" ht="10.4" customHeight="1">
      <c r="E37" s="40"/>
    </row>
    <row r="38" spans="5:5" s="23" customFormat="1" ht="10.4" customHeight="1">
      <c r="E38" s="40"/>
    </row>
    <row r="39" spans="5:5" s="23" customFormat="1" ht="10.4" customHeight="1">
      <c r="E39" s="40"/>
    </row>
    <row r="40" spans="5:5" s="23" customFormat="1" ht="10.4" customHeight="1">
      <c r="E40" s="40"/>
    </row>
  </sheetData>
  <sheetProtection formatCells="0" insertHyperlinks="0" autoFilter="0"/>
  <mergeCells count="22">
    <mergeCell ref="X4:X12"/>
    <mergeCell ref="AA4:AA12"/>
    <mergeCell ref="AB4:AB12"/>
    <mergeCell ref="AC4:AC12"/>
    <mergeCell ref="C1:C3"/>
    <mergeCell ref="D1:D3"/>
    <mergeCell ref="E1:E3"/>
    <mergeCell ref="J2:J3"/>
    <mergeCell ref="M4:M12"/>
    <mergeCell ref="F1:M1"/>
    <mergeCell ref="N1:AB1"/>
    <mergeCell ref="F2:I2"/>
    <mergeCell ref="K2:M2"/>
    <mergeCell ref="N2:R2"/>
    <mergeCell ref="T2:AB2"/>
    <mergeCell ref="S2:S3"/>
    <mergeCell ref="A1:A3"/>
    <mergeCell ref="A4:A12"/>
    <mergeCell ref="B1:B3"/>
    <mergeCell ref="B5:B8"/>
    <mergeCell ref="B9:B10"/>
    <mergeCell ref="B11:B12"/>
  </mergeCells>
  <phoneticPr fontId="1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showGridLines="0" topLeftCell="E1" zoomScaleNormal="100" workbookViewId="0">
      <selection activeCell="E6" sqref="E6"/>
    </sheetView>
  </sheetViews>
  <sheetFormatPr defaultColWidth="8.81640625" defaultRowHeight="12"/>
  <cols>
    <col min="1" max="1" width="10.81640625" style="5" customWidth="1"/>
    <col min="2" max="2" width="12.1796875" style="5" customWidth="1"/>
    <col min="3" max="3" width="14.453125" style="5" customWidth="1"/>
    <col min="4" max="4" width="11.1796875" style="5" customWidth="1"/>
    <col min="5" max="5" width="43" style="5" customWidth="1"/>
    <col min="6" max="6" width="19.1796875" style="5" customWidth="1"/>
    <col min="7" max="7" width="20.453125" style="5" customWidth="1"/>
    <col min="8" max="8" width="17.1796875" style="5" customWidth="1"/>
    <col min="9" max="9" width="15.1796875" style="5" customWidth="1"/>
    <col min="10" max="10" width="40.1796875" style="5" hidden="1" customWidth="1"/>
    <col min="11" max="14" width="8.81640625" style="5" hidden="1" customWidth="1"/>
    <col min="15" max="15" width="8.81640625" style="5"/>
    <col min="16" max="16" width="19.1796875" style="22" customWidth="1"/>
    <col min="17" max="17" width="26" style="22" customWidth="1"/>
    <col min="18" max="16384" width="8.81640625" style="5"/>
  </cols>
  <sheetData>
    <row r="1" spans="1:17" ht="24">
      <c r="A1" s="2" t="s">
        <v>160</v>
      </c>
      <c r="B1" s="1" t="s">
        <v>58</v>
      </c>
      <c r="C1" s="2" t="s">
        <v>59</v>
      </c>
      <c r="D1" s="2" t="s">
        <v>60</v>
      </c>
      <c r="E1" s="2" t="s">
        <v>24</v>
      </c>
      <c r="F1" s="1" t="s">
        <v>39</v>
      </c>
      <c r="G1" s="1" t="s">
        <v>40</v>
      </c>
      <c r="H1" s="1" t="s">
        <v>41</v>
      </c>
      <c r="I1" s="1" t="s">
        <v>42</v>
      </c>
      <c r="J1" s="3" t="s">
        <v>43</v>
      </c>
      <c r="K1" s="1" t="s">
        <v>39</v>
      </c>
      <c r="L1" s="1" t="s">
        <v>40</v>
      </c>
      <c r="M1" s="1" t="s">
        <v>41</v>
      </c>
      <c r="N1" s="1" t="s">
        <v>42</v>
      </c>
      <c r="O1" s="1" t="s">
        <v>44</v>
      </c>
      <c r="P1" s="4" t="s">
        <v>161</v>
      </c>
      <c r="Q1" s="4" t="s">
        <v>45</v>
      </c>
    </row>
    <row r="2" spans="1:17" ht="33.65" customHeight="1">
      <c r="A2" s="315" t="s">
        <v>162</v>
      </c>
      <c r="B2" s="317" t="s">
        <v>163</v>
      </c>
      <c r="C2" s="42" t="s">
        <v>164</v>
      </c>
      <c r="D2" s="43">
        <v>0.1</v>
      </c>
      <c r="E2" s="44" t="s">
        <v>165</v>
      </c>
      <c r="F2" s="45" t="s">
        <v>166</v>
      </c>
      <c r="G2" s="44" t="s">
        <v>167</v>
      </c>
      <c r="H2" s="46" t="s">
        <v>168</v>
      </c>
      <c r="I2" s="46" t="s">
        <v>169</v>
      </c>
      <c r="J2" s="47" t="s">
        <v>170</v>
      </c>
      <c r="K2" s="48" t="s">
        <v>47</v>
      </c>
      <c r="L2" s="49"/>
      <c r="M2" s="49"/>
      <c r="N2" s="14">
        <v>1</v>
      </c>
      <c r="O2" s="16" t="s">
        <v>47</v>
      </c>
      <c r="P2" s="17"/>
      <c r="Q2" s="17"/>
    </row>
    <row r="3" spans="1:17" s="18" customFormat="1" ht="59.15" customHeight="1">
      <c r="A3" s="316"/>
      <c r="B3" s="318"/>
      <c r="C3" s="50" t="s">
        <v>171</v>
      </c>
      <c r="D3" s="51">
        <v>0.15</v>
      </c>
      <c r="E3" s="52" t="s">
        <v>172</v>
      </c>
      <c r="F3" s="52" t="s">
        <v>173</v>
      </c>
      <c r="G3" s="52" t="s">
        <v>174</v>
      </c>
      <c r="H3" s="53" t="s">
        <v>175</v>
      </c>
      <c r="I3" s="53" t="s">
        <v>176</v>
      </c>
      <c r="J3" s="54" t="s">
        <v>177</v>
      </c>
      <c r="K3" s="55" t="s">
        <v>47</v>
      </c>
      <c r="L3" s="56"/>
      <c r="M3" s="56"/>
      <c r="N3" s="14">
        <v>1</v>
      </c>
      <c r="O3" s="16" t="s">
        <v>47</v>
      </c>
      <c r="P3" s="17"/>
      <c r="Q3" s="17"/>
    </row>
    <row r="4" spans="1:17" s="18" customFormat="1" ht="44.15" customHeight="1">
      <c r="A4" s="316"/>
      <c r="B4" s="318"/>
      <c r="C4" s="50" t="s">
        <v>178</v>
      </c>
      <c r="D4" s="51">
        <v>0.15</v>
      </c>
      <c r="E4" s="53" t="s">
        <v>179</v>
      </c>
      <c r="F4" s="53" t="s">
        <v>180</v>
      </c>
      <c r="G4" s="57" t="s">
        <v>181</v>
      </c>
      <c r="H4" s="57" t="s">
        <v>182</v>
      </c>
      <c r="I4" s="57" t="s">
        <v>169</v>
      </c>
      <c r="J4" s="47" t="s">
        <v>170</v>
      </c>
      <c r="K4" s="55" t="s">
        <v>47</v>
      </c>
      <c r="L4" s="56"/>
      <c r="M4" s="56"/>
      <c r="N4" s="14">
        <v>1</v>
      </c>
      <c r="O4" s="16" t="s">
        <v>47</v>
      </c>
      <c r="P4" s="17"/>
      <c r="Q4" s="17"/>
    </row>
    <row r="5" spans="1:17" s="18" customFormat="1" ht="49.4" customHeight="1">
      <c r="A5" s="316"/>
      <c r="B5" s="318"/>
      <c r="C5" s="58" t="s">
        <v>183</v>
      </c>
      <c r="D5" s="10">
        <v>0.15</v>
      </c>
      <c r="E5" s="11" t="s">
        <v>184</v>
      </c>
      <c r="F5" s="11" t="s">
        <v>185</v>
      </c>
      <c r="G5" s="11" t="s">
        <v>186</v>
      </c>
      <c r="H5" s="11" t="s">
        <v>187</v>
      </c>
      <c r="I5" s="11" t="s">
        <v>169</v>
      </c>
      <c r="J5" s="13" t="s">
        <v>188</v>
      </c>
      <c r="K5" s="14">
        <v>4</v>
      </c>
      <c r="L5" s="14">
        <v>3</v>
      </c>
      <c r="M5" s="14">
        <v>2</v>
      </c>
      <c r="N5" s="14">
        <v>1</v>
      </c>
      <c r="O5" s="16" t="s">
        <v>47</v>
      </c>
      <c r="P5" s="17"/>
      <c r="Q5" s="17"/>
    </row>
    <row r="6" spans="1:17" s="18" customFormat="1" ht="45" customHeight="1">
      <c r="A6" s="316"/>
      <c r="B6" s="318"/>
      <c r="C6" s="59" t="s">
        <v>189</v>
      </c>
      <c r="D6" s="10">
        <v>0.15</v>
      </c>
      <c r="E6" s="11" t="s">
        <v>190</v>
      </c>
      <c r="F6" s="60" t="s">
        <v>191</v>
      </c>
      <c r="G6" s="11" t="s">
        <v>192</v>
      </c>
      <c r="H6" s="12" t="s">
        <v>193</v>
      </c>
      <c r="I6" s="11" t="s">
        <v>194</v>
      </c>
      <c r="J6" s="61" t="s">
        <v>195</v>
      </c>
      <c r="K6" s="14">
        <v>4</v>
      </c>
      <c r="L6" s="14">
        <v>3</v>
      </c>
      <c r="M6" s="14">
        <v>2</v>
      </c>
      <c r="N6" s="14">
        <v>1</v>
      </c>
      <c r="O6" s="16" t="s">
        <v>47</v>
      </c>
      <c r="P6" s="17"/>
      <c r="Q6" s="17"/>
    </row>
    <row r="7" spans="1:17" s="18" customFormat="1" ht="46.5" customHeight="1">
      <c r="A7" s="316"/>
      <c r="B7" s="319" t="s">
        <v>196</v>
      </c>
      <c r="C7" s="59" t="s">
        <v>76</v>
      </c>
      <c r="D7" s="10">
        <v>0.15</v>
      </c>
      <c r="E7" s="11" t="s">
        <v>197</v>
      </c>
      <c r="F7" s="11" t="s">
        <v>198</v>
      </c>
      <c r="G7" s="11" t="s">
        <v>199</v>
      </c>
      <c r="H7" s="11" t="s">
        <v>200</v>
      </c>
      <c r="I7" s="11" t="s">
        <v>194</v>
      </c>
      <c r="J7" s="61" t="s">
        <v>201</v>
      </c>
      <c r="K7" s="14">
        <v>4</v>
      </c>
      <c r="L7" s="14">
        <v>3</v>
      </c>
      <c r="M7" s="14">
        <v>2</v>
      </c>
      <c r="N7" s="14">
        <v>1</v>
      </c>
      <c r="O7" s="16" t="s">
        <v>47</v>
      </c>
      <c r="P7" s="17"/>
      <c r="Q7" s="17"/>
    </row>
    <row r="8" spans="1:17" ht="39.65" customHeight="1">
      <c r="A8" s="316"/>
      <c r="B8" s="320"/>
      <c r="C8" s="59" t="s">
        <v>202</v>
      </c>
      <c r="D8" s="10">
        <v>0.15</v>
      </c>
      <c r="E8" s="11" t="s">
        <v>203</v>
      </c>
      <c r="F8" s="11" t="s">
        <v>204</v>
      </c>
      <c r="G8" s="11" t="s">
        <v>205</v>
      </c>
      <c r="H8" s="11" t="s">
        <v>206</v>
      </c>
      <c r="I8" s="11" t="s">
        <v>207</v>
      </c>
      <c r="J8" s="13" t="s">
        <v>208</v>
      </c>
      <c r="K8" s="14">
        <v>4</v>
      </c>
      <c r="L8" s="14">
        <v>3</v>
      </c>
      <c r="M8" s="14">
        <v>2</v>
      </c>
      <c r="N8" s="14">
        <v>1</v>
      </c>
      <c r="O8" s="16" t="s">
        <v>47</v>
      </c>
      <c r="P8" s="17"/>
      <c r="Q8" s="62"/>
    </row>
    <row r="9" spans="1:17">
      <c r="A9" s="21" t="s">
        <v>48</v>
      </c>
    </row>
  </sheetData>
  <sheetProtection formatCells="0" insertHyperlinks="0" autoFilter="0"/>
  <mergeCells count="3">
    <mergeCell ref="A2:A8"/>
    <mergeCell ref="B2:B6"/>
    <mergeCell ref="B7:B8"/>
  </mergeCells>
  <phoneticPr fontId="10" type="noConversion"/>
  <dataValidations count="1">
    <dataValidation type="list" allowBlank="1" showInputMessage="1" showErrorMessage="1" sqref="O2:O8" xr:uid="{00000000-0002-0000-0300-000000000000}">
      <formula1>"A,B,C,D"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showGridLines="0" zoomScaleNormal="100" workbookViewId="0">
      <selection activeCell="AG7" sqref="AG7"/>
    </sheetView>
  </sheetViews>
  <sheetFormatPr defaultColWidth="8.453125" defaultRowHeight="12"/>
  <cols>
    <col min="1" max="1" width="8.453125" style="41"/>
    <col min="2" max="2" width="8.81640625" style="41" customWidth="1"/>
    <col min="3" max="3" width="17.81640625" style="41" customWidth="1"/>
    <col min="4" max="4" width="8.1796875" style="41" customWidth="1"/>
    <col min="5" max="5" width="27.453125" style="41" customWidth="1"/>
    <col min="6" max="9" width="0" style="41" hidden="1" customWidth="1"/>
    <col min="10" max="13" width="8.453125" style="41"/>
    <col min="14" max="28" width="0" style="41" hidden="1" customWidth="1"/>
    <col min="29" max="16384" width="8.453125" style="41"/>
  </cols>
  <sheetData>
    <row r="1" spans="1:28" ht="15" customHeight="1">
      <c r="A1" s="321" t="s">
        <v>121</v>
      </c>
      <c r="B1" s="322" t="s">
        <v>36</v>
      </c>
      <c r="C1" s="291" t="s">
        <v>23</v>
      </c>
      <c r="D1" s="291" t="s">
        <v>37</v>
      </c>
      <c r="E1" s="291" t="s">
        <v>24</v>
      </c>
      <c r="F1" s="327" t="s">
        <v>209</v>
      </c>
      <c r="G1" s="327"/>
      <c r="H1" s="327"/>
      <c r="I1" s="327"/>
      <c r="J1" s="327"/>
      <c r="K1" s="327"/>
      <c r="L1" s="327"/>
      <c r="M1" s="327"/>
      <c r="N1" s="328" t="s">
        <v>123</v>
      </c>
      <c r="O1" s="329"/>
      <c r="P1" s="329"/>
      <c r="Q1" s="329"/>
      <c r="R1" s="329"/>
      <c r="S1" s="329"/>
      <c r="T1" s="329"/>
      <c r="U1" s="329"/>
      <c r="V1" s="329"/>
      <c r="W1" s="329"/>
      <c r="X1" s="329"/>
      <c r="Y1" s="329"/>
      <c r="Z1" s="329"/>
      <c r="AA1" s="329"/>
      <c r="AB1" s="330"/>
    </row>
    <row r="2" spans="1:28" ht="15" customHeight="1">
      <c r="A2" s="321"/>
      <c r="B2" s="291"/>
      <c r="C2" s="291"/>
      <c r="D2" s="291"/>
      <c r="E2" s="291"/>
      <c r="F2" s="331" t="s">
        <v>50</v>
      </c>
      <c r="G2" s="331"/>
      <c r="H2" s="331"/>
      <c r="I2" s="331"/>
      <c r="J2" s="306" t="s">
        <v>44</v>
      </c>
      <c r="K2" s="308" t="s">
        <v>51</v>
      </c>
      <c r="L2" s="308"/>
      <c r="M2" s="308"/>
      <c r="N2" s="309" t="s">
        <v>50</v>
      </c>
      <c r="O2" s="309"/>
      <c r="P2" s="309"/>
      <c r="Q2" s="309"/>
      <c r="R2" s="309"/>
      <c r="S2" s="309" t="s">
        <v>44</v>
      </c>
      <c r="T2" s="309" t="s">
        <v>51</v>
      </c>
      <c r="U2" s="309"/>
      <c r="V2" s="309"/>
      <c r="W2" s="309"/>
      <c r="X2" s="309"/>
      <c r="Y2" s="309"/>
      <c r="Z2" s="309"/>
      <c r="AA2" s="309"/>
      <c r="AB2" s="309"/>
    </row>
    <row r="3" spans="1:28" ht="42.65" customHeight="1">
      <c r="A3" s="321"/>
      <c r="B3" s="291"/>
      <c r="C3" s="291"/>
      <c r="D3" s="291"/>
      <c r="E3" s="291"/>
      <c r="F3" s="63" t="s">
        <v>39</v>
      </c>
      <c r="G3" s="64" t="s">
        <v>40</v>
      </c>
      <c r="H3" s="64" t="s">
        <v>41</v>
      </c>
      <c r="I3" s="65" t="s">
        <v>42</v>
      </c>
      <c r="J3" s="306"/>
      <c r="K3" s="25" t="s">
        <v>210</v>
      </c>
      <c r="L3" s="25" t="s">
        <v>211</v>
      </c>
      <c r="M3" s="24" t="s">
        <v>54</v>
      </c>
      <c r="N3" s="26" t="s">
        <v>125</v>
      </c>
      <c r="O3" s="26" t="s">
        <v>126</v>
      </c>
      <c r="P3" s="26" t="s">
        <v>127</v>
      </c>
      <c r="Q3" s="26" t="s">
        <v>128</v>
      </c>
      <c r="R3" s="26" t="s">
        <v>129</v>
      </c>
      <c r="S3" s="309"/>
      <c r="T3" s="27" t="s">
        <v>212</v>
      </c>
      <c r="U3" s="27" t="s">
        <v>213</v>
      </c>
      <c r="V3" s="27" t="s">
        <v>214</v>
      </c>
      <c r="W3" s="27" t="s">
        <v>215</v>
      </c>
      <c r="X3" s="26" t="s">
        <v>134</v>
      </c>
      <c r="Y3" s="27" t="s">
        <v>216</v>
      </c>
      <c r="Z3" s="27" t="s">
        <v>217</v>
      </c>
      <c r="AA3" s="26" t="s">
        <v>137</v>
      </c>
      <c r="AB3" s="26" t="s">
        <v>54</v>
      </c>
    </row>
    <row r="4" spans="1:28" ht="29.25" customHeight="1">
      <c r="A4" s="292" t="s">
        <v>218</v>
      </c>
      <c r="B4" s="293" t="s">
        <v>219</v>
      </c>
      <c r="C4" s="66" t="s">
        <v>220</v>
      </c>
      <c r="D4" s="67">
        <v>0.1</v>
      </c>
      <c r="E4" s="68" t="s">
        <v>165</v>
      </c>
      <c r="F4" s="69">
        <v>4</v>
      </c>
      <c r="G4" s="14">
        <v>3</v>
      </c>
      <c r="H4" s="14">
        <v>2</v>
      </c>
      <c r="I4" s="70">
        <v>1</v>
      </c>
      <c r="J4" s="35" t="str">
        <f>'Core Network Stability_Orange'!O2</f>
        <v>A</v>
      </c>
      <c r="K4" s="35">
        <f t="shared" ref="K4:K5" si="0">IF(J4="A",F4,IF(J4="B",G4,IF(J4="C",H4,IF(J4="D",I4))))</f>
        <v>4</v>
      </c>
      <c r="L4" s="35">
        <f t="shared" ref="L4:L5" si="1">K4</f>
        <v>4</v>
      </c>
      <c r="M4" s="307">
        <f>SUMPRODUCT(L4:L10,D4:D10)</f>
        <v>4</v>
      </c>
      <c r="N4" s="39"/>
      <c r="O4" s="35" t="s">
        <v>146</v>
      </c>
      <c r="P4" s="35" t="s">
        <v>141</v>
      </c>
      <c r="Q4" s="35" t="s">
        <v>56</v>
      </c>
      <c r="R4" s="35" t="s">
        <v>47</v>
      </c>
      <c r="S4" s="35" t="str">
        <f>J4</f>
        <v>A</v>
      </c>
      <c r="T4" s="38">
        <f t="shared" ref="T4:U5" si="2">IF(S4&lt;=O4,1,0)</f>
        <v>1</v>
      </c>
      <c r="U4" s="38">
        <f t="shared" si="2"/>
        <v>1</v>
      </c>
      <c r="V4" s="38">
        <f t="shared" ref="V4:V5" si="3">IF(S4&lt;=Q4,1,0)</f>
        <v>1</v>
      </c>
      <c r="W4" s="38">
        <f t="shared" ref="W4:W5" si="4">IF(S4&lt;=R4,1,0)</f>
        <v>1</v>
      </c>
      <c r="X4" s="324">
        <f>IF(AVERAGE(W4:W10)=1,4,IF(AVERAGE(V4:V10)=1,3,IF(AVERAGE(U4:U10)=1,2,IF(AVERAGE(T4:T10)=1,1,0))))</f>
        <v>4</v>
      </c>
      <c r="Y4" s="35">
        <f t="array" ref="Y4">_xlfn.SWITCH(X4,0,IF(O4&lt;N4,1,0),1,IF(P4&lt;O4,1,0),2,IF(Q4&lt;P4,1,0),3,IF(R4&lt;Q4,1,0),4,0)</f>
        <v>0</v>
      </c>
      <c r="Z4" s="35">
        <f t="array" ref="Z4">IF(Y4&gt;0,_xlfn.SWITCH(X4,0,IF(S4&lt;=O4,1,0),1,IF(S4&lt;=P4,1,0),2,IF(S4&lt;=Q4,1,0),3,IF(S4&lt;=R4,1,0)),0)</f>
        <v>0</v>
      </c>
      <c r="AA4" s="325">
        <f>IF(X4=4,0,SUMPRODUCT(Z4:Z12,D4:D12))/IF(SUMPRODUCT(Y4:Y12,D4:D12)=0,1,SUMPRODUCT(Y4:Y12,D4:D12))</f>
        <v>0</v>
      </c>
      <c r="AB4" s="326">
        <f>AA4+X4</f>
        <v>4</v>
      </c>
    </row>
    <row r="5" spans="1:28" ht="29.25" customHeight="1">
      <c r="A5" s="292"/>
      <c r="B5" s="293"/>
      <c r="C5" s="71" t="s">
        <v>221</v>
      </c>
      <c r="D5" s="10">
        <v>0.15</v>
      </c>
      <c r="E5" s="68" t="s">
        <v>172</v>
      </c>
      <c r="F5" s="69">
        <v>4</v>
      </c>
      <c r="G5" s="14">
        <v>3</v>
      </c>
      <c r="H5" s="14">
        <v>2</v>
      </c>
      <c r="I5" s="70">
        <v>1</v>
      </c>
      <c r="J5" s="35" t="str">
        <f>'Core Network Stability_Orange'!O3</f>
        <v>A</v>
      </c>
      <c r="K5" s="35">
        <f t="shared" si="0"/>
        <v>4</v>
      </c>
      <c r="L5" s="35">
        <f t="shared" si="1"/>
        <v>4</v>
      </c>
      <c r="M5" s="307"/>
      <c r="N5" s="39"/>
      <c r="O5" s="35" t="s">
        <v>146</v>
      </c>
      <c r="P5" s="35" t="s">
        <v>141</v>
      </c>
      <c r="Q5" s="35" t="s">
        <v>56</v>
      </c>
      <c r="R5" s="35" t="s">
        <v>47</v>
      </c>
      <c r="S5" s="35" t="str">
        <f t="shared" ref="S5:S10" si="5">J5</f>
        <v>A</v>
      </c>
      <c r="T5" s="38">
        <f t="shared" si="2"/>
        <v>1</v>
      </c>
      <c r="U5" s="38">
        <f t="shared" si="2"/>
        <v>1</v>
      </c>
      <c r="V5" s="38">
        <f t="shared" si="3"/>
        <v>1</v>
      </c>
      <c r="W5" s="38">
        <f t="shared" si="4"/>
        <v>1</v>
      </c>
      <c r="X5" s="324"/>
      <c r="Y5" s="35">
        <f t="array" ref="Y5">_xlfn.SWITCH(X4,0,IF(O5&lt;N5,1,0),1,IF(P5&lt;O5,1,0),2,IF(Q5&lt;P5,1,0),3,IF(R5&lt;Q5,1,0),4,0)</f>
        <v>0</v>
      </c>
      <c r="Z5" s="35">
        <f t="array" ref="Z5">IF(Y5&gt;0,_xlfn.SWITCH(X4,0,IF(S5&lt;=O5,1,0),1,IF(S5&lt;=P5,1,0),2,IF(S5&lt;=Q5,1,0),3,IF(S5&lt;=R5,1,0)),0)</f>
        <v>0</v>
      </c>
      <c r="AA5" s="325"/>
      <c r="AB5" s="326"/>
    </row>
    <row r="6" spans="1:28" ht="29.25" customHeight="1">
      <c r="A6" s="292"/>
      <c r="B6" s="323"/>
      <c r="C6" s="71" t="s">
        <v>178</v>
      </c>
      <c r="D6" s="10">
        <v>0.15</v>
      </c>
      <c r="E6" s="68" t="s">
        <v>179</v>
      </c>
      <c r="F6" s="69">
        <v>4</v>
      </c>
      <c r="G6" s="14">
        <v>3</v>
      </c>
      <c r="H6" s="14">
        <v>2</v>
      </c>
      <c r="I6" s="70">
        <v>1</v>
      </c>
      <c r="J6" s="35" t="str">
        <f>'Core Network Stability_Orange'!O4</f>
        <v>A</v>
      </c>
      <c r="K6" s="35">
        <f t="shared" ref="K6:K9" si="6">IF(J6="A",F6,IF(J6="B",G6,IF(J6="C",H6,IF(J6="D",I6))))</f>
        <v>4</v>
      </c>
      <c r="L6" s="35">
        <f t="shared" ref="L6:L9" si="7">K6</f>
        <v>4</v>
      </c>
      <c r="M6" s="307"/>
      <c r="N6" s="39"/>
      <c r="O6" s="35" t="s">
        <v>146</v>
      </c>
      <c r="P6" s="35" t="s">
        <v>141</v>
      </c>
      <c r="Q6" s="35" t="s">
        <v>56</v>
      </c>
      <c r="R6" s="35" t="s">
        <v>47</v>
      </c>
      <c r="S6" s="35" t="str">
        <f t="shared" si="5"/>
        <v>A</v>
      </c>
      <c r="T6" s="38">
        <f t="shared" ref="T6:T9" si="8">IF(S6&lt;=O6,1,0)</f>
        <v>1</v>
      </c>
      <c r="U6" s="38">
        <f t="shared" ref="U6:U9" si="9">IF(S6&lt;=P6,1,0)</f>
        <v>1</v>
      </c>
      <c r="V6" s="38">
        <f t="shared" ref="V6:V9" si="10">IF(S6&lt;=Q6,1,0)</f>
        <v>1</v>
      </c>
      <c r="W6" s="38">
        <f t="shared" ref="W6:W9" si="11">IF(S6&lt;=R6,1,0)</f>
        <v>1</v>
      </c>
      <c r="X6" s="324"/>
      <c r="Y6" s="35">
        <f t="array" ref="Y6">_xlfn.SWITCH(X4,0,IF(O6&lt;N6,1,0),1,IF(P6&lt;O6,1,0),2,IF(Q6&lt;P6,1,0),3,IF(R6&lt;Q6,1,0),4,0)</f>
        <v>0</v>
      </c>
      <c r="Z6" s="35">
        <f t="array" ref="Z6">IF(Y6&gt;0,_xlfn.SWITCH(X4,0,IF(S6&lt;=O6,1,0),1,IF(S6&lt;=P6,1,0),2,IF(S6&lt;=Q6,1,0),3,IF(S6&lt;=R6,1,0)),0)</f>
        <v>0</v>
      </c>
      <c r="AA6" s="325"/>
      <c r="AB6" s="326"/>
    </row>
    <row r="7" spans="1:28" ht="29.25" customHeight="1">
      <c r="A7" s="292"/>
      <c r="B7" s="323"/>
      <c r="C7" s="71" t="s">
        <v>222</v>
      </c>
      <c r="D7" s="10">
        <v>0.15</v>
      </c>
      <c r="E7" s="68" t="s">
        <v>184</v>
      </c>
      <c r="F7" s="69">
        <v>4</v>
      </c>
      <c r="G7" s="14">
        <v>3</v>
      </c>
      <c r="H7" s="14">
        <v>2</v>
      </c>
      <c r="I7" s="70">
        <v>1</v>
      </c>
      <c r="J7" s="35" t="str">
        <f>'Core Network Stability_Orange'!O5</f>
        <v>A</v>
      </c>
      <c r="K7" s="35">
        <f t="shared" si="6"/>
        <v>4</v>
      </c>
      <c r="L7" s="35">
        <f t="shared" si="7"/>
        <v>4</v>
      </c>
      <c r="M7" s="307"/>
      <c r="N7" s="39"/>
      <c r="O7" s="35" t="s">
        <v>146</v>
      </c>
      <c r="P7" s="35" t="s">
        <v>141</v>
      </c>
      <c r="Q7" s="35" t="s">
        <v>56</v>
      </c>
      <c r="R7" s="35" t="s">
        <v>47</v>
      </c>
      <c r="S7" s="35" t="str">
        <f t="shared" si="5"/>
        <v>A</v>
      </c>
      <c r="T7" s="38">
        <f t="shared" si="8"/>
        <v>1</v>
      </c>
      <c r="U7" s="38">
        <f t="shared" si="9"/>
        <v>1</v>
      </c>
      <c r="V7" s="38">
        <f t="shared" si="10"/>
        <v>1</v>
      </c>
      <c r="W7" s="38">
        <f t="shared" si="11"/>
        <v>1</v>
      </c>
      <c r="X7" s="324"/>
      <c r="Y7" s="35">
        <f t="array" ref="Y7">_xlfn.SWITCH(X4,0,IF(O7&lt;N7,1,0),1,IF(P7&lt;O7,1,0),2,IF(Q7&lt;P7,1,0),3,IF(R7&lt;Q7,1,0),4,0)</f>
        <v>0</v>
      </c>
      <c r="Z7" s="35">
        <f t="array" ref="Z7">IF(Y7&gt;0,_xlfn.SWITCH(X4,0,IF(S7&lt;=O7,1,0),1,IF(S7&lt;=P7,1,0),2,IF(S7&lt;=Q7,1,0),3,IF(S7&lt;=R7,1,0)),0)</f>
        <v>0</v>
      </c>
      <c r="AA7" s="325"/>
      <c r="AB7" s="326"/>
    </row>
    <row r="8" spans="1:28" ht="29.25" customHeight="1">
      <c r="A8" s="292"/>
      <c r="B8" s="323"/>
      <c r="C8" s="71" t="s">
        <v>223</v>
      </c>
      <c r="D8" s="10">
        <v>0.15</v>
      </c>
      <c r="E8" s="68" t="s">
        <v>190</v>
      </c>
      <c r="F8" s="69">
        <v>4</v>
      </c>
      <c r="G8" s="14">
        <v>3</v>
      </c>
      <c r="H8" s="14">
        <v>2</v>
      </c>
      <c r="I8" s="70">
        <v>1</v>
      </c>
      <c r="J8" s="35" t="str">
        <f>'Core Network Stability_Orange'!O6</f>
        <v>A</v>
      </c>
      <c r="K8" s="35">
        <f t="shared" si="6"/>
        <v>4</v>
      </c>
      <c r="L8" s="35">
        <f t="shared" si="7"/>
        <v>4</v>
      </c>
      <c r="M8" s="307"/>
      <c r="N8" s="39"/>
      <c r="O8" s="35" t="s">
        <v>146</v>
      </c>
      <c r="P8" s="35" t="s">
        <v>141</v>
      </c>
      <c r="Q8" s="35" t="s">
        <v>56</v>
      </c>
      <c r="R8" s="35" t="s">
        <v>47</v>
      </c>
      <c r="S8" s="35" t="str">
        <f t="shared" si="5"/>
        <v>A</v>
      </c>
      <c r="T8" s="38">
        <f t="shared" si="8"/>
        <v>1</v>
      </c>
      <c r="U8" s="38">
        <f t="shared" si="9"/>
        <v>1</v>
      </c>
      <c r="V8" s="38">
        <f t="shared" si="10"/>
        <v>1</v>
      </c>
      <c r="W8" s="38">
        <f t="shared" si="11"/>
        <v>1</v>
      </c>
      <c r="X8" s="324"/>
      <c r="Y8" s="35">
        <f t="array" ref="Y8">_xlfn.SWITCH(X4,0,IF(O8&lt;N8,1,0),1,IF(P8&lt;O8,1,0),2,IF(Q8&lt;P8,1,0),3,IF(R8&lt;Q8,1,0),4,0)</f>
        <v>0</v>
      </c>
      <c r="Z8" s="35">
        <f t="array" ref="Z8">IF(Y8&gt;0,_xlfn.SWITCH(X4,0,IF(S8&lt;=O8,1,0),1,IF(S8&lt;=P8,1,0),2,IF(S8&lt;=Q8,1,0),3,IF(S8&lt;=R8,1,0)),0)</f>
        <v>0</v>
      </c>
      <c r="AA8" s="325"/>
      <c r="AB8" s="326"/>
    </row>
    <row r="9" spans="1:28" ht="29.25" customHeight="1">
      <c r="A9" s="292"/>
      <c r="B9" s="293" t="s">
        <v>196</v>
      </c>
      <c r="C9" s="72" t="s">
        <v>144</v>
      </c>
      <c r="D9" s="73">
        <v>0.15</v>
      </c>
      <c r="E9" s="68" t="s">
        <v>197</v>
      </c>
      <c r="F9" s="69">
        <v>4</v>
      </c>
      <c r="G9" s="14">
        <v>3</v>
      </c>
      <c r="H9" s="14">
        <v>2</v>
      </c>
      <c r="I9" s="70">
        <v>1</v>
      </c>
      <c r="J9" s="35" t="str">
        <f>'Core Network Stability_Orange'!O7</f>
        <v>A</v>
      </c>
      <c r="K9" s="35">
        <f t="shared" si="6"/>
        <v>4</v>
      </c>
      <c r="L9" s="35">
        <f t="shared" si="7"/>
        <v>4</v>
      </c>
      <c r="M9" s="307"/>
      <c r="N9" s="39"/>
      <c r="O9" s="35" t="s">
        <v>146</v>
      </c>
      <c r="P9" s="35" t="s">
        <v>141</v>
      </c>
      <c r="Q9" s="35" t="s">
        <v>56</v>
      </c>
      <c r="R9" s="35" t="s">
        <v>47</v>
      </c>
      <c r="S9" s="35" t="str">
        <f t="shared" si="5"/>
        <v>A</v>
      </c>
      <c r="T9" s="38">
        <f t="shared" si="8"/>
        <v>1</v>
      </c>
      <c r="U9" s="38">
        <f t="shared" si="9"/>
        <v>1</v>
      </c>
      <c r="V9" s="38">
        <f t="shared" si="10"/>
        <v>1</v>
      </c>
      <c r="W9" s="38">
        <f t="shared" si="11"/>
        <v>1</v>
      </c>
      <c r="X9" s="324"/>
      <c r="Y9" s="35">
        <f t="array" ref="Y9">_xlfn.SWITCH(X4,0,IF(O9&lt;N9,1,0),1,IF(P9&lt;O9,1,0),2,IF(Q9&lt;P9,1,0),3,IF(R9&lt;Q9,1,0),4,0)</f>
        <v>0</v>
      </c>
      <c r="Z9" s="35">
        <f t="array" ref="Z9">IF(Y9&gt;0,_xlfn.SWITCH(X4,0,IF(S9&lt;=O9,1,0),1,IF(S9&lt;=P9,1,0),2,IF(S9&lt;=Q9,1,0),3,IF(S9&lt;=R9,1,0)),0)</f>
        <v>0</v>
      </c>
      <c r="AA9" s="325"/>
      <c r="AB9" s="326"/>
    </row>
    <row r="10" spans="1:28" ht="32.9" customHeight="1">
      <c r="A10" s="292"/>
      <c r="B10" s="293"/>
      <c r="C10" s="30" t="s">
        <v>224</v>
      </c>
      <c r="D10" s="31">
        <v>0.15</v>
      </c>
      <c r="E10" s="68" t="s">
        <v>225</v>
      </c>
      <c r="F10" s="74">
        <v>4</v>
      </c>
      <c r="G10" s="75">
        <v>3</v>
      </c>
      <c r="H10" s="75">
        <v>2</v>
      </c>
      <c r="I10" s="76">
        <v>1</v>
      </c>
      <c r="J10" s="35" t="str">
        <f>'Core Network Stability_Orange'!O8</f>
        <v>A</v>
      </c>
      <c r="K10" s="35">
        <f t="shared" ref="K10" si="12">IF(J10="A",F10,IF(J10="B",G10,IF(J10="C",H10,IF(J10="D",I10))))</f>
        <v>4</v>
      </c>
      <c r="L10" s="35">
        <f t="shared" ref="L10" si="13">K10</f>
        <v>4</v>
      </c>
      <c r="M10" s="307"/>
      <c r="N10" s="39"/>
      <c r="O10" s="35" t="s">
        <v>146</v>
      </c>
      <c r="P10" s="35" t="s">
        <v>141</v>
      </c>
      <c r="Q10" s="35" t="s">
        <v>56</v>
      </c>
      <c r="R10" s="35" t="s">
        <v>47</v>
      </c>
      <c r="S10" s="35" t="str">
        <f t="shared" si="5"/>
        <v>A</v>
      </c>
      <c r="T10" s="38">
        <f t="shared" ref="T10" si="14">IF(S10&lt;=O10,1,0)</f>
        <v>1</v>
      </c>
      <c r="U10" s="38">
        <f t="shared" ref="U10" si="15">IF(S10&lt;=P10,1,0)</f>
        <v>1</v>
      </c>
      <c r="V10" s="38">
        <f t="shared" ref="V10" si="16">IF(S10&lt;=Q10,1,0)</f>
        <v>1</v>
      </c>
      <c r="W10" s="38">
        <f t="shared" ref="W10" si="17">IF(S10&lt;=R10,1,0)</f>
        <v>1</v>
      </c>
      <c r="X10" s="324"/>
      <c r="Y10" s="35">
        <f t="array" ref="Y10">_xlfn.SWITCH(X4,0,IF(O10&lt;N10,1,0),1,IF(P10&lt;O10,1,0),2,IF(Q10&lt;P10,1,0),3,IF(R10&lt;Q10,1,0),4,0)</f>
        <v>0</v>
      </c>
      <c r="Z10" s="35">
        <f t="array" ref="Z10">IF(Y10&gt;0,_xlfn.SWITCH(X4,0,IF(S10&lt;=O10,1,0),1,IF(S10&lt;=P10,1,0),2,IF(S10&lt;=Q10,1,0),3,IF(S10&lt;=R10,1,0)),0)</f>
        <v>0</v>
      </c>
      <c r="AA10" s="325"/>
      <c r="AB10" s="326"/>
    </row>
    <row r="11" spans="1:28" ht="10.4" customHeight="1"/>
    <row r="12" spans="1:28" ht="17.25" customHeight="1">
      <c r="B12" s="77" t="s">
        <v>226</v>
      </c>
    </row>
    <row r="13" spans="1:28" ht="10.4" customHeight="1"/>
    <row r="14" spans="1:28" ht="10.4" customHeight="1"/>
    <row r="15" spans="1:28" ht="10.4" customHeight="1"/>
    <row r="16" spans="1:28" ht="30" customHeight="1"/>
    <row r="17" ht="10.4" customHeight="1"/>
    <row r="18" ht="10.4" customHeight="1"/>
    <row r="19" ht="10.4" customHeight="1"/>
    <row r="20" ht="10.4" customHeight="1"/>
    <row r="21" ht="10.4" customHeight="1"/>
    <row r="22" ht="10.4" customHeight="1"/>
    <row r="23" ht="10.4" customHeight="1"/>
    <row r="24" ht="10.4" customHeight="1"/>
    <row r="25" ht="10.4" customHeight="1"/>
    <row r="26" ht="10.4" customHeight="1"/>
    <row r="27" ht="10.4" customHeight="1"/>
    <row r="28" ht="10.4" customHeight="1"/>
    <row r="29" ht="10.4" customHeight="1"/>
    <row r="30" ht="10.4" customHeight="1"/>
    <row r="31" ht="10.4" customHeight="1"/>
    <row r="32" ht="10.4" customHeight="1"/>
    <row r="33" ht="10.4" customHeight="1"/>
    <row r="34" ht="10.4" customHeight="1"/>
    <row r="35" ht="10.4" customHeight="1"/>
    <row r="36" ht="10.4" customHeight="1"/>
    <row r="37" ht="10.4" customHeight="1"/>
    <row r="38" ht="10.4" customHeight="1"/>
  </sheetData>
  <sheetProtection formatCells="0" insertHyperlinks="0" autoFilter="0"/>
  <mergeCells count="20">
    <mergeCell ref="X4:X10"/>
    <mergeCell ref="AA4:AA10"/>
    <mergeCell ref="AB4:AB10"/>
    <mergeCell ref="C1:C3"/>
    <mergeCell ref="D1:D3"/>
    <mergeCell ref="E1:E3"/>
    <mergeCell ref="J2:J3"/>
    <mergeCell ref="M4:M10"/>
    <mergeCell ref="F1:M1"/>
    <mergeCell ref="N1:AB1"/>
    <mergeCell ref="F2:I2"/>
    <mergeCell ref="K2:M2"/>
    <mergeCell ref="N2:R2"/>
    <mergeCell ref="T2:AB2"/>
    <mergeCell ref="S2:S3"/>
    <mergeCell ref="A1:A3"/>
    <mergeCell ref="A4:A10"/>
    <mergeCell ref="B1:B3"/>
    <mergeCell ref="B4:B8"/>
    <mergeCell ref="B9:B10"/>
  </mergeCells>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4"/>
  <pixelatorList sheetStid="1"/>
  <pixelatorList sheetStid="3"/>
  <pixelatorList sheetStid="5"/>
  <pixelatorList sheetStid="7"/>
  <pixelatorList sheetStid="6"/>
  <pixelatorList sheetStid="8"/>
</pixelato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4.xml><?xml version="1.0" encoding="utf-8"?>
<autofilters xmlns="https://web.wps.cn/et/2018/main"/>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6.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136FBE17-E778-421F-9885-9FE796232797}">
  <ds:schemaRefs>
    <ds:schemaRef ds:uri="http://schemas.microsoft.com/sharepoint/v3/contenttype/forms"/>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5662047-3127-477A-AC3A-1D340467FB41}">
  <ds:schemaRefs>
    <ds:schemaRef ds:uri="https://web.wps.cn/et/2018/main"/>
  </ds:schemaRefs>
</ds:datastoreItem>
</file>

<file path=customXml/itemProps5.xml><?xml version="1.0" encoding="utf-8"?>
<ds:datastoreItem xmlns:ds="http://schemas.openxmlformats.org/officeDocument/2006/customXml" ds:itemID="{55C20AAD-18FF-4A92-ABF7-788FD0E260F2}">
  <ds:schemaRefs>
    <ds:schemaRef ds:uri="http://purl.org/dc/elements/1.1/"/>
    <ds:schemaRef ds:uri="http://schemas.microsoft.com/office/2006/metadata/properties"/>
    <ds:schemaRef ds:uri="b9cbfd23-0aee-4daf-9326-5162d0d6f612"/>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6787c073-3ca9-4904-98f0-2db325fddc11"/>
    <ds:schemaRef ds:uri="http://purl.org/dc/dcmitype/"/>
  </ds:schemaRefs>
</ds:datastoreItem>
</file>

<file path=customXml/itemProps6.xml><?xml version="1.0" encoding="utf-8"?>
<ds:datastoreItem xmlns:ds="http://schemas.openxmlformats.org/officeDocument/2006/customXml" ds:itemID="{0514BBC6-6DAD-4A79-A06F-E9AA6B0AA7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Introduction_Orange</vt:lpstr>
      <vt:lpstr>Document Title</vt:lpstr>
      <vt:lpstr>Legal Notice</vt:lpstr>
      <vt:lpstr>Guideline</vt:lpstr>
      <vt:lpstr>Service Assurance Questionnaire</vt:lpstr>
      <vt:lpstr>Scoring</vt:lpstr>
      <vt:lpstr>Acknowledgements</vt:lpstr>
      <vt:lpstr>Core Network Fault Management_O</vt:lpstr>
      <vt:lpstr>Scoring-Fault Management_Orange</vt:lpstr>
      <vt:lpstr>Core Network Stability_Orange</vt:lpstr>
      <vt:lpstr>Scoring-Stability_Orange</vt:lpstr>
      <vt:lpstr>'Legal Notice'!Print_Area</vt:lpstr>
    </vt:vector>
  </TitlesOfParts>
  <Manager/>
  <Company>Huawei Technologies Co.,Ltd.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Salim</dc:creator>
  <cp:keywords/>
  <dc:description/>
  <cp:lastModifiedBy>Saeed Mohamed</cp:lastModifiedBy>
  <cp:revision/>
  <dcterms:created xsi:type="dcterms:W3CDTF">2024-03-16T06:49:00Z</dcterms:created>
  <dcterms:modified xsi:type="dcterms:W3CDTF">2026-02-11T13:05:57Z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y fmtid="{D5CDD505-2E9C-101B-9397-08002B2CF9AE}" pid="10" name="ContentTypeId">
    <vt:lpwstr>0x01010062BEFE22FE2AE44C8A7ED1880C481F97</vt:lpwstr>
  </property>
  <property fmtid="{D5CDD505-2E9C-101B-9397-08002B2CF9AE}" pid="11" name="MediaServiceImageTags">
    <vt:lpwstr/>
  </property>
</Properties>
</file>