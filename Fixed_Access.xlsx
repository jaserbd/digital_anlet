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6.0.0/Sprint 2026-3/"/>
    </mc:Choice>
  </mc:AlternateContent>
  <xr:revisionPtr revIDLastSave="39" documentId="8_{36900C51-C3CC-4CC4-8E83-9755A15A32F2}" xr6:coauthVersionLast="47" xr6:coauthVersionMax="47" xr10:uidLastSave="{A3670830-9168-426B-907D-168879D29AC8}"/>
  <bookViews>
    <workbookView xWindow="57480" yWindow="-120" windowWidth="29040" windowHeight="15720" xr2:uid="{00000000-000D-0000-FFFF-FFFF00000000}"/>
  </bookViews>
  <sheets>
    <sheet name="Document Title " sheetId="13" r:id="rId1"/>
    <sheet name="Notice" sheetId="14" r:id="rId2"/>
    <sheet name="Guideline" sheetId="12" r:id="rId3"/>
    <sheet name="Questionnaire" sheetId="1" r:id="rId4"/>
    <sheet name="Scoring" sheetId="2" r:id="rId5"/>
    <sheet name="E2E Automation Ratio Checklist" sheetId="7" r:id="rId6"/>
    <sheet name="Administrative Appendix" sheetId="15" r:id="rId7"/>
    <sheet name="Acknowledgements" sheetId="10" r:id="rId8"/>
  </sheets>
  <definedNames>
    <definedName name="_xlnm.Print_Area" localSheetId="7">Acknowledgements!$A$1:$C$39</definedName>
    <definedName name="_xlnm.Print_Area" localSheetId="6">'Administrative Appendix'!$A$1:$E$44</definedName>
    <definedName name="_xlnm.Print_Area" localSheetId="0">'Document Title '!$A$1:$B$33</definedName>
    <definedName name="_xlnm.Print_Area" localSheetId="1">Notice!$A$1:$A$24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2" l="1"/>
  <c r="T5" i="2"/>
  <c r="P5" i="2"/>
  <c r="L5" i="2"/>
  <c r="W12" i="2" l="1"/>
  <c r="W11" i="2"/>
  <c r="W10" i="2"/>
  <c r="W9" i="2"/>
  <c r="W8" i="2"/>
  <c r="W7" i="2"/>
  <c r="W6" i="2"/>
  <c r="W5" i="2"/>
  <c r="W4" i="2"/>
  <c r="S12" i="2"/>
  <c r="S11" i="2"/>
  <c r="S10" i="2"/>
  <c r="S9" i="2"/>
  <c r="S8" i="2"/>
  <c r="S7" i="2"/>
  <c r="S6" i="2"/>
  <c r="S5" i="2"/>
  <c r="S4" i="2"/>
  <c r="O12" i="2"/>
  <c r="O11" i="2"/>
  <c r="O10" i="2"/>
  <c r="O9" i="2"/>
  <c r="O8" i="2"/>
  <c r="O7" i="2"/>
  <c r="O6" i="2"/>
  <c r="O5" i="2"/>
  <c r="O4" i="2"/>
  <c r="K5" i="2"/>
  <c r="K6" i="2"/>
  <c r="K7" i="2"/>
  <c r="K8" i="2"/>
  <c r="K9" i="2"/>
  <c r="K10" i="2"/>
  <c r="K11" i="2"/>
  <c r="K12" i="2"/>
  <c r="K4" i="2"/>
  <c r="V5" i="2"/>
  <c r="R5" i="2"/>
  <c r="N5" i="2"/>
  <c r="J5" i="2"/>
  <c r="F5" i="7"/>
  <c r="E5" i="7"/>
  <c r="D5" i="7"/>
  <c r="C5" i="7"/>
  <c r="V6" i="2" l="1"/>
  <c r="X6" i="2" s="1"/>
  <c r="V7" i="2"/>
  <c r="X7" i="2" s="1"/>
  <c r="V8" i="2"/>
  <c r="X8" i="2" s="1"/>
  <c r="V9" i="2"/>
  <c r="X9" i="2" s="1"/>
  <c r="V10" i="2"/>
  <c r="X10" i="2" s="1"/>
  <c r="V11" i="2"/>
  <c r="X11" i="2" s="1"/>
  <c r="V12" i="2"/>
  <c r="R6" i="2"/>
  <c r="T6" i="2" s="1"/>
  <c r="R7" i="2"/>
  <c r="T7" i="2" s="1"/>
  <c r="R8" i="2"/>
  <c r="T8" i="2" s="1"/>
  <c r="R9" i="2"/>
  <c r="T9" i="2" s="1"/>
  <c r="R10" i="2"/>
  <c r="T10" i="2" s="1"/>
  <c r="R11" i="2"/>
  <c r="R12" i="2"/>
  <c r="U2" i="2"/>
  <c r="Q2" i="2"/>
  <c r="M2" i="2"/>
  <c r="Y2" i="2"/>
  <c r="T11" i="2"/>
  <c r="N6" i="2"/>
  <c r="P6" i="2" s="1"/>
  <c r="N7" i="2"/>
  <c r="P7" i="2" s="1"/>
  <c r="N8" i="2"/>
  <c r="P8" i="2" s="1"/>
  <c r="N9" i="2"/>
  <c r="P9" i="2" s="1"/>
  <c r="N10" i="2"/>
  <c r="P10" i="2" s="1"/>
  <c r="N11" i="2"/>
  <c r="P11" i="2" s="1"/>
  <c r="N12" i="2"/>
  <c r="V4" i="2"/>
  <c r="X4" i="2" s="1"/>
  <c r="R4" i="2"/>
  <c r="T4" i="2" s="1"/>
  <c r="N4" i="2"/>
  <c r="P4" i="2" s="1"/>
  <c r="J6" i="2"/>
  <c r="L6" i="2" s="1"/>
  <c r="J7" i="2"/>
  <c r="L7" i="2" s="1"/>
  <c r="J8" i="2"/>
  <c r="L8" i="2" s="1"/>
  <c r="J9" i="2"/>
  <c r="L9" i="2" s="1"/>
  <c r="J10" i="2"/>
  <c r="L10" i="2" s="1"/>
  <c r="J11" i="2"/>
  <c r="L11" i="2" s="1"/>
  <c r="J12" i="2"/>
  <c r="J4" i="2"/>
  <c r="V2" i="2"/>
  <c r="R2" i="2"/>
  <c r="N2" i="2"/>
  <c r="J2" i="2"/>
  <c r="C12" i="7"/>
  <c r="D12" i="7"/>
  <c r="E12" i="7"/>
  <c r="F12" i="7"/>
  <c r="D3" i="7"/>
  <c r="E3" i="7"/>
  <c r="F3" i="7"/>
  <c r="C3" i="7"/>
  <c r="B12" i="7"/>
  <c r="B11" i="7"/>
  <c r="B10" i="7"/>
  <c r="B9" i="7"/>
  <c r="B8" i="7"/>
  <c r="B7" i="7"/>
  <c r="B6" i="7"/>
  <c r="B4" i="7"/>
  <c r="D2" i="7"/>
  <c r="E2" i="7"/>
  <c r="F2" i="7"/>
  <c r="C2" i="7"/>
  <c r="C6" i="7"/>
  <c r="D6" i="7"/>
  <c r="E6" i="7"/>
  <c r="F6" i="7"/>
  <c r="C7" i="7"/>
  <c r="D7" i="7"/>
  <c r="E7" i="7"/>
  <c r="F7" i="7"/>
  <c r="C8" i="7"/>
  <c r="D8" i="7"/>
  <c r="E8" i="7"/>
  <c r="F8" i="7"/>
  <c r="C9" i="7"/>
  <c r="D9" i="7"/>
  <c r="E9" i="7"/>
  <c r="F9" i="7"/>
  <c r="C10" i="7"/>
  <c r="D10" i="7"/>
  <c r="E10" i="7"/>
  <c r="F10" i="7"/>
  <c r="C11" i="7"/>
  <c r="D11" i="7"/>
  <c r="E11" i="7"/>
  <c r="F11" i="7"/>
  <c r="D4" i="7"/>
  <c r="E4" i="7"/>
  <c r="F4" i="7"/>
  <c r="C4" i="7"/>
  <c r="F13" i="7" l="1"/>
  <c r="P12" i="2"/>
  <c r="Q4" i="2" s="1"/>
  <c r="L4" i="2"/>
  <c r="L12" i="2"/>
  <c r="X12" i="2"/>
  <c r="Y4" i="2" s="1"/>
  <c r="T12" i="2"/>
  <c r="U4" i="2" s="1"/>
  <c r="E13" i="7"/>
  <c r="D13" i="7"/>
  <c r="C13" i="7"/>
  <c r="F14" i="7" s="1"/>
  <c r="M4" i="2" l="1"/>
  <c r="Z4" i="2" s="1"/>
</calcChain>
</file>

<file path=xl/sharedStrings.xml><?xml version="1.0" encoding="utf-8"?>
<sst xmlns="http://schemas.openxmlformats.org/spreadsheetml/2006/main" count="318" uniqueCount="229">
  <si>
    <t>Value Scenarios</t>
  </si>
  <si>
    <t>Cognitive Activities (IAADE)</t>
  </si>
  <si>
    <t>Service capability</t>
  </si>
  <si>
    <t>Weight</t>
  </si>
  <si>
    <t>Question</t>
  </si>
  <si>
    <t>Option A</t>
  </si>
  <si>
    <t>Option B</t>
  </si>
  <si>
    <t>Option C</t>
  </si>
  <si>
    <t>Option D</t>
  </si>
  <si>
    <t>Sub-scenario</t>
  </si>
  <si>
    <t>Interpretation on question</t>
  </si>
  <si>
    <t>Understanding of options</t>
  </si>
  <si>
    <t>Intent</t>
  </si>
  <si>
    <t>Awareness</t>
  </si>
  <si>
    <t>Analysis</t>
  </si>
  <si>
    <t>Decision</t>
  </si>
  <si>
    <t>Execution</t>
  </si>
  <si>
    <t>Criteria</t>
  </si>
  <si>
    <t>final score</t>
    <phoneticPr fontId="3" type="noConversion"/>
  </si>
  <si>
    <t>Original 
score</t>
    <phoneticPr fontId="3" type="noConversion"/>
  </si>
  <si>
    <t>Compensated score</t>
  </si>
  <si>
    <t>Overall
Score</t>
  </si>
  <si>
    <t>How does the System translate and process intents &amp; ensure intent fulfilment ?</t>
  </si>
  <si>
    <t>A</t>
  </si>
  <si>
    <t>How does the System support data collection,  alarms correlation and fileting?</t>
  </si>
  <si>
    <t>Analysis</t>
    <phoneticPr fontId="3" type="noConversion"/>
  </si>
  <si>
    <t xml:space="preserve">How does the System support fault identification, risk identification and subsequent impact analysis?  </t>
  </si>
  <si>
    <t>How does the system support fault demarcation?</t>
    <phoneticPr fontId="3" type="noConversion"/>
  </si>
  <si>
    <t>How does the system support root cause analysis?</t>
  </si>
  <si>
    <t>How does the System support generation of fault recovery solutions?</t>
  </si>
  <si>
    <t>How does the System support evaluation &amp; decision of fault recovery solutions?
Note: 
1) Emergency restoration solution may be compute alternative paths based on service SLA requirement.
2) Repair solution may be repair power supply.</t>
    <phoneticPr fontId="3" type="noConversion"/>
  </si>
  <si>
    <t>How does the system support automatic solution implementation and on-site intructions?</t>
  </si>
  <si>
    <t>Note: Automatic formula calculation. Do not modify it.</t>
  </si>
  <si>
    <t xml:space="preserve">Intent Translation &amp; Fulfillment
</t>
  </si>
  <si>
    <t xml:space="preserve">Data Collection&amp; Alarm filtering
</t>
  </si>
  <si>
    <t>Fault Identification ,Risk identification, impact analysis</t>
  </si>
  <si>
    <t>Fault Demarcation</t>
  </si>
  <si>
    <t>Fault Locating and Root Cause Analysis</t>
  </si>
  <si>
    <t>Solution Generation</t>
  </si>
  <si>
    <t xml:space="preserve">Solution Evaluation &amp; Decision Making
</t>
  </si>
  <si>
    <t>Solution Implementation</t>
  </si>
  <si>
    <t>The system supports simplified human-system interaction (e.g., natural language) to capture intent and translates it into targets/policies.</t>
  </si>
  <si>
    <t xml:space="preserve">The System collects data (alarm, configuration, and performance data etc.), associates alarms, filters and correlates alarms based on manually defined rules </t>
  </si>
  <si>
    <t>Manually select and use the System to collect data and filter out invalid/redundant alarms</t>
  </si>
  <si>
    <t xml:space="preserve">Data collection and alarm filtering of invalid / redundant alarms are manually done. </t>
  </si>
  <si>
    <t>The System identifies potential risks using Dynamically Programmable Rules (Configurable or Machine Learning) and may require human confirmation, but cannot predict the fault occurrence time</t>
  </si>
  <si>
    <t>The System identifies potential risks using manually defined rules</t>
  </si>
  <si>
    <t>Potential risks need to be manually identified based on human expertise</t>
  </si>
  <si>
    <t>Fault diagnosis needs to be manually performed based on expertise.</t>
  </si>
  <si>
    <t>The System generates multiple possible recovery or rectification solutions, Dynamically Programmable Rules (Configurable or Machine Learning) and may require human confirmation</t>
  </si>
  <si>
    <t>The System generates the optimal recovery or fault rectification solution through predefined rules and needs Human confirmation</t>
  </si>
  <si>
    <t>The recovery solution needs to be manually generated based on human expertise</t>
  </si>
  <si>
    <t>The System evaluates multiple possible recovery or fault rectification solutions and determines the optimal solution to be executed Dynamically Programmable Rules (Configurable or Machine Learning) and may require human confirmation</t>
  </si>
  <si>
    <t>The System evaluates and selects the best recovery or fault rectification solutions using predefined rules.</t>
  </si>
  <si>
    <t>The recovery of fault rectification solution is manually evaluated and determined</t>
  </si>
  <si>
    <t>The Operation team translates the Intent objectives to Rules and Policies enabling the System to execute the selected Fault Management sub-scenarios.
The fulfilment is validated by the Operation team, using the predefined Rules and Policies</t>
    <phoneticPr fontId="1" type="noConversion"/>
  </si>
  <si>
    <t>Operation Teams use the system to execute instructions:
1)The System executes commands/ scripts for the fault that can be remotely recovered with human confirmation. 
2)The on-site handling are assisted by the System, and requires assistance from NOC.</t>
    <phoneticPr fontId="1" type="noConversion"/>
  </si>
  <si>
    <t xml:space="preserve">The Operation team enters the Fault Management control information using predefined templates and guided workflows, enabling the System to execute the selected Fault Management sub-scenarios.
The Operation team verifies the Intent fulfilment against the manually entered Fault Management information using the predefined templates and guided workflows. </t>
    <phoneticPr fontId="1" type="noConversion"/>
  </si>
  <si>
    <t>The recovery solution needs to be manually implemented
1) The recovery solution need to be manually implemented.
2) On-site handling is guided by NOC</t>
    <phoneticPr fontId="1" type="noConversion"/>
  </si>
  <si>
    <t>The Fault Management control information is manually entered by the Operation team
The Fault Management fulfilment is manually verified by the Operation Team</t>
    <phoneticPr fontId="1" type="noConversion"/>
  </si>
  <si>
    <r>
      <rPr>
        <b/>
        <sz val="11"/>
        <color rgb="FF000000"/>
        <rFont val="Calibri"/>
        <family val="3"/>
        <charset val="129"/>
        <scheme val="minor"/>
      </rPr>
      <t>High-Value Scenario</t>
    </r>
  </si>
  <si>
    <r>
      <rPr>
        <b/>
        <sz val="11"/>
        <color rgb="FF000000"/>
        <rFont val="Calibri"/>
        <family val="3"/>
        <charset val="129"/>
        <scheme val="minor"/>
      </rPr>
      <t>Cognitive Activity (IAADE)</t>
    </r>
  </si>
  <si>
    <r>
      <rPr>
        <b/>
        <sz val="11"/>
        <color rgb="FF000000"/>
        <rFont val="Calibri"/>
        <family val="3"/>
        <charset val="129"/>
        <scheme val="minor"/>
      </rPr>
      <t>Service Capability</t>
    </r>
  </si>
  <si>
    <r>
      <rPr>
        <b/>
        <sz val="11"/>
        <color rgb="FF000000"/>
        <rFont val="Calibri"/>
        <family val="3"/>
        <charset val="129"/>
        <scheme val="minor"/>
      </rPr>
      <t>Weight</t>
    </r>
  </si>
  <si>
    <r>
      <rPr>
        <b/>
        <sz val="11"/>
        <color rgb="FF000000"/>
        <rFont val="Calibri"/>
        <family val="3"/>
        <charset val="129"/>
        <scheme val="minor"/>
      </rPr>
      <t>Question</t>
    </r>
  </si>
  <si>
    <r>
      <rPr>
        <b/>
        <sz val="11"/>
        <color rgb="FF000000"/>
        <rFont val="Calibri"/>
        <family val="3"/>
        <charset val="129"/>
        <scheme val="minor"/>
      </rPr>
      <t>Option A</t>
    </r>
  </si>
  <si>
    <r>
      <rPr>
        <b/>
        <sz val="11"/>
        <color rgb="FF000000"/>
        <rFont val="Calibri"/>
        <family val="3"/>
        <charset val="129"/>
        <scheme val="minor"/>
      </rPr>
      <t>Option B</t>
    </r>
  </si>
  <si>
    <r>
      <rPr>
        <b/>
        <sz val="11"/>
        <color rgb="FF000000"/>
        <rFont val="Calibri"/>
        <family val="3"/>
        <charset val="129"/>
        <scheme val="minor"/>
      </rPr>
      <t>Option C</t>
    </r>
  </si>
  <si>
    <r>
      <rPr>
        <b/>
        <sz val="11"/>
        <color rgb="FF000000"/>
        <rFont val="Calibri"/>
        <family val="3"/>
        <charset val="129"/>
        <scheme val="minor"/>
      </rPr>
      <t>Option D</t>
    </r>
  </si>
  <si>
    <t>Fixed Access (PON) Major Fault Scenarios</t>
  </si>
  <si>
    <t>Fixed Access - Fault Management</t>
    <phoneticPr fontId="1" type="noConversion"/>
  </si>
  <si>
    <t>The System locates multiple causes using Dynamically Programmable Rules (Configurable or Machine Learning) and may require human confirmation.</t>
    <phoneticPr fontId="1" type="noConversion"/>
  </si>
  <si>
    <t>The System locates faults using manually defined rules and needs Human confirmation.</t>
    <phoneticPr fontId="1" type="noConversion"/>
  </si>
  <si>
    <t>The system collects multi-source data and adaptively adjusts collection policies based on network condition changes. It performs self-learning based alarm filtering and correlation to remove redundant/non-actionable alarms, enabling accurate diagnosis.</t>
    <phoneticPr fontId="1" type="noConversion"/>
  </si>
  <si>
    <t>1) The system automatically executes restoration actions and verifies effects end-to-end; for unexpected situations it escalates to experts with actionable suggestions.
Note :  Field handling is guided by an intelligent Copilot with context-aware instructions and information retrieval.</t>
    <phoneticPr fontId="1" type="noConversion"/>
  </si>
  <si>
    <t>TM Forum Guidebook</t>
  </si>
  <si>
    <t>Maturity Level: Alpha</t>
  </si>
  <si>
    <t>Release Status:  Pre-production</t>
  </si>
  <si>
    <t>Version 1.0.0</t>
  </si>
  <si>
    <t>IPR Mode: RAND</t>
  </si>
  <si>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</si>
  <si>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</si>
  <si>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</si>
  <si>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</si>
  <si>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</si>
  <si>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</si>
  <si>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</si>
  <si>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</si>
  <si>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</si>
  <si>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Administrative Appendix</t>
  </si>
  <si>
    <t>Document History</t>
  </si>
  <si>
    <t>Version History</t>
  </si>
  <si>
    <t>Version Number</t>
  </si>
  <si>
    <t>Date Modified</t>
  </si>
  <si>
    <t>Modified by:</t>
  </si>
  <si>
    <t>Release History</t>
  </si>
  <si>
    <t>Release Status</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</si>
  <si>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</si>
  <si>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</si>
  <si>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</si>
  <si>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</si>
  <si>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Kevin McDonnell</t>
  </si>
  <si>
    <t>Huawei</t>
  </si>
  <si>
    <t>Project Chair</t>
  </si>
  <si>
    <t>Pedro Garcia Parra</t>
  </si>
  <si>
    <t>Telefónica</t>
  </si>
  <si>
    <t>Project Co-Chair</t>
  </si>
  <si>
    <t xml:space="preserve">Fernando Camacho </t>
  </si>
  <si>
    <t>Author</t>
  </si>
  <si>
    <t>Key Contributor</t>
    <phoneticPr fontId="3" type="noConversion"/>
  </si>
  <si>
    <t>Key Contributor</t>
  </si>
  <si>
    <t>*Selected from: Project Chair, Project Co-Chair, Author, Editor, Key Contributor, Additional Input, Reviewer</t>
  </si>
  <si>
    <t xml:space="preserve">                          Sub Scenarios
Service Capability</t>
    <phoneticPr fontId="3" type="noConversion"/>
  </si>
  <si>
    <t>Answer</t>
    <phoneticPr fontId="3" type="noConversion"/>
  </si>
  <si>
    <r>
      <t xml:space="preserve">Fault distribution
</t>
    </r>
    <r>
      <rPr>
        <b/>
        <sz val="9"/>
        <color rgb="FFFF0000"/>
        <rFont val="Arial"/>
        <family val="2"/>
      </rPr>
      <t>(Total&gt;=90%)</t>
    </r>
    <phoneticPr fontId="33" type="noConversion"/>
  </si>
  <si>
    <t>Awareness</t>
    <phoneticPr fontId="3" type="noConversion"/>
  </si>
  <si>
    <t>Decision</t>
    <phoneticPr fontId="3" type="noConversion"/>
  </si>
  <si>
    <t>Execution</t>
    <phoneticPr fontId="3" type="noConversion"/>
  </si>
  <si>
    <t>whether end-to-end automation is achieved</t>
    <phoneticPr fontId="33" type="noConversion"/>
  </si>
  <si>
    <t>End-to-End Automation Rate=Sum of the Proportions of End-to-End Automated Sub-scenarios in the Live Network</t>
    <phoneticPr fontId="33" type="noConversion"/>
  </si>
  <si>
    <t>P: People</t>
    <phoneticPr fontId="3" type="noConversion"/>
  </si>
  <si>
    <t>S: System</t>
    <phoneticPr fontId="3" type="noConversion"/>
  </si>
  <si>
    <t>NA: Not Applicable</t>
    <phoneticPr fontId="3" type="noConversion"/>
  </si>
  <si>
    <t>Intent</t>
    <phoneticPr fontId="3" type="noConversion"/>
  </si>
  <si>
    <t>LG U+</t>
    <phoneticPr fontId="1" type="noConversion"/>
  </si>
  <si>
    <t>Tony Salim</t>
    <phoneticPr fontId="1" type="noConversion"/>
  </si>
  <si>
    <t>Ericsson</t>
    <phoneticPr fontId="1" type="noConversion"/>
  </si>
  <si>
    <t>Juntae Ahn</t>
    <phoneticPr fontId="1" type="noConversion"/>
  </si>
  <si>
    <t>I. Introduction (explain the scope of the questionnaire and the reference … How it should be answered and by whom)</t>
  </si>
  <si>
    <t>II. Sub-scenarios</t>
  </si>
  <si>
    <t xml:space="preserve">III. Guideline for Answering ANL Questionnaire </t>
  </si>
  <si>
    <t>Cognitive Activity (IAADE)</t>
  </si>
  <si>
    <t>Service Capability</t>
  </si>
  <si>
    <t>Intent Translation &amp; Fulfilment</t>
  </si>
  <si>
    <t>Data collection &amp;
Alarm filtering</t>
  </si>
  <si>
    <t>Fault Prediction</t>
  </si>
  <si>
    <t>Analysis</t>
    <phoneticPr fontId="5" type="noConversion"/>
  </si>
  <si>
    <t xml:space="preserve"> Solution Evaluation &amp; Decision Making</t>
  </si>
  <si>
    <t>This document was prepared by the members of the TM Forum Autonomous Networks project team.</t>
  </si>
  <si>
    <t>Intent Translation &amp; Fulfillment</t>
    <phoneticPr fontId="1" type="noConversion"/>
  </si>
  <si>
    <t>Method: Average</t>
    <phoneticPr fontId="1" type="noConversion"/>
  </si>
  <si>
    <t>Device &amp; Hardware Failure</t>
    <phoneticPr fontId="1" type="noConversion"/>
  </si>
  <si>
    <t>Optical Access Degradation</t>
    <phoneticPr fontId="1" type="noConversion"/>
  </si>
  <si>
    <t>Connectivity Failure</t>
    <phoneticPr fontId="1" type="noConversion"/>
  </si>
  <si>
    <t>Service State Abnormal</t>
    <phoneticPr fontId="1" type="noConversion"/>
  </si>
  <si>
    <t>How does the System translate and process intents &amp; ensure intent fulfilment for Fault Management scenarios?
Note: Intent examples include MTTR targets for mass outage, prioritization by impacted subscribers/services (Internet/IPTV/VoIP), alarm severity/threshold, correlation/aggregation rules for PON tree, notification/escalation rules, and dispatch preference.</t>
    <phoneticPr fontId="1" type="noConversion"/>
  </si>
  <si>
    <t>How does the System support data collection,  alarms correlation and fileting? (alarms, logs, configuration, performance/OAM) and alarm filtering/correlation?
Note : LOS/LOF/LOM, optical RX/TX power, FEC/BER,  OLT/ONT syslog, PPPoE/DHCP sessions, multicast KPI for IPTV.</t>
    <phoneticPr fontId="1" type="noConversion"/>
  </si>
  <si>
    <t>The System demarcates faults and subsequent impact using Dynamically Programmable Rules (Configurable or Machine Learning) and may require human confirmation</t>
    <phoneticPr fontId="1" type="noConversion"/>
  </si>
  <si>
    <t>The System demarcates faults and subsequent impact using manually defined rules</t>
    <phoneticPr fontId="1" type="noConversion"/>
  </si>
  <si>
    <t>Faults and impact need to be manually demarcated based on human expertise or through the execution of manual written procedures.</t>
    <phoneticPr fontId="1" type="noConversion"/>
  </si>
  <si>
    <t>How does the System support generation of fault recovery solutions in various scenarios?
Note : OLT Uplink Redundancy, Auto-reset, schedule/optimize field dispatch for fiber repair.</t>
    <phoneticPr fontId="1" type="noConversion"/>
  </si>
  <si>
    <t xml:space="preserve">The System generates the optimal recovery or fault rectification solution using Intelligent AI Models without the need for Human confirmation.
</t>
    <phoneticPr fontId="1" type="noConversion"/>
  </si>
  <si>
    <t>How does the System support evaluation &amp; decision of fault recovery solutions in various scenarios?
Note: Evaluation should consider service priority, affected subscriber count, expected restoration time, resource constraints (spare ports, crews), and risk of side effects.</t>
    <phoneticPr fontId="1" type="noConversion"/>
  </si>
  <si>
    <t xml:space="preserve">The System evaluates and determines the optimal recovery or fault rectification solution to be executed using Intelligent Models, without the need for Human confirmation.
</t>
    <phoneticPr fontId="1" type="noConversion"/>
  </si>
  <si>
    <t>How does the System support automatic solution implementation? 
Note : remote OLT/ONT actions, automated rollback, post-action verification using service sessions/KPIs, and guided workflows for field repair and OTDR verification.</t>
    <phoneticPr fontId="1" type="noConversion"/>
  </si>
  <si>
    <t>Fault Identification ,Risk identification, impact analysis</t>
    <phoneticPr fontId="1" type="noConversion"/>
  </si>
  <si>
    <t>Fault Locating and Root Cause Analysis</t>
    <phoneticPr fontId="1" type="noConversion"/>
  </si>
  <si>
    <t>Fault Demarcation</t>
    <phoneticPr fontId="1" type="noConversion"/>
  </si>
  <si>
    <t xml:space="preserve">Fault Prediction
</t>
    <phoneticPr fontId="1" type="noConversion"/>
  </si>
  <si>
    <t>The System identifies potential risks and predicts the fault occurrence time using Intelligent Models without the need for Human intervention</t>
  </si>
  <si>
    <t>How does the System support fault prediction in various fault scenarios ?</t>
    <phoneticPr fontId="1" type="noConversion"/>
  </si>
  <si>
    <t>Fault Prediction</t>
    <phoneticPr fontId="1" type="noConversion"/>
  </si>
  <si>
    <t xml:space="preserve">Data Collection&amp; Alarm filtering
</t>
    <phoneticPr fontId="1" type="noConversion"/>
  </si>
  <si>
    <t>Data Collection&amp; Alarm filtering</t>
    <phoneticPr fontId="1" type="noConversion"/>
  </si>
  <si>
    <t>"The system locates the single root cause using intelligent AI Models without the need for Human confirmation
Note : locate smallest replaceable unit (OLT port/SFP, specific splitter leg, estimated fiber distance</t>
    <phoneticPr fontId="1" type="noConversion"/>
  </si>
  <si>
    <t xml:space="preserve">How does the system support fault Locating  and root cause locating in PON Network?
Note : locate smallest replaceable unit (OLT port/SFP, specific splitter leg, estimated fiber distance
</t>
    <phoneticPr fontId="1" type="noConversion"/>
  </si>
  <si>
    <t>The assessment is process-based and intended to be vendor-independent and where possible technology independent. Refer to the process flow on the right side for more details.</t>
    <phoneticPr fontId="1" type="noConversion"/>
  </si>
  <si>
    <t>Fault Management comprises the processes of Event Management, Incident Management and Field Operations (when applicable).</t>
    <phoneticPr fontId="1" type="noConversion"/>
  </si>
  <si>
    <t>The questionnaire is based on the principles described in 3GPP TS 28.100 and IG1252.</t>
    <phoneticPr fontId="1" type="noConversion"/>
  </si>
  <si>
    <t>The participation of relevant Subject Matter Experts is required to complete the assessment, including 1st and 2nd level operation engineers, Fixed Access Network specialists, field operation teams and automation experts.</t>
    <phoneticPr fontId="1" type="noConversion"/>
  </si>
  <si>
    <t>Questions can include reference to any particular Fixed Access Network domain requirement.</t>
    <phoneticPr fontId="1" type="noConversion"/>
  </si>
  <si>
    <t>Options A to D adopt a common approach reflecting System (S), Person supported by System (P/S), and Person (P). They cover increasing levels of autonomy characteristics across the options and therefore should not include any reference to KPI achievement or System accuracy.</t>
    <phoneticPr fontId="1" type="noConversion"/>
  </si>
  <si>
    <t>The purpose is to assess whether the activity is delivered by the System (S), by a Person supported by a System (P/S), or by a Person (P), according to the Autonomy Table.</t>
    <phoneticPr fontId="1" type="noConversion"/>
  </si>
  <si>
    <t>Examples of Fixed Access Network faults include OLT hardware failures, ONT/ONU failures, optical power abnormalities, fiber impairments, PON port failures, service session failures, and protocol state abnormalities.
Sub-scenarios describe common situations encountered in Fixed Access Network Operations and should be linked to Business Objectives.
More detailed guidelines for each question are provided in the guideline section below.</t>
    <phoneticPr fontId="1" type="noConversion"/>
  </si>
  <si>
    <t>Sub-scenario 1: Device &amp; Hardware Failure: device or hardware component malfunction caused by board failure, fan failure, power module failure, controller failure, wrong hardware position, software crash, or device malfunction. Should include but not be limited to board failure, fan failure, power module failure, controller failure, and device offline conditions.</t>
    <phoneticPr fontId="1" type="noConversion"/>
  </si>
  <si>
    <t>Sub-scenario 2: Optical Access Degradation: optical access quality degradation caused by optical module failure, abnormal optical power, dirty fiber interface, fiber bending, connector degradation, or other optical impairments. Should include but not be limited to optical module failure, optical power abnormality, high BER, high FEC, and optical power drift.</t>
    <phoneticPr fontId="1" type="noConversion"/>
  </si>
  <si>
    <t>Sub-scenario 3: Connectivity Failure: connectivity interruption or degradation caused by PON port failure, Ethernet port failure, fiber cut, pigtail disconnection, optical path failure, or mis-configuration. Should include but not be limited to OLT PON port failure, Ethernet port failure, and failures impacting multiple ONTs or Remote Nodes (RN).</t>
    <phoneticPr fontId="1" type="noConversion"/>
  </si>
  <si>
    <t>Sub-scenario 4: Service State Abnormality: service or protocol state abnormality caused by peer failure, service malfunction, protocol inconsistencies, or configuration errors. Should include but not be limited to BGP peer failure, OSPF session failure, LACP failure, IGMP failure, and DHCP failure.</t>
    <phoneticPr fontId="1" type="noConversion"/>
  </si>
  <si>
    <t>Answering Guideline</t>
  </si>
  <si>
    <t>How does the System translate and process intents &amp; ensure intent fulfilment for Fixed Access Fault Management scenarios?
Note: Intent examples include MTTR targets for mass outage, prioritization by impacted subscribers/services (Internet/IPTV/VoIP), alarm severity/threshold, correlation/aggregation rules for PON tree, notification/escalation rules, and dispatch preference.</t>
    <phoneticPr fontId="1" type="noConversion"/>
  </si>
  <si>
    <t>Intent represents the objective of the scenario and its operational boundary.
Options A, B, C and D should be assessed according to the level of autonomy demonstrated in the selected Fixed Access fault scenario.
(A) The System supports simplified human-system interaction and automatically translates intent into targets, policies and fulfilment criteria.
(B) The Operation Team translates intent objectives into rules and policies, enabling the System to execute the selected Fault Management sub-scenarios. Fulfilment is validated using predefined rules and policies.
(C) The Operation Team enters Fault Management control information using predefined templates and guided workflows. Fulfilment is verified against the entered information.
(D) Fault Management control information and fulfilment verification are manually handled by the Operation Team.</t>
    <phoneticPr fontId="1" type="noConversion"/>
  </si>
  <si>
    <t>How does the System support data collection, alarm filtering and alarm correlation for Fixed Access fault scenarios?
Note: Examples include LOS/LOF/LOM, optical RX/TX power, FEC/BER, OLT/ONT syslog, PPPoE/DHCP sessions, multicast KPI for IPTV, configuration and performance/OAM data.</t>
    <phoneticPr fontId="1" type="noConversion"/>
  </si>
  <si>
    <t>(A) The System automatically collects multi-source data and adaptively adjusts collection policies based on network condition changes. It performs self-learning based alarm filtering and correlation to remove redundant or non-actionable alarms.
(B) The System collects alarms, configuration, performance and related data, and filters/correlates alarms based on manually defined rules.
(C) Operators manually select and use the System to collect data and filter invalid or redundant alarms.
(D) Data collection and alarm filtering are fully manual.</t>
    <phoneticPr fontId="1" type="noConversion"/>
  </si>
  <si>
    <t>How does the System support fault identification, risk identification and impact analysis in various Fixed Access fault scenarios?
Note: Examples include gradual optical power drift, rising FEC/BER before service impact, OLT port error trend, persistent OMCI failures, temperature/power anomalies in cabinets, and impacted subscribers/services.</t>
  </si>
  <si>
    <t>(A) The System continuously detects risks and predicts fault occurrence and impact using intelligent AI models, enabling proactive actions before service degradation occurs.
(B) The System identifies potential risks and impact using dynamically programmable rules, configurable logic or machine learning, and may require human confirmation.
(C) The System identifies potential risks and impact using manually predefined rules.
(D) Potential risks and impact are manually identified based on human expertise.</t>
    <phoneticPr fontId="1" type="noConversion"/>
  </si>
  <si>
    <t>Fault identification &amp; Impact Analysis</t>
  </si>
  <si>
    <t>How does the System support fault demarcation for Fixed Access / PON Network?
Note: Demarcation should identify the affected domain or segment such as CPE, ONT/ONU, RN/splitter, feeder/distribution fiber, OLT PON port, Ethernet/uplink domain, and affected services/subscribers.</t>
  </si>
  <si>
    <t>(A) The System automatically demarcates the fault domain and service impact using intelligent models or data-driven analytics.
(B) The System demarcates faults and subsequent impact using dynamically programmable rules, configurable logic or machine learning, and may require human confirmation.
(C) The System demarcates faults and impact using manually predefined rules.
(D) Faults and impact are manually demarcated based on human expertise or manual procedures.</t>
    <phoneticPr fontId="1" type="noConversion"/>
  </si>
  <si>
    <t>Demarcation &amp; Locating</t>
  </si>
  <si>
    <t>How does the System support fault locating and root cause analysis in Fixed Access / PON Network?
Note: The root cause should be localized to the smallest actionable unit, such as OLT port, optical module/SFP, splitter leg, fiber section, ONT/ONU, estimated fiber distance, or protocol/session issue.</t>
  </si>
  <si>
    <t>For certain known faults, automation rules alone may identify the root cause along with the solution. In other cases, intelligent models and dynamically programmable rules may be required to cover the scenario scope.
(A) The System automatically locates the root cause or smallest actionable unit using intelligent models or dynamic rules.
(B) The System locates one or more possible root causes using dynamically programmable rules, configurable logic or machine learning, and may require human confirmation.
(C) The System locates faults using manually predefined rules and requires human confirmation.
(D) Root cause analysis is manually performed based on human expertise.</t>
    <phoneticPr fontId="1" type="noConversion"/>
  </si>
  <si>
    <t>How does the System support generation of fault recovery solutions in various Fixed Access fault scenarios?
Note: Examples include OLT uplink redundancy, auto-reset, port migration, optical module/port replacement recommendation, field dispatch scheduling/optimization, and fiber repair planning.</t>
  </si>
  <si>
    <t>(A) The System automatically generates the optimal recovery or fault rectification solution using intelligent models without manual assistance or intervention.
(B) The System generates multiple possible recovery or rectification options using dynamically programmable rules, configurable logic or machine learning, and may require human confirmation.
(C) Recovery solutions are generated using manually predefined rules and require human confirmation.
(D) Recovery solutions are manually generated based on human expertise.</t>
    <phoneticPr fontId="1" type="noConversion"/>
  </si>
  <si>
    <t>How does the System support evaluation and decision of fault recovery solutions in various Fixed Access fault scenarios?
Note: Evaluation should consider service priority, affected subscriber count, affected services, expected restoration time, resource constraints such as spare ports/crews, and risk of side effects.</t>
  </si>
  <si>
    <t>(A) The System automatically evaluates candidate recovery solutions and determines the optimal solution to be executed without human confirmation.
(B) The System evaluates multiple candidate recovery solutions and determines the optimal solution using dynamically programmable rules, configurable logic or machine learning. Human approval may be required depending on impact.
(C) The System evaluates and selects the best recovery solution using predefined rules, with human selection or approval.
(D) Recovery solution evaluation and decision-making are fully manual.</t>
    <phoneticPr fontId="1" type="noConversion"/>
  </si>
  <si>
    <t>How does the System support automatic solution implementation and on-site instructions?
Note: Examples include remote OLT/ONT actions, automated rollback, post-action verification using service sessions/KPIs, guided workflows for field repair, and OTDR-based verification.</t>
  </si>
  <si>
    <t>(A) The System automatically executes restoration actions and verifies effects end-to-end. For unexpected situations, the System escalates to experts with actionable suggestions. Field handling is guided with context-aware instructions and relevant information retrieval.
(B) Operation Teams use the System to execute commands/scripts for faults that can be remotely recovered with human confirmation. On-site handling is assisted by the System and may require NOC assistance.
(C) Recovery actions, verification and field guidance are manual and procedure-driven.
Note: Align with the Scoring tab. Execution uses A/B/C only; Option D is not used. It is assumed that the cognitive loop is closed by verifying Intent Fulfilment.</t>
    <phoneticPr fontId="1" type="noConversion"/>
  </si>
  <si>
    <t>Jinsoo Kim</t>
    <phoneticPr fontId="1" type="noConversion"/>
  </si>
  <si>
    <t>Taeyoung Kim</t>
    <phoneticPr fontId="1" type="noConversion"/>
  </si>
  <si>
    <t>Seungbin Jeon</t>
    <phoneticPr fontId="1" type="noConversion"/>
  </si>
  <si>
    <t>Daehyeong Song</t>
    <phoneticPr fontId="1" type="noConversion"/>
  </si>
  <si>
    <t>LG U+</t>
    <phoneticPr fontId="1" type="noConversion"/>
  </si>
  <si>
    <t>Changjun Kim</t>
    <phoneticPr fontId="1" type="noConversion"/>
  </si>
  <si>
    <t>Minjong Kim</t>
    <phoneticPr fontId="1" type="noConversion"/>
  </si>
  <si>
    <t>Donghyeok Jung</t>
    <phoneticPr fontId="1" type="noConversion"/>
  </si>
  <si>
    <t>Intelligent models: Apply AI-based intelligence to learn from network behavior in order to predict anomalies which can help in the fault demarcation, proposal &amp; evaluation of actions and adapting decisions based on observed results.  This means, the Model shall demonstrate learning and reasoning capabilities beyond predefined rules, thresholds, deterministic automation, or standalone statistical calculations.
Dynamically Programable Rules: Implies that the system uses rules that can be adjusted or modified in real-time based on changing conditions or requirements</t>
    <phoneticPr fontId="1" type="noConversion"/>
  </si>
  <si>
    <t>How does the System support fault identification &amp; fault impact analysis in various fault scenarios?  
Note: 
1) Impact analysis should cover number of affected subscribers, affected services (Internet/IPTV/VoIP), geographic clustering, and SLA/priority impacts.
2) PON tree topology + timeline + alarm correlations/knowledge graph). It identifies impacted services/subscribers and severity using AI without human intervention.</t>
    <phoneticPr fontId="1" type="noConversion"/>
  </si>
  <si>
    <t>The system continuously detects risks and predicts fault occurrence and impact using self-learning and enabling proactive actions before serive degradation occurs using intelligent AI model.
Note: 
1) Impact analysis should cover number of affected subscribers, affected services (Internet/IPTV/VoIP), geographic clustering, and SLA/priority impacts.
2) PON tree topology + timeline + alarm correlations/knowledge graph). It identifies impacted services/subscribers and severity using AI without human intervention.</t>
    <phoneticPr fontId="1" type="noConversion"/>
  </si>
  <si>
    <t xml:space="preserve">How does the system support fault demarcation for PON Network?
Note : demarcate CPE (PC-AP-ONT/ONU) - RN(splitter) - OLT
</t>
    <phoneticPr fontId="1" type="noConversion"/>
  </si>
  <si>
    <t>The system demarcates faults and the root cause within minutes using intelligent AI mode.
Note : demarcate CPE (PC-AP-ONT/ONU) -RN(splitter) - OLT</t>
    <phoneticPr fontId="1" type="noConversion"/>
  </si>
  <si>
    <t>Luqman Shantal</t>
    <phoneticPr fontId="1" type="noConversion"/>
  </si>
  <si>
    <t>Makman Technology Consulting</t>
    <phoneticPr fontId="1" type="noConversion"/>
  </si>
  <si>
    <t>Bohyun Choi</t>
    <phoneticPr fontId="1" type="noConversion"/>
  </si>
  <si>
    <t>This is the Fixed Access Network Fault Management Questionnaire and should be used to assess Fault Management capabilities in Fixed Access Network domains.</t>
  </si>
  <si>
    <t xml:space="preserve">©TM Forum 2026. All Rights Reserved.  </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</si>
  <si>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</si>
  <si>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</si>
  <si>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©TM Forum 2026. All Rights Reserved.</t>
  </si>
  <si>
    <t>Description of Change</t>
  </si>
  <si>
    <t>Pre-production</t>
  </si>
  <si>
    <t xml:space="preserve">Fixed Access Network Fault Management Questionnaire </t>
  </si>
  <si>
    <t>GB1523C</t>
  </si>
  <si>
    <t>Team Approved Date: 29-Jul-2026</t>
  </si>
  <si>
    <t>1.0.0</t>
  </si>
  <si>
    <t>Sannah Sibaya</t>
  </si>
  <si>
    <t>Initial Release</t>
  </si>
  <si>
    <t>Approval Status:  Member Evaluated</t>
  </si>
  <si>
    <t>Adrienne Walcott</t>
  </si>
  <si>
    <t>Updated to Member Evaluated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</si>
</sst>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0.0%"/>
    <numFmt numFmtId="166" formatCode="dd\-mmm\-yyyy"/>
  </numFmts>
  <fonts count="76">
    <font>
      <sz val="11"/>
      <color theme="1"/>
      <name val="Calibri"/>
      <family val="2"/>
      <scheme val="minor"/>
    </font>
    <font>
      <sz val="8"/>
      <name val="Calibri"/>
      <family val="3"/>
      <charset val="129"/>
      <scheme val="minor"/>
    </font>
    <font>
      <sz val="11"/>
      <color indexed="8"/>
      <name val="Calibri"/>
      <family val="3"/>
      <charset val="129"/>
      <scheme val="minor"/>
    </font>
    <font>
      <sz val="9"/>
      <name val="Calibri"/>
      <family val="3"/>
      <charset val="134"/>
      <scheme val="minor"/>
    </font>
    <font>
      <sz val="11"/>
      <color theme="1"/>
      <name val="Calibri"/>
      <family val="3"/>
      <charset val="134"/>
      <scheme val="minor"/>
    </font>
    <font>
      <sz val="11"/>
      <color theme="1"/>
      <name val="Calibri"/>
      <family val="2"/>
      <scheme val="minor"/>
    </font>
    <font>
      <sz val="10"/>
      <color rgb="FF000000"/>
      <name val="Calibri"/>
      <family val="3"/>
      <charset val="129"/>
      <scheme val="minor"/>
    </font>
    <font>
      <sz val="10"/>
      <name val="Calibri"/>
      <family val="3"/>
      <charset val="129"/>
      <scheme val="minor"/>
    </font>
    <font>
      <sz val="12"/>
      <color theme="1"/>
      <name val="Calibri"/>
      <family val="3"/>
      <charset val="129"/>
      <scheme val="minor"/>
    </font>
    <font>
      <sz val="11"/>
      <color theme="1"/>
      <name val="Calibri"/>
      <family val="3"/>
      <charset val="129"/>
      <scheme val="minor"/>
    </font>
    <font>
      <b/>
      <sz val="10"/>
      <color rgb="FF000000"/>
      <name val="Calibri"/>
      <family val="3"/>
      <charset val="129"/>
      <scheme val="minor"/>
    </font>
    <font>
      <b/>
      <sz val="11"/>
      <color rgb="FF000000"/>
      <name val="Calibri"/>
      <family val="3"/>
      <charset val="129"/>
      <scheme val="minor"/>
    </font>
    <font>
      <b/>
      <sz val="11"/>
      <color rgb="FF0070C0"/>
      <name val="Calibri"/>
      <family val="3"/>
      <charset val="129"/>
      <scheme val="minor"/>
    </font>
    <font>
      <sz val="11"/>
      <color rgb="FF000000"/>
      <name val="Calibri"/>
      <family val="3"/>
      <charset val="129"/>
      <scheme val="minor"/>
    </font>
    <font>
      <b/>
      <sz val="10"/>
      <name val="Calibri"/>
      <family val="3"/>
      <charset val="129"/>
      <scheme val="minor"/>
    </font>
    <font>
      <sz val="10"/>
      <color theme="1"/>
      <name val="Calibri"/>
      <family val="3"/>
      <charset val="129"/>
      <scheme val="minor"/>
    </font>
    <font>
      <sz val="10"/>
      <color rgb="FFFF0000"/>
      <name val="Calibri"/>
      <family val="3"/>
      <charset val="129"/>
      <scheme val="minor"/>
    </font>
    <font>
      <sz val="11"/>
      <color theme="1"/>
      <name val="Calibri"/>
      <family val="3"/>
      <charset val="129"/>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Arial"/>
      <family val="2"/>
    </font>
    <font>
      <sz val="10"/>
      <color theme="1"/>
      <name val="Arial"/>
      <family val="2"/>
    </font>
    <font>
      <sz val="10"/>
      <color rgb="FF000000"/>
      <name val="Aptos"/>
      <family val="2"/>
    </font>
    <font>
      <sz val="11"/>
      <color rgb="FF000000"/>
      <name val="Aptos"/>
      <family val="2"/>
    </font>
    <font>
      <sz val="12"/>
      <color rgb="FF000000"/>
      <name val="Aptos"/>
      <family val="2"/>
    </font>
    <font>
      <sz val="11"/>
      <color theme="1"/>
      <name val="Aptos"/>
      <family val="2"/>
    </font>
    <font>
      <b/>
      <sz val="10"/>
      <color theme="1"/>
      <name val="Arial"/>
      <family val="2"/>
    </font>
    <font>
      <b/>
      <sz val="28"/>
      <color rgb="FFC00000"/>
      <name val="Georgia"/>
      <family val="1"/>
    </font>
    <font>
      <b/>
      <sz val="12"/>
      <name val="Arial"/>
      <family val="2"/>
    </font>
    <font>
      <b/>
      <sz val="10"/>
      <color rgb="FF000000"/>
      <name val="Calibri"/>
      <family val="2"/>
    </font>
    <font>
      <b/>
      <sz val="9"/>
      <color rgb="FFFF0000"/>
      <name val="Arial"/>
      <family val="2"/>
    </font>
    <font>
      <sz val="9"/>
      <name val="Calibri"/>
      <family val="2"/>
      <charset val="134"/>
      <scheme val="minor"/>
    </font>
    <font>
      <b/>
      <sz val="10"/>
      <color rgb="FF000000"/>
      <name val="Arial"/>
      <family val="2"/>
    </font>
    <font>
      <i/>
      <sz val="11"/>
      <color rgb="FF0070C0"/>
      <name val="Arial"/>
      <family val="2"/>
    </font>
    <font>
      <sz val="11"/>
      <color rgb="FFFF0000"/>
      <name val="Arial"/>
      <family val="2"/>
    </font>
    <font>
      <sz val="11"/>
      <color indexed="8"/>
      <name val="Calibri"/>
      <family val="3"/>
      <charset val="134"/>
      <scheme val="minor"/>
    </font>
    <font>
      <i/>
      <sz val="9"/>
      <color theme="1"/>
      <name val="Arial"/>
      <family val="2"/>
    </font>
    <font>
      <sz val="10"/>
      <color rgb="FF000000"/>
      <name val="Calibri"/>
      <family val="2"/>
      <scheme val="minor"/>
    </font>
    <font>
      <sz val="10"/>
      <color theme="1"/>
      <name val="Aptos"/>
      <family val="2"/>
    </font>
    <font>
      <b/>
      <sz val="32"/>
      <name val="Aptos"/>
      <family val="2"/>
    </font>
    <font>
      <b/>
      <sz val="18"/>
      <color rgb="FF404040"/>
      <name val="Aptos"/>
      <family val="2"/>
    </font>
    <font>
      <b/>
      <sz val="14"/>
      <color rgb="FF404040"/>
      <name val="Aptos"/>
      <family val="2"/>
    </font>
    <font>
      <b/>
      <sz val="14"/>
      <color theme="1"/>
      <name val="Aptos"/>
      <family val="2"/>
    </font>
    <font>
      <u/>
      <sz val="11"/>
      <color theme="10"/>
      <name val="Verdana"/>
      <family val="2"/>
    </font>
    <font>
      <sz val="12"/>
      <color theme="1"/>
      <name val="Aptos"/>
      <family val="2"/>
    </font>
    <font>
      <u/>
      <sz val="12"/>
      <color theme="10"/>
      <name val="Aptos"/>
      <family val="2"/>
    </font>
    <font>
      <u/>
      <sz val="11"/>
      <color theme="10"/>
      <name val="Aptos"/>
      <family val="2"/>
    </font>
    <font>
      <b/>
      <sz val="10"/>
      <color rgb="FF000000"/>
      <name val="Aptos"/>
      <family val="2"/>
    </font>
    <font>
      <sz val="11"/>
      <color rgb="FF000000"/>
      <name val="Verdana"/>
      <family val="2"/>
    </font>
    <font>
      <b/>
      <sz val="11"/>
      <color rgb="FF000000"/>
      <name val="Aptos"/>
      <family val="2"/>
    </font>
    <font>
      <sz val="9"/>
      <color theme="1"/>
      <name val="Calibri"/>
      <family val="2"/>
      <scheme val="minor"/>
    </font>
    <font>
      <b/>
      <sz val="9"/>
      <color theme="0"/>
      <name val="Calibri"/>
      <family val="2"/>
      <scheme val="minor"/>
    </font>
    <font>
      <b/>
      <sz val="9"/>
      <color theme="1"/>
      <name val="Arial"/>
      <family val="2"/>
    </font>
    <font>
      <b/>
      <sz val="9"/>
      <color theme="0"/>
      <name val="Arial"/>
      <family val="2"/>
    </font>
    <font>
      <b/>
      <sz val="9"/>
      <color theme="1"/>
      <name val="Calibri"/>
      <family val="2"/>
      <scheme val="minor"/>
    </font>
    <font>
      <b/>
      <sz val="9"/>
      <color rgb="FF000000"/>
      <name val="맑은 고딕"/>
      <family val="2"/>
    </font>
    <font>
      <sz val="9"/>
      <color rgb="FF000000"/>
      <name val="맑은 고딕"/>
      <family val="2"/>
    </font>
    <font>
      <sz val="20"/>
      <color rgb="FFC00000"/>
      <name val="Aptos"/>
      <family val="2"/>
    </font>
    <font>
      <b/>
      <sz val="11"/>
      <color rgb="FF0070C0"/>
      <name val="맑은 고딕"/>
      <family val="3"/>
      <charset val="129"/>
    </font>
    <font>
      <b/>
      <sz val="10"/>
      <color theme="1"/>
      <name val="Calibri"/>
      <family val="3"/>
      <charset val="129"/>
      <scheme val="minor"/>
    </font>
    <font>
      <sz val="11"/>
      <color rgb="FFFF0000"/>
      <name val="Calibri"/>
      <family val="3"/>
      <charset val="129"/>
      <scheme val="minor"/>
    </font>
    <font>
      <sz val="9"/>
      <color theme="1"/>
      <name val="Calibri"/>
      <family val="3"/>
      <charset val="129"/>
      <scheme val="minor"/>
    </font>
    <font>
      <sz val="11"/>
      <color rgb="FF0000FF"/>
      <name val="LG스마트체 Regular"/>
      <family val="3"/>
      <charset val="129"/>
    </font>
    <font>
      <sz val="11"/>
      <name val="Calibri"/>
      <family val="3"/>
      <charset val="129"/>
      <scheme val="minor"/>
    </font>
    <font>
      <b/>
      <sz val="28"/>
      <color rgb="FFC00000"/>
      <name val="Aptos"/>
      <family val="2"/>
    </font>
    <font>
      <sz val="28"/>
      <color rgb="FFC00000"/>
      <name val="Aptos"/>
      <family val="2"/>
    </font>
    <font>
      <sz val="12"/>
      <color theme="10"/>
      <name val="Aptos"/>
      <family val="2"/>
    </font>
    <font>
      <b/>
      <sz val="20"/>
      <color rgb="FFC00000"/>
      <name val="Aptos"/>
      <family val="2"/>
    </font>
    <font>
      <b/>
      <sz val="12"/>
      <color rgb="FFC00000"/>
      <name val="Aptos"/>
      <family val="2"/>
    </font>
    <font>
      <sz val="10"/>
      <name val="Aptos"/>
      <family val="2"/>
    </font>
    <font>
      <b/>
      <sz val="12"/>
      <color rgb="FF000000"/>
      <name val="Aptos"/>
      <family val="2"/>
    </font>
    <font>
      <sz val="12"/>
      <name val="Aptos"/>
      <family val="2"/>
    </font>
    <font>
      <sz val="11"/>
      <name val="Aptos"/>
      <family val="2"/>
    </font>
    <font>
      <i/>
      <sz val="11"/>
      <name val="Aptos"/>
      <family val="2"/>
    </font>
  </fonts>
  <fills count="21">
    <fill>
      <patternFill patternType="none"/>
    </fill>
    <fill>
      <patternFill patternType="gray125"/>
    </fill>
    <fill>
      <patternFill patternType="solid">
        <fgColor rgb="FFB7DEE8"/>
        <bgColor rgb="FF000000"/>
      </patternFill>
    </fill>
    <fill>
      <patternFill patternType="solid">
        <fgColor rgb="FFFDE9D9"/>
        <bgColor rgb="FF000000"/>
      </patternFill>
    </fill>
    <fill>
      <patternFill patternType="solid">
        <fgColor rgb="FFFFFFFF"/>
        <bgColor rgb="FF000000"/>
      </patternFill>
    </fill>
    <fill>
      <patternFill patternType="solid">
        <fgColor theme="0"/>
        <bgColor indexed="64"/>
      </patternFill>
    </fill>
    <fill>
      <patternFill patternType="solid">
        <fgColor theme="8" tint="0.79998168889431442"/>
        <bgColor indexed="64"/>
      </patternFill>
    </fill>
    <fill>
      <patternFill patternType="solid">
        <fgColor rgb="FFD8E4BC"/>
        <bgColor rgb="FF000000"/>
      </patternFill>
    </fill>
    <fill>
      <patternFill patternType="solid">
        <fgColor theme="0" tint="-4.9989318521683403E-2"/>
        <bgColor indexed="64"/>
      </patternFill>
    </fill>
    <fill>
      <patternFill patternType="solid">
        <fgColor rgb="FFDAEEF3"/>
        <bgColor rgb="FF000000"/>
      </patternFill>
    </fill>
    <fill>
      <patternFill patternType="solid">
        <fgColor rgb="FFF4F5F7"/>
        <bgColor indexed="64"/>
      </patternFill>
    </fill>
    <fill>
      <patternFill patternType="solid">
        <fgColor theme="4"/>
        <bgColor indexed="64"/>
      </patternFill>
    </fill>
    <fill>
      <patternFill patternType="solid">
        <fgColor rgb="FFBDD7EE"/>
        <bgColor rgb="FF000000"/>
      </patternFill>
    </fill>
    <fill>
      <patternFill patternType="solid">
        <fgColor rgb="FFFFF2CC"/>
        <bgColor rgb="FF000000"/>
      </patternFill>
    </fill>
    <fill>
      <patternFill patternType="solid">
        <fgColor rgb="FFE2EFDA"/>
        <bgColor rgb="FF000000"/>
      </patternFill>
    </fill>
    <fill>
      <patternFill patternType="solid">
        <fgColor rgb="FFFDE9D9"/>
        <bgColor indexed="64"/>
      </patternFill>
    </fill>
    <fill>
      <patternFill patternType="solid">
        <fgColor rgb="FFE2EFDA"/>
        <bgColor indexed="64"/>
      </patternFill>
    </fill>
    <fill>
      <patternFill patternType="solid">
        <fgColor rgb="FFB7DEE8"/>
        <bgColor indexed="64"/>
      </patternFill>
    </fill>
    <fill>
      <patternFill patternType="solid">
        <fgColor rgb="FFFCD5B4"/>
        <bgColor rgb="FF000000"/>
      </patternFill>
    </fill>
    <fill>
      <patternFill patternType="solid">
        <fgColor rgb="FFFCD5B4"/>
        <bgColor indexed="64"/>
      </patternFill>
    </fill>
    <fill>
      <patternFill patternType="solid">
        <fgColor rgb="FFD8E4BC"/>
        <bgColor indexed="64"/>
      </patternFill>
    </fill>
  </fills>
  <borders count="44">
    <border>
      <left/>
      <right/>
      <top/>
      <bottom/>
      <diagonal/>
    </border>
    <border>
      <left style="thin">
        <color rgb="FF999999"/>
      </left>
      <right style="thin">
        <color rgb="FF999999"/>
      </right>
      <top style="thin">
        <color rgb="FF999999"/>
      </top>
      <bottom style="thin">
        <color rgb="FF999999"/>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indexed="64"/>
      </left>
      <right style="thin">
        <color indexed="64"/>
      </right>
      <top style="thin">
        <color indexed="64"/>
      </top>
      <bottom/>
      <diagonal/>
    </border>
    <border>
      <left style="thin">
        <color rgb="FF999999"/>
      </left>
      <right style="thin">
        <color rgb="FF999999"/>
      </right>
      <top style="thin">
        <color rgb="FF999999"/>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medium">
        <color indexed="64"/>
      </left>
      <right/>
      <top style="medium">
        <color indexed="64"/>
      </top>
      <bottom style="medium">
        <color indexed="64"/>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s>
  <cellStyleXfs count="32">
    <xf numFmtId="0" fontId="0" fillId="0" borderId="0"/>
    <xf numFmtId="0" fontId="2" fillId="0" borderId="0">
      <alignment vertical="center"/>
    </xf>
    <xf numFmtId="9" fontId="4" fillId="0" borderId="0" applyFont="0" applyFill="0" applyBorder="0" applyAlignment="0" applyProtection="0">
      <alignment vertical="center"/>
    </xf>
    <xf numFmtId="9" fontId="5" fillId="0" borderId="0" applyFont="0" applyFill="0" applyBorder="0" applyAlignment="0" applyProtection="0">
      <alignment vertical="center"/>
    </xf>
    <xf numFmtId="0" fontId="17" fillId="0" borderId="0">
      <alignment vertical="center"/>
    </xf>
    <xf numFmtId="0" fontId="4" fillId="0" borderId="0"/>
    <xf numFmtId="0" fontId="4" fillId="0" borderId="0">
      <alignment vertical="center"/>
    </xf>
    <xf numFmtId="0" fontId="21" fillId="0" borderId="0">
      <alignment vertical="center"/>
    </xf>
    <xf numFmtId="0" fontId="20" fillId="0" borderId="0">
      <alignment vertical="center"/>
    </xf>
    <xf numFmtId="9" fontId="4" fillId="0" borderId="0" applyFont="0" applyFill="0" applyBorder="0" applyAlignment="0" applyProtection="0">
      <alignment vertical="center"/>
    </xf>
    <xf numFmtId="0" fontId="4" fillId="0" borderId="0"/>
    <xf numFmtId="0" fontId="18" fillId="0" borderId="0">
      <alignment vertical="center"/>
    </xf>
    <xf numFmtId="0" fontId="5" fillId="0" borderId="0">
      <alignment vertical="top"/>
    </xf>
    <xf numFmtId="0" fontId="5" fillId="0" borderId="0"/>
    <xf numFmtId="0" fontId="5" fillId="0" borderId="0"/>
    <xf numFmtId="0" fontId="19" fillId="0" borderId="0"/>
    <xf numFmtId="0" fontId="5" fillId="0" borderId="0"/>
    <xf numFmtId="0" fontId="5" fillId="0" borderId="0">
      <alignment vertical="center"/>
    </xf>
    <xf numFmtId="0" fontId="5" fillId="0" borderId="0"/>
    <xf numFmtId="0" fontId="5" fillId="0" borderId="0">
      <alignment vertical="center"/>
    </xf>
    <xf numFmtId="0" fontId="5" fillId="0" borderId="0">
      <alignment vertical="top"/>
    </xf>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37" fillId="0" borderId="0">
      <alignment vertical="center"/>
    </xf>
    <xf numFmtId="0" fontId="39" fillId="0" borderId="0"/>
    <xf numFmtId="0" fontId="45" fillId="0" borderId="0" applyNumberFormat="0" applyFill="0" applyBorder="0" applyAlignment="0" applyProtection="0">
      <alignment horizontal="left" vertical="center" indent="1"/>
    </xf>
    <xf numFmtId="0" fontId="50" fillId="0" borderId="0">
      <alignment horizontal="left" vertical="center" indent="1"/>
    </xf>
    <xf numFmtId="0" fontId="9" fillId="0" borderId="0">
      <alignment vertical="center"/>
    </xf>
    <xf numFmtId="0" fontId="39" fillId="0" borderId="0"/>
  </cellStyleXfs>
  <cellXfs count="219">
    <xf numFmtId="0" fontId="0" fillId="0" borderId="0" xfId="0"/>
    <xf numFmtId="0" fontId="8" fillId="0" borderId="0" xfId="0" applyFont="1"/>
    <xf numFmtId="0" fontId="9" fillId="0" borderId="0" xfId="0" applyFont="1"/>
    <xf numFmtId="0" fontId="9" fillId="5" borderId="0" xfId="0" applyFont="1" applyFill="1"/>
    <xf numFmtId="0" fontId="2" fillId="0" borderId="0" xfId="1">
      <alignment vertical="center"/>
    </xf>
    <xf numFmtId="0" fontId="10" fillId="3" borderId="7" xfId="1" applyFont="1" applyFill="1" applyBorder="1" applyAlignment="1">
      <alignment horizontal="center" vertical="center" wrapText="1"/>
    </xf>
    <xf numFmtId="0" fontId="6" fillId="0" borderId="7" xfId="1" applyFont="1" applyBorder="1" applyAlignment="1">
      <alignment horizontal="left" vertical="center" wrapText="1"/>
    </xf>
    <xf numFmtId="0" fontId="7" fillId="4" borderId="7" xfId="1" applyFont="1" applyFill="1" applyBorder="1" applyAlignment="1">
      <alignment horizontal="center" vertical="center" wrapText="1"/>
    </xf>
    <xf numFmtId="0" fontId="6" fillId="4" borderId="7" xfId="1" applyFont="1" applyFill="1" applyBorder="1" applyAlignment="1">
      <alignment horizontal="left" vertical="center" wrapText="1"/>
    </xf>
    <xf numFmtId="0" fontId="6" fillId="0" borderId="7" xfId="1" applyFont="1" applyBorder="1" applyAlignment="1">
      <alignment horizontal="center" vertical="center"/>
    </xf>
    <xf numFmtId="0" fontId="7" fillId="0" borderId="7" xfId="1" applyFont="1" applyBorder="1" applyAlignment="1">
      <alignment horizontal="center" vertical="center" wrapText="1"/>
    </xf>
    <xf numFmtId="0" fontId="6" fillId="0" borderId="7" xfId="1" applyFont="1" applyBorder="1" applyAlignment="1">
      <alignment horizontal="center" vertical="center" wrapText="1"/>
    </xf>
    <xf numFmtId="0" fontId="2" fillId="0" borderId="0" xfId="1" applyAlignment="1"/>
    <xf numFmtId="0" fontId="14" fillId="6" borderId="1" xfId="0" applyFont="1" applyFill="1" applyBorder="1" applyAlignment="1">
      <alignment horizontal="center" vertical="center" wrapText="1"/>
    </xf>
    <xf numFmtId="9" fontId="14" fillId="6"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0" borderId="1" xfId="0" applyFont="1" applyBorder="1" applyAlignment="1">
      <alignment vertical="top" wrapText="1"/>
    </xf>
    <xf numFmtId="0" fontId="15" fillId="5" borderId="24" xfId="0" applyFont="1" applyFill="1" applyBorder="1" applyAlignment="1">
      <alignment horizontal="center" vertical="center" wrapText="1"/>
    </xf>
    <xf numFmtId="0" fontId="15" fillId="0" borderId="24" xfId="0" applyFont="1" applyBorder="1" applyAlignment="1">
      <alignment vertical="top" wrapText="1"/>
    </xf>
    <xf numFmtId="0" fontId="15" fillId="5" borderId="7" xfId="0" applyFont="1" applyFill="1" applyBorder="1" applyAlignment="1">
      <alignment horizontal="center" vertical="center" wrapText="1"/>
    </xf>
    <xf numFmtId="9" fontId="9" fillId="0" borderId="7" xfId="3" applyFont="1" applyBorder="1" applyAlignment="1">
      <alignment horizontal="center" vertical="center" wrapText="1"/>
    </xf>
    <xf numFmtId="0" fontId="6" fillId="5" borderId="7" xfId="1" applyFont="1" applyFill="1" applyBorder="1" applyAlignment="1">
      <alignment horizontal="center" vertical="center"/>
    </xf>
    <xf numFmtId="0" fontId="30" fillId="6" borderId="23" xfId="8" applyFont="1" applyFill="1" applyBorder="1" applyAlignment="1">
      <alignment horizontal="center" vertical="center" wrapText="1"/>
    </xf>
    <xf numFmtId="0" fontId="35" fillId="0" borderId="7" xfId="8" applyFont="1" applyBorder="1" applyAlignment="1">
      <alignment horizontal="center" vertical="center"/>
    </xf>
    <xf numFmtId="0" fontId="30" fillId="6" borderId="7" xfId="8" applyFont="1" applyFill="1" applyBorder="1" applyAlignment="1">
      <alignment horizontal="center" vertical="center" wrapText="1"/>
    </xf>
    <xf numFmtId="165" fontId="36" fillId="8" borderId="7" xfId="8" applyNumberFormat="1" applyFont="1" applyFill="1" applyBorder="1" applyAlignment="1">
      <alignment horizontal="center" vertical="center"/>
    </xf>
    <xf numFmtId="0" fontId="38" fillId="0" borderId="0" xfId="8" applyFont="1" applyAlignment="1">
      <alignment horizontal="left" vertical="center"/>
    </xf>
    <xf numFmtId="0" fontId="23" fillId="0" borderId="0" xfId="27" applyFont="1"/>
    <xf numFmtId="0" fontId="39" fillId="0" borderId="0" xfId="27"/>
    <xf numFmtId="0" fontId="29" fillId="0" borderId="0" xfId="27" applyFont="1" applyAlignment="1">
      <alignment vertical="center" wrapText="1"/>
    </xf>
    <xf numFmtId="0" fontId="40" fillId="0" borderId="0" xfId="27" applyFont="1"/>
    <xf numFmtId="0" fontId="24" fillId="0" borderId="0" xfId="27" applyFont="1"/>
    <xf numFmtId="0" fontId="42" fillId="0" borderId="0" xfId="27" applyFont="1"/>
    <xf numFmtId="0" fontId="43" fillId="0" borderId="33" xfId="27" applyFont="1" applyBorder="1" applyAlignment="1">
      <alignment vertical="top"/>
    </xf>
    <xf numFmtId="0" fontId="44" fillId="0" borderId="30" xfId="27" applyFont="1" applyBorder="1" applyAlignment="1">
      <alignment vertical="top"/>
    </xf>
    <xf numFmtId="0" fontId="43" fillId="0" borderId="31" xfId="27" applyFont="1" applyBorder="1" applyAlignment="1">
      <alignment horizontal="left" vertical="top" wrapText="1"/>
    </xf>
    <xf numFmtId="0" fontId="43" fillId="0" borderId="32" xfId="27" applyFont="1" applyBorder="1" applyAlignment="1">
      <alignment horizontal="left" vertical="top" wrapText="1"/>
    </xf>
    <xf numFmtId="0" fontId="40" fillId="0" borderId="0" xfId="27" applyFont="1" applyAlignment="1">
      <alignment horizontal="left"/>
    </xf>
    <xf numFmtId="0" fontId="40" fillId="0" borderId="0" xfId="27" applyFont="1" applyAlignment="1">
      <alignment vertical="top" wrapText="1"/>
    </xf>
    <xf numFmtId="0" fontId="25" fillId="0" borderId="0" xfId="27" applyFont="1" applyAlignment="1">
      <alignment vertical="top" wrapText="1"/>
    </xf>
    <xf numFmtId="0" fontId="40" fillId="0" borderId="0" xfId="27" applyFont="1" applyAlignment="1">
      <alignment wrapText="1"/>
    </xf>
    <xf numFmtId="0" fontId="27" fillId="0" borderId="0" xfId="27" applyFont="1" applyAlignment="1">
      <alignment vertical="top" wrapText="1"/>
    </xf>
    <xf numFmtId="0" fontId="26" fillId="0" borderId="0" xfId="27" applyFont="1" applyAlignment="1">
      <alignment vertical="top" wrapText="1"/>
    </xf>
    <xf numFmtId="0" fontId="46" fillId="0" borderId="0" xfId="27" applyFont="1" applyAlignment="1">
      <alignment wrapText="1"/>
    </xf>
    <xf numFmtId="0" fontId="26" fillId="0" borderId="0" xfId="27" applyFont="1"/>
    <xf numFmtId="0" fontId="46" fillId="0" borderId="0" xfId="27" applyFont="1" applyAlignment="1">
      <alignment vertical="top" wrapText="1"/>
    </xf>
    <xf numFmtId="0" fontId="26" fillId="0" borderId="0" xfId="27" applyFont="1" applyAlignment="1">
      <alignment vertical="top"/>
    </xf>
    <xf numFmtId="0" fontId="47" fillId="0" borderId="0" xfId="27" applyFont="1" applyAlignment="1">
      <alignment vertical="top"/>
    </xf>
    <xf numFmtId="0" fontId="48" fillId="0" borderId="0" xfId="27" applyFont="1" applyAlignment="1">
      <alignment vertical="top"/>
    </xf>
    <xf numFmtId="0" fontId="26" fillId="0" borderId="0" xfId="29" applyFont="1" applyAlignment="1">
      <alignment vertical="center"/>
    </xf>
    <xf numFmtId="0" fontId="49" fillId="0" borderId="0" xfId="27" applyFont="1" applyAlignment="1">
      <alignment vertical="center"/>
    </xf>
    <xf numFmtId="0" fontId="24" fillId="0" borderId="0" xfId="27" applyFont="1" applyAlignment="1">
      <alignment vertical="center"/>
    </xf>
    <xf numFmtId="0" fontId="24" fillId="0" borderId="0" xfId="27" applyFont="1" applyAlignment="1">
      <alignment vertical="center" wrapText="1"/>
    </xf>
    <xf numFmtId="0" fontId="26" fillId="0" borderId="0" xfId="27" applyFont="1" applyAlignment="1">
      <alignment vertical="center"/>
    </xf>
    <xf numFmtId="0" fontId="26" fillId="0" borderId="0" xfId="27" applyFont="1" applyAlignment="1">
      <alignment vertical="center" wrapText="1"/>
    </xf>
    <xf numFmtId="0" fontId="50" fillId="0" borderId="0" xfId="29" applyAlignment="1">
      <alignment horizontal="left" vertical="center"/>
    </xf>
    <xf numFmtId="0" fontId="51" fillId="10" borderId="7" xfId="29" applyFont="1" applyFill="1" applyBorder="1" applyAlignment="1">
      <alignment horizontal="left" vertical="center" wrapText="1"/>
    </xf>
    <xf numFmtId="0" fontId="27" fillId="0" borderId="7" xfId="17" applyFont="1" applyBorder="1" applyAlignment="1"/>
    <xf numFmtId="0" fontId="22" fillId="0" borderId="0" xfId="1" applyFont="1" applyAlignment="1"/>
    <xf numFmtId="9" fontId="31" fillId="6" borderId="25" xfId="1" applyNumberFormat="1" applyFont="1" applyFill="1" applyBorder="1" applyAlignment="1">
      <alignment horizontal="center" vertical="center" wrapText="1"/>
    </xf>
    <xf numFmtId="0" fontId="34" fillId="9" borderId="7" xfId="1" applyFont="1" applyFill="1" applyBorder="1" applyAlignment="1">
      <alignment horizontal="left" vertical="center" wrapText="1"/>
    </xf>
    <xf numFmtId="0" fontId="22" fillId="8" borderId="7" xfId="1" applyFont="1" applyFill="1" applyBorder="1" applyAlignment="1">
      <alignment horizontal="center" vertical="center"/>
    </xf>
    <xf numFmtId="0" fontId="31" fillId="6" borderId="29" xfId="1" applyFont="1" applyFill="1" applyBorder="1" applyAlignment="1">
      <alignment horizontal="center" vertical="center" wrapText="1"/>
    </xf>
    <xf numFmtId="0" fontId="10" fillId="2" borderId="7" xfId="1" applyFont="1" applyFill="1" applyBorder="1" applyAlignment="1">
      <alignment horizontal="center" vertical="center" wrapText="1"/>
    </xf>
    <xf numFmtId="9" fontId="12" fillId="3" borderId="7" xfId="1" applyNumberFormat="1" applyFont="1" applyFill="1" applyBorder="1" applyAlignment="1">
      <alignment horizontal="center" vertical="center" wrapText="1"/>
    </xf>
    <xf numFmtId="9" fontId="12" fillId="7" borderId="7" xfId="1" applyNumberFormat="1" applyFont="1" applyFill="1" applyBorder="1" applyAlignment="1">
      <alignment horizontal="center" vertical="center"/>
    </xf>
    <xf numFmtId="0" fontId="52" fillId="5" borderId="0" xfId="18" applyFont="1" applyFill="1"/>
    <xf numFmtId="0" fontId="52" fillId="5" borderId="0" xfId="18" applyFont="1" applyFill="1" applyAlignment="1">
      <alignment wrapText="1"/>
    </xf>
    <xf numFmtId="0" fontId="54" fillId="11" borderId="2" xfId="18" applyFont="1" applyFill="1" applyBorder="1" applyAlignment="1">
      <alignment horizontal="center" vertical="center" wrapText="1"/>
    </xf>
    <xf numFmtId="0" fontId="52" fillId="5" borderId="11" xfId="18" applyFont="1" applyFill="1" applyBorder="1" applyAlignment="1">
      <alignment horizontal="center" vertical="center" wrapText="1"/>
    </xf>
    <xf numFmtId="0" fontId="52" fillId="5" borderId="15" xfId="18" applyFont="1" applyFill="1" applyBorder="1" applyAlignment="1">
      <alignment horizontal="center" vertical="center" wrapText="1"/>
    </xf>
    <xf numFmtId="0" fontId="58" fillId="13" borderId="7" xfId="0" applyFont="1" applyFill="1" applyBorder="1" applyAlignment="1">
      <alignment horizontal="left" vertical="center" wrapText="1"/>
    </xf>
    <xf numFmtId="0" fontId="58" fillId="13" borderId="16" xfId="0" applyFont="1" applyFill="1" applyBorder="1" applyAlignment="1">
      <alignment horizontal="left" vertical="center" wrapText="1"/>
    </xf>
    <xf numFmtId="0" fontId="49" fillId="0" borderId="0" xfId="16" applyFont="1"/>
    <xf numFmtId="0" fontId="24" fillId="0" borderId="0" xfId="16" applyFont="1"/>
    <xf numFmtId="0" fontId="59" fillId="0" borderId="0" xfId="15" applyFont="1"/>
    <xf numFmtId="0" fontId="10" fillId="14" borderId="7" xfId="1" applyFont="1" applyFill="1" applyBorder="1" applyAlignment="1">
      <alignment horizontal="center" vertical="center" wrapText="1"/>
    </xf>
    <xf numFmtId="0" fontId="13" fillId="15" borderId="7" xfId="1" applyFont="1" applyFill="1" applyBorder="1" applyAlignment="1">
      <alignment horizontal="center" vertical="center"/>
    </xf>
    <xf numFmtId="9" fontId="12" fillId="2" borderId="7" xfId="1" applyNumberFormat="1" applyFont="1" applyFill="1" applyBorder="1" applyAlignment="1">
      <alignment horizontal="center" vertical="center"/>
    </xf>
    <xf numFmtId="0" fontId="13" fillId="17" borderId="7" xfId="1" applyFont="1" applyFill="1" applyBorder="1" applyAlignment="1">
      <alignment horizontal="center" vertical="center"/>
    </xf>
    <xf numFmtId="9" fontId="12" fillId="18" borderId="7" xfId="1" applyNumberFormat="1" applyFont="1" applyFill="1" applyBorder="1" applyAlignment="1">
      <alignment horizontal="center" vertical="center" wrapText="1"/>
    </xf>
    <xf numFmtId="0" fontId="10" fillId="18" borderId="7" xfId="1" applyFont="1" applyFill="1" applyBorder="1" applyAlignment="1">
      <alignment horizontal="center" vertical="center" wrapText="1"/>
    </xf>
    <xf numFmtId="0" fontId="13" fillId="19" borderId="7" xfId="1" applyFont="1" applyFill="1" applyBorder="1" applyAlignment="1">
      <alignment horizontal="center" vertical="center"/>
    </xf>
    <xf numFmtId="0" fontId="10" fillId="7" borderId="7" xfId="1" applyFont="1" applyFill="1" applyBorder="1" applyAlignment="1">
      <alignment horizontal="center" vertical="center" wrapText="1"/>
    </xf>
    <xf numFmtId="0" fontId="13" fillId="20" borderId="7" xfId="1" applyFont="1" applyFill="1" applyBorder="1" applyAlignment="1">
      <alignment horizontal="center" vertical="center"/>
    </xf>
    <xf numFmtId="0" fontId="15" fillId="4" borderId="1" xfId="0" applyFont="1" applyFill="1" applyBorder="1" applyAlignment="1">
      <alignment vertical="top" wrapText="1"/>
    </xf>
    <xf numFmtId="0" fontId="15" fillId="4" borderId="7" xfId="0" applyFont="1" applyFill="1" applyBorder="1" applyAlignment="1">
      <alignment horizontal="left" vertical="top" wrapText="1"/>
    </xf>
    <xf numFmtId="0" fontId="15" fillId="4" borderId="24" xfId="0" applyFont="1" applyFill="1" applyBorder="1" applyAlignment="1">
      <alignment vertical="top" wrapText="1"/>
    </xf>
    <xf numFmtId="0" fontId="16" fillId="0" borderId="1" xfId="0" applyFont="1" applyBorder="1" applyAlignment="1">
      <alignment vertical="top" wrapText="1"/>
    </xf>
    <xf numFmtId="0" fontId="62" fillId="0" borderId="0" xfId="0" applyFont="1"/>
    <xf numFmtId="0" fontId="56" fillId="5" borderId="11" xfId="18" applyFont="1" applyFill="1" applyBorder="1" applyAlignment="1">
      <alignment horizontal="center" vertical="center" wrapText="1"/>
    </xf>
    <xf numFmtId="0" fontId="57" fillId="12" borderId="7" xfId="18" applyFont="1" applyFill="1" applyBorder="1" applyAlignment="1">
      <alignment horizontal="center" vertical="center" wrapText="1"/>
    </xf>
    <xf numFmtId="0" fontId="56" fillId="5" borderId="7" xfId="18" applyFont="1" applyFill="1" applyBorder="1" applyAlignment="1">
      <alignment horizontal="center" vertical="center" wrapText="1"/>
    </xf>
    <xf numFmtId="0" fontId="56" fillId="5" borderId="13" xfId="18" applyFont="1" applyFill="1" applyBorder="1" applyAlignment="1">
      <alignment horizontal="center" vertical="center" wrapText="1"/>
    </xf>
    <xf numFmtId="0" fontId="52" fillId="0" borderId="7" xfId="0" applyFont="1" applyBorder="1" applyAlignment="1">
      <alignment vertical="center" wrapText="1"/>
    </xf>
    <xf numFmtId="0" fontId="63" fillId="0" borderId="13" xfId="0" applyFont="1" applyBorder="1" applyAlignment="1">
      <alignment vertical="center" wrapText="1"/>
    </xf>
    <xf numFmtId="0" fontId="63" fillId="0" borderId="7" xfId="0" applyFont="1" applyBorder="1" applyAlignment="1">
      <alignment vertical="center" wrapText="1"/>
    </xf>
    <xf numFmtId="0" fontId="63" fillId="0" borderId="16" xfId="0" applyFont="1" applyBorder="1" applyAlignment="1">
      <alignment vertical="center" wrapText="1"/>
    </xf>
    <xf numFmtId="0" fontId="63" fillId="0" borderId="17" xfId="0" applyFont="1" applyBorder="1" applyAlignment="1">
      <alignment vertical="center" wrapText="1"/>
    </xf>
    <xf numFmtId="0" fontId="64" fillId="0" borderId="0" xfId="0" applyFont="1" applyAlignment="1">
      <alignment horizontal="left" vertical="center" wrapText="1"/>
    </xf>
    <xf numFmtId="0" fontId="7" fillId="5" borderId="1" xfId="0" applyFont="1" applyFill="1" applyBorder="1" applyAlignment="1">
      <alignment horizontal="center" vertical="center" wrapText="1"/>
    </xf>
    <xf numFmtId="9" fontId="65" fillId="0" borderId="7" xfId="3" applyFont="1" applyBorder="1" applyAlignment="1">
      <alignment horizontal="center" vertical="center" wrapText="1"/>
    </xf>
    <xf numFmtId="0" fontId="7" fillId="0" borderId="1" xfId="0" applyFont="1" applyBorder="1" applyAlignment="1">
      <alignment vertical="top" wrapText="1"/>
    </xf>
    <xf numFmtId="0" fontId="7" fillId="4" borderId="1" xfId="0" applyFont="1" applyFill="1" applyBorder="1" applyAlignment="1">
      <alignment vertical="top" wrapText="1"/>
    </xf>
    <xf numFmtId="0" fontId="7" fillId="4" borderId="23" xfId="0" applyFont="1" applyFill="1" applyBorder="1" applyAlignment="1">
      <alignment horizontal="left" vertical="top" wrapText="1"/>
    </xf>
    <xf numFmtId="0" fontId="7" fillId="4" borderId="7" xfId="0" applyFont="1" applyFill="1" applyBorder="1" applyAlignment="1">
      <alignment horizontal="left" vertical="top" wrapText="1"/>
    </xf>
    <xf numFmtId="0" fontId="7" fillId="5" borderId="7" xfId="0" applyFont="1" applyFill="1" applyBorder="1" applyAlignment="1">
      <alignment horizontal="left" vertical="center" wrapText="1"/>
    </xf>
    <xf numFmtId="0" fontId="7" fillId="4" borderId="20" xfId="0" applyFont="1" applyFill="1" applyBorder="1" applyAlignment="1">
      <alignment vertical="top" wrapText="1"/>
    </xf>
    <xf numFmtId="0" fontId="67" fillId="0" borderId="0" xfId="27" applyFont="1" applyAlignment="1">
      <alignment vertical="top" wrapText="1"/>
    </xf>
    <xf numFmtId="0" fontId="68" fillId="0" borderId="0" xfId="28" applyFont="1" applyBorder="1" applyAlignment="1">
      <alignment vertical="top" wrapText="1"/>
    </xf>
    <xf numFmtId="0" fontId="49" fillId="0" borderId="0" xfId="27" applyFont="1"/>
    <xf numFmtId="0" fontId="44" fillId="0" borderId="0" xfId="27" applyFont="1" applyAlignment="1">
      <alignment vertical="center" wrapText="1"/>
    </xf>
    <xf numFmtId="0" fontId="24" fillId="0" borderId="0" xfId="27" applyFont="1" applyAlignment="1">
      <alignment wrapText="1"/>
    </xf>
    <xf numFmtId="0" fontId="72" fillId="8" borderId="7" xfId="27" applyFont="1" applyFill="1" applyBorder="1" applyAlignment="1">
      <alignment wrapText="1"/>
    </xf>
    <xf numFmtId="0" fontId="26" fillId="0" borderId="7" xfId="27" applyFont="1" applyBorder="1" applyAlignment="1">
      <alignment wrapText="1"/>
    </xf>
    <xf numFmtId="166" fontId="26" fillId="0" borderId="7" xfId="27" applyNumberFormat="1" applyFont="1" applyBorder="1" applyAlignment="1">
      <alignment horizontal="left" wrapText="1"/>
    </xf>
    <xf numFmtId="0" fontId="26" fillId="0" borderId="0" xfId="27" applyFont="1" applyAlignment="1">
      <alignment wrapText="1"/>
    </xf>
    <xf numFmtId="15" fontId="26" fillId="0" borderId="0" xfId="27" applyNumberFormat="1" applyFont="1" applyAlignment="1">
      <alignment wrapText="1"/>
    </xf>
    <xf numFmtId="0" fontId="72" fillId="8" borderId="25" xfId="27" applyFont="1" applyFill="1" applyBorder="1" applyAlignment="1">
      <alignment wrapText="1"/>
    </xf>
    <xf numFmtId="0" fontId="26" fillId="0" borderId="25" xfId="27" applyFont="1" applyBorder="1" applyAlignment="1">
      <alignment wrapText="1"/>
    </xf>
    <xf numFmtId="0" fontId="50" fillId="0" borderId="0" xfId="29">
      <alignment horizontal="left" vertical="center" indent="1"/>
    </xf>
    <xf numFmtId="0" fontId="51" fillId="0" borderId="0" xfId="29" applyFont="1" applyAlignment="1">
      <alignment horizontal="left" vertical="center" wrapText="1" indent="1"/>
    </xf>
    <xf numFmtId="0" fontId="46" fillId="0" borderId="0" xfId="17" applyFont="1" applyAlignment="1"/>
    <xf numFmtId="0" fontId="27" fillId="0" borderId="7" xfId="17" applyFont="1" applyBorder="1" applyAlignment="1">
      <alignment wrapText="1"/>
    </xf>
    <xf numFmtId="0" fontId="74" fillId="0" borderId="0" xfId="17" applyFont="1" applyAlignment="1"/>
    <xf numFmtId="0" fontId="75" fillId="0" borderId="0" xfId="17" applyFont="1" applyAlignment="1"/>
    <xf numFmtId="0" fontId="71" fillId="0" borderId="0" xfId="27" applyFont="1" applyAlignment="1">
      <alignment vertical="center"/>
    </xf>
    <xf numFmtId="0" fontId="71" fillId="0" borderId="0" xfId="27" applyFont="1" applyAlignment="1">
      <alignment vertical="center" wrapText="1"/>
    </xf>
    <xf numFmtId="0" fontId="66" fillId="0" borderId="0" xfId="27" applyFont="1" applyAlignment="1">
      <alignment horizontal="left" vertical="center" wrapText="1"/>
    </xf>
    <xf numFmtId="0" fontId="41" fillId="0" borderId="0" xfId="27" applyFont="1" applyAlignment="1">
      <alignment horizontal="left" wrapText="1"/>
    </xf>
    <xf numFmtId="0" fontId="52" fillId="5" borderId="11" xfId="18" applyFont="1" applyFill="1" applyBorder="1" applyAlignment="1">
      <alignment horizontal="center" vertical="center" wrapText="1"/>
    </xf>
    <xf numFmtId="0" fontId="52" fillId="5" borderId="40" xfId="18" applyFont="1" applyFill="1" applyBorder="1" applyAlignment="1">
      <alignment wrapText="1"/>
    </xf>
    <xf numFmtId="0" fontId="52" fillId="5" borderId="0" xfId="18" applyFont="1" applyFill="1" applyAlignment="1">
      <alignment wrapText="1"/>
    </xf>
    <xf numFmtId="0" fontId="52" fillId="5" borderId="41" xfId="18" applyFont="1" applyFill="1" applyBorder="1" applyAlignment="1">
      <alignment wrapText="1"/>
    </xf>
    <xf numFmtId="0" fontId="52" fillId="5" borderId="12" xfId="18" applyFont="1" applyFill="1" applyBorder="1" applyAlignment="1">
      <alignment wrapText="1"/>
    </xf>
    <xf numFmtId="0" fontId="52" fillId="5" borderId="9" xfId="18" applyFont="1" applyFill="1" applyBorder="1" applyAlignment="1">
      <alignment wrapText="1"/>
    </xf>
    <xf numFmtId="0" fontId="52" fillId="5" borderId="10" xfId="18" applyFont="1" applyFill="1" applyBorder="1" applyAlignment="1">
      <alignment wrapText="1"/>
    </xf>
    <xf numFmtId="0" fontId="55" fillId="11" borderId="3" xfId="18" applyFont="1" applyFill="1" applyBorder="1" applyAlignment="1">
      <alignment horizontal="center" vertical="center" wrapText="1"/>
    </xf>
    <xf numFmtId="0" fontId="55" fillId="11" borderId="14" xfId="18" applyFont="1" applyFill="1" applyBorder="1" applyAlignment="1">
      <alignment horizontal="center" vertical="center" wrapText="1"/>
    </xf>
    <xf numFmtId="0" fontId="53" fillId="11" borderId="39" xfId="30" applyFont="1" applyFill="1" applyBorder="1" applyAlignment="1">
      <alignment horizontal="center" vertical="center" wrapText="1"/>
    </xf>
    <xf numFmtId="0" fontId="53" fillId="11" borderId="5" xfId="30" applyFont="1" applyFill="1" applyBorder="1" applyAlignment="1">
      <alignment horizontal="center" vertical="center" wrapText="1"/>
    </xf>
    <xf numFmtId="0" fontId="53" fillId="11" borderId="6" xfId="30" applyFont="1" applyFill="1" applyBorder="1" applyAlignment="1">
      <alignment horizontal="center" vertical="center" wrapText="1"/>
    </xf>
    <xf numFmtId="0" fontId="52" fillId="5" borderId="42" xfId="18" applyFont="1" applyFill="1" applyBorder="1" applyAlignment="1">
      <alignment horizontal="left" vertical="center" wrapText="1"/>
    </xf>
    <xf numFmtId="0" fontId="52" fillId="5" borderId="4" xfId="18" applyFont="1" applyFill="1" applyBorder="1" applyAlignment="1">
      <alignment horizontal="left" vertical="center" wrapText="1"/>
    </xf>
    <xf numFmtId="0" fontId="52" fillId="5" borderId="43" xfId="18" applyFont="1" applyFill="1" applyBorder="1" applyAlignment="1">
      <alignment horizontal="left" vertical="center" wrapText="1"/>
    </xf>
    <xf numFmtId="0" fontId="52" fillId="5" borderId="40" xfId="18" applyFont="1" applyFill="1" applyBorder="1" applyAlignment="1">
      <alignment horizontal="left" vertical="center" wrapText="1"/>
    </xf>
    <xf numFmtId="0" fontId="52" fillId="5" borderId="0" xfId="18" applyFont="1" applyFill="1" applyAlignment="1">
      <alignment horizontal="left" vertical="center" wrapText="1"/>
    </xf>
    <xf numFmtId="0" fontId="52" fillId="5" borderId="41" xfId="18" applyFont="1" applyFill="1" applyBorder="1" applyAlignment="1">
      <alignment horizontal="left" vertical="center" wrapText="1"/>
    </xf>
    <xf numFmtId="0" fontId="52" fillId="5" borderId="12" xfId="18" applyFont="1" applyFill="1" applyBorder="1" applyAlignment="1">
      <alignment horizontal="left" vertical="center" wrapText="1"/>
    </xf>
    <xf numFmtId="0" fontId="52" fillId="5" borderId="9" xfId="18" applyFont="1" applyFill="1" applyBorder="1" applyAlignment="1">
      <alignment horizontal="left" vertical="center" wrapText="1"/>
    </xf>
    <xf numFmtId="0" fontId="52" fillId="5" borderId="10" xfId="18" applyFont="1" applyFill="1" applyBorder="1" applyAlignment="1">
      <alignment horizontal="left" vertical="center" wrapText="1"/>
    </xf>
    <xf numFmtId="0" fontId="15" fillId="5" borderId="20" xfId="0" applyFont="1" applyFill="1" applyBorder="1" applyAlignment="1">
      <alignment horizontal="center" vertical="center" wrapText="1"/>
    </xf>
    <xf numFmtId="0" fontId="15" fillId="5" borderId="21" xfId="0" applyFont="1" applyFill="1" applyBorder="1" applyAlignment="1">
      <alignment horizontal="center" vertical="center" wrapText="1"/>
    </xf>
    <xf numFmtId="0" fontId="15" fillId="5" borderId="22"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14" fillId="0" borderId="1" xfId="0" applyFont="1" applyBorder="1" applyAlignment="1">
      <alignment horizontal="center" vertical="center" wrapText="1"/>
    </xf>
    <xf numFmtId="0" fontId="61" fillId="6" borderId="1" xfId="0" applyFont="1" applyFill="1" applyBorder="1" applyAlignment="1">
      <alignment horizontal="center" vertical="center" wrapText="1"/>
    </xf>
    <xf numFmtId="9" fontId="12" fillId="3" borderId="27" xfId="1" applyNumberFormat="1" applyFont="1" applyFill="1" applyBorder="1" applyAlignment="1">
      <alignment horizontal="center" vertical="center" wrapText="1"/>
    </xf>
    <xf numFmtId="9" fontId="12" fillId="3" borderId="34" xfId="1" applyNumberFormat="1" applyFont="1" applyFill="1" applyBorder="1" applyAlignment="1">
      <alignment horizontal="center" vertical="center" wrapText="1"/>
    </xf>
    <xf numFmtId="9" fontId="12" fillId="3" borderId="8" xfId="1" applyNumberFormat="1" applyFont="1" applyFill="1" applyBorder="1" applyAlignment="1">
      <alignment horizontal="center" vertical="center" wrapText="1"/>
    </xf>
    <xf numFmtId="9" fontId="12" fillId="2" borderId="27" xfId="1" applyNumberFormat="1" applyFont="1" applyFill="1" applyBorder="1" applyAlignment="1">
      <alignment horizontal="center" vertical="center"/>
    </xf>
    <xf numFmtId="9" fontId="12" fillId="2" borderId="34" xfId="1" applyNumberFormat="1" applyFont="1" applyFill="1" applyBorder="1" applyAlignment="1">
      <alignment horizontal="center" vertical="center"/>
    </xf>
    <xf numFmtId="9" fontId="12" fillId="2" borderId="8" xfId="1" applyNumberFormat="1" applyFont="1" applyFill="1" applyBorder="1" applyAlignment="1">
      <alignment horizontal="center" vertical="center"/>
    </xf>
    <xf numFmtId="9" fontId="12" fillId="18" borderId="27" xfId="1" applyNumberFormat="1" applyFont="1" applyFill="1" applyBorder="1" applyAlignment="1">
      <alignment horizontal="center" vertical="center" wrapText="1"/>
    </xf>
    <xf numFmtId="9" fontId="12" fillId="18" borderId="34" xfId="1" applyNumberFormat="1" applyFont="1" applyFill="1" applyBorder="1" applyAlignment="1">
      <alignment horizontal="center" vertical="center" wrapText="1"/>
    </xf>
    <xf numFmtId="9" fontId="12" fillId="18" borderId="8" xfId="1" applyNumberFormat="1" applyFont="1" applyFill="1" applyBorder="1" applyAlignment="1">
      <alignment horizontal="center" vertical="center" wrapText="1"/>
    </xf>
    <xf numFmtId="9" fontId="12" fillId="7" borderId="27" xfId="1" applyNumberFormat="1" applyFont="1" applyFill="1" applyBorder="1" applyAlignment="1">
      <alignment horizontal="center" vertical="center"/>
    </xf>
    <xf numFmtId="9" fontId="12" fillId="7" borderId="34" xfId="1" applyNumberFormat="1" applyFont="1" applyFill="1" applyBorder="1" applyAlignment="1">
      <alignment horizontal="center" vertical="center"/>
    </xf>
    <xf numFmtId="9" fontId="12" fillId="7" borderId="8" xfId="1" applyNumberFormat="1" applyFont="1" applyFill="1" applyBorder="1" applyAlignment="1">
      <alignment horizontal="center" vertical="center"/>
    </xf>
    <xf numFmtId="0" fontId="10" fillId="3" borderId="27" xfId="1" applyFont="1" applyFill="1" applyBorder="1" applyAlignment="1">
      <alignment horizontal="center" vertical="center" wrapText="1"/>
    </xf>
    <xf numFmtId="0" fontId="10" fillId="3" borderId="8" xfId="1" applyFont="1" applyFill="1" applyBorder="1" applyAlignment="1">
      <alignment horizontal="center" vertical="center" wrapText="1"/>
    </xf>
    <xf numFmtId="0" fontId="10" fillId="2" borderId="27" xfId="1" applyFont="1" applyFill="1" applyBorder="1" applyAlignment="1">
      <alignment horizontal="center" vertical="center" wrapText="1"/>
    </xf>
    <xf numFmtId="0" fontId="10" fillId="2" borderId="8" xfId="1" applyFont="1" applyFill="1" applyBorder="1" applyAlignment="1">
      <alignment horizontal="center" vertical="center" wrapText="1"/>
    </xf>
    <xf numFmtId="0" fontId="10" fillId="18" borderId="27" xfId="1" applyFont="1" applyFill="1" applyBorder="1" applyAlignment="1">
      <alignment horizontal="center" vertical="center" wrapText="1"/>
    </xf>
    <xf numFmtId="0" fontId="10" fillId="18" borderId="8" xfId="1" applyFont="1" applyFill="1" applyBorder="1" applyAlignment="1">
      <alignment horizontal="center" vertical="center" wrapText="1"/>
    </xf>
    <xf numFmtId="0" fontId="10" fillId="7" borderId="27" xfId="1" applyFont="1" applyFill="1" applyBorder="1" applyAlignment="1">
      <alignment horizontal="center" vertical="center" wrapText="1"/>
    </xf>
    <xf numFmtId="0" fontId="10" fillId="7" borderId="8" xfId="1" applyFont="1" applyFill="1" applyBorder="1" applyAlignment="1">
      <alignment horizontal="center" vertical="center" wrapText="1"/>
    </xf>
    <xf numFmtId="0" fontId="10" fillId="2" borderId="7" xfId="1" applyFont="1" applyFill="1" applyBorder="1" applyAlignment="1">
      <alignment horizontal="center" vertical="center" wrapText="1"/>
    </xf>
    <xf numFmtId="0" fontId="7" fillId="0" borderId="7" xfId="1" applyFont="1" applyBorder="1" applyAlignment="1">
      <alignment horizontal="center" vertical="center" wrapText="1"/>
    </xf>
    <xf numFmtId="164" fontId="11" fillId="16" borderId="7" xfId="1" applyNumberFormat="1" applyFont="1" applyFill="1" applyBorder="1" applyAlignment="1">
      <alignment horizontal="center" vertical="center"/>
    </xf>
    <xf numFmtId="0" fontId="6" fillId="0" borderId="7" xfId="1" applyFont="1" applyBorder="1" applyAlignment="1">
      <alignment horizontal="left" vertical="center" wrapText="1"/>
    </xf>
    <xf numFmtId="164" fontId="13" fillId="15" borderId="7" xfId="1" applyNumberFormat="1" applyFont="1" applyFill="1" applyBorder="1" applyAlignment="1">
      <alignment horizontal="center" vertical="center"/>
    </xf>
    <xf numFmtId="164" fontId="13" fillId="17" borderId="7" xfId="1" applyNumberFormat="1" applyFont="1" applyFill="1" applyBorder="1" applyAlignment="1">
      <alignment horizontal="center" vertical="center"/>
    </xf>
    <xf numFmtId="164" fontId="13" fillId="19" borderId="7" xfId="1" applyNumberFormat="1" applyFont="1" applyFill="1" applyBorder="1" applyAlignment="1">
      <alignment horizontal="center" vertical="center"/>
    </xf>
    <xf numFmtId="164" fontId="13" fillId="20" borderId="7" xfId="1" applyNumberFormat="1" applyFont="1" applyFill="1" applyBorder="1" applyAlignment="1">
      <alignment horizontal="center" vertical="center"/>
    </xf>
    <xf numFmtId="0" fontId="6" fillId="4" borderId="23" xfId="1" applyFont="1" applyFill="1" applyBorder="1" applyAlignment="1">
      <alignment horizontal="center" vertical="center" wrapText="1"/>
    </xf>
    <xf numFmtId="0" fontId="6" fillId="4" borderId="26" xfId="1" applyFont="1" applyFill="1" applyBorder="1" applyAlignment="1">
      <alignment horizontal="center" vertical="center" wrapText="1"/>
    </xf>
    <xf numFmtId="0" fontId="60" fillId="14" borderId="27" xfId="10" applyFont="1" applyFill="1" applyBorder="1" applyAlignment="1">
      <alignment horizontal="center" vertical="center"/>
    </xf>
    <xf numFmtId="0" fontId="60" fillId="14" borderId="34" xfId="10" applyFont="1" applyFill="1" applyBorder="1" applyAlignment="1">
      <alignment horizontal="center" vertical="center"/>
    </xf>
    <xf numFmtId="0" fontId="60" fillId="14" borderId="8" xfId="10" applyFont="1" applyFill="1" applyBorder="1" applyAlignment="1">
      <alignment horizontal="center" vertical="center"/>
    </xf>
    <xf numFmtId="0" fontId="12" fillId="14" borderId="7" xfId="1" applyFont="1" applyFill="1" applyBorder="1" applyAlignment="1">
      <alignment horizontal="center" vertical="center"/>
    </xf>
    <xf numFmtId="0" fontId="12" fillId="14" borderId="27" xfId="1" applyFont="1" applyFill="1" applyBorder="1" applyAlignment="1">
      <alignment horizontal="center" vertical="center"/>
    </xf>
    <xf numFmtId="0" fontId="12" fillId="14" borderId="34" xfId="1" applyFont="1" applyFill="1" applyBorder="1" applyAlignment="1">
      <alignment horizontal="center" vertical="center"/>
    </xf>
    <xf numFmtId="0" fontId="12" fillId="14" borderId="8" xfId="1" applyFont="1" applyFill="1" applyBorder="1" applyAlignment="1">
      <alignment horizontal="center" vertical="center"/>
    </xf>
    <xf numFmtId="0" fontId="36" fillId="8" borderId="27" xfId="8" applyFont="1" applyFill="1" applyBorder="1" applyAlignment="1">
      <alignment horizontal="center" vertical="center" wrapText="1"/>
    </xf>
    <xf numFmtId="0" fontId="36" fillId="8" borderId="34" xfId="8" applyFont="1" applyFill="1" applyBorder="1" applyAlignment="1">
      <alignment horizontal="center" vertical="center" wrapText="1"/>
    </xf>
    <xf numFmtId="0" fontId="30" fillId="6" borderId="23" xfId="8" applyFont="1" applyFill="1" applyBorder="1" applyAlignment="1">
      <alignment horizontal="center" vertical="center" wrapText="1"/>
    </xf>
    <xf numFmtId="0" fontId="30" fillId="6" borderId="26" xfId="8" applyFont="1" applyFill="1" applyBorder="1" applyAlignment="1">
      <alignment horizontal="center" vertical="center" wrapText="1"/>
    </xf>
    <xf numFmtId="0" fontId="30" fillId="6" borderId="35" xfId="8" applyFont="1" applyFill="1" applyBorder="1" applyAlignment="1">
      <alignment horizontal="left" vertical="center" wrapText="1"/>
    </xf>
    <xf numFmtId="0" fontId="30" fillId="6" borderId="36" xfId="8" applyFont="1" applyFill="1" applyBorder="1" applyAlignment="1">
      <alignment horizontal="left" vertical="center" wrapText="1"/>
    </xf>
    <xf numFmtId="0" fontId="30" fillId="6" borderId="37" xfId="8" applyFont="1" applyFill="1" applyBorder="1" applyAlignment="1">
      <alignment horizontal="left" vertical="center" wrapText="1"/>
    </xf>
    <xf numFmtId="0" fontId="30" fillId="6" borderId="38" xfId="8" applyFont="1" applyFill="1" applyBorder="1" applyAlignment="1">
      <alignment horizontal="left" vertical="center" wrapText="1"/>
    </xf>
    <xf numFmtId="0" fontId="30" fillId="6" borderId="7" xfId="8" applyFont="1" applyFill="1" applyBorder="1" applyAlignment="1">
      <alignment horizontal="center" vertical="center" wrapText="1"/>
    </xf>
    <xf numFmtId="0" fontId="30" fillId="6" borderId="28" xfId="8" applyFont="1" applyFill="1" applyBorder="1" applyAlignment="1">
      <alignment horizontal="center" vertical="center" wrapText="1"/>
    </xf>
    <xf numFmtId="0" fontId="28" fillId="6" borderId="27" xfId="1" applyFont="1" applyFill="1" applyBorder="1" applyAlignment="1">
      <alignment horizontal="center" vertical="center" wrapText="1"/>
    </xf>
    <xf numFmtId="0" fontId="28" fillId="6" borderId="34" xfId="1" applyFont="1" applyFill="1" applyBorder="1" applyAlignment="1">
      <alignment horizontal="center" vertical="center" wrapText="1"/>
    </xf>
    <xf numFmtId="0" fontId="28" fillId="6" borderId="8" xfId="1" applyFont="1" applyFill="1" applyBorder="1" applyAlignment="1">
      <alignment horizontal="center" vertical="center" wrapText="1"/>
    </xf>
    <xf numFmtId="0" fontId="69" fillId="0" borderId="0" xfId="27" applyFont="1" applyAlignment="1">
      <alignment vertical="center" wrapText="1"/>
    </xf>
    <xf numFmtId="0" fontId="24" fillId="0" borderId="0" xfId="27" applyFont="1"/>
    <xf numFmtId="0" fontId="70" fillId="0" borderId="0" xfId="27" applyFont="1" applyAlignment="1">
      <alignment horizontal="left" vertical="center" wrapText="1"/>
    </xf>
    <xf numFmtId="0" fontId="71" fillId="0" borderId="0" xfId="27" applyFont="1" applyAlignment="1">
      <alignment horizontal="left"/>
    </xf>
    <xf numFmtId="0" fontId="73" fillId="0" borderId="0" xfId="27" applyFont="1" applyAlignment="1">
      <alignment horizontal="left"/>
    </xf>
    <xf numFmtId="0" fontId="25" fillId="0" borderId="0" xfId="15" applyFont="1" applyAlignment="1">
      <alignment horizontal="left" wrapText="1"/>
    </xf>
    <xf numFmtId="0" fontId="25" fillId="0" borderId="7" xfId="0" applyFont="1" applyBorder="1" applyAlignment="1">
      <alignment vertical="top" wrapText="1"/>
    </xf>
    <xf numFmtId="0" fontId="25" fillId="0" borderId="7" xfId="31" applyFont="1" applyBorder="1" applyAlignment="1">
      <alignment vertical="top" wrapText="1"/>
    </xf>
    <xf numFmtId="166" fontId="25" fillId="0" borderId="7" xfId="31" applyNumberFormat="1" applyFont="1" applyBorder="1" applyAlignment="1">
      <alignment horizontal="left" vertical="top" wrapText="1"/>
    </xf>
    <xf numFmtId="0" fontId="25" fillId="0" borderId="0" xfId="27" applyFont="1"/>
  </cellXfs>
  <cellStyles count="32">
    <cellStyle name="Hyperlink 2" xfId="28" xr:uid="{C5E006D1-0C06-43CF-ACD2-4CF66C42992A}"/>
    <cellStyle name="Normal" xfId="0" builtinId="0"/>
    <cellStyle name="Normal 10" xfId="14" xr:uid="{4F0BF338-F188-4D10-8931-A7CF14D07873}"/>
    <cellStyle name="Normal 10 2" xfId="22" xr:uid="{80686367-35CD-40BA-88F8-E673FEF81DB0}"/>
    <cellStyle name="Normal 2" xfId="13" xr:uid="{1318AFC3-83B7-424A-9FC1-1283CEB21F14}"/>
    <cellStyle name="Normal 2 2" xfId="15" xr:uid="{BF965C67-27E4-4CC7-A559-8F4E2DD649E2}"/>
    <cellStyle name="Normal 2 3" xfId="17" xr:uid="{EBA6B788-892B-44E4-8C5B-614FBE01A9B5}"/>
    <cellStyle name="Normal 2 4" xfId="19" xr:uid="{E582217F-3512-49D0-9AD8-B829DF72103B}"/>
    <cellStyle name="Normal 21" xfId="12" xr:uid="{44958215-0DF1-490C-89B0-0F88BCBC4FDC}"/>
    <cellStyle name="Normal 21 2" xfId="20" xr:uid="{2C93E9FA-F733-452A-AA0A-CCC9D966E6F2}"/>
    <cellStyle name="Normal 3" xfId="16" xr:uid="{8EA3A3EE-3CD1-42E8-B62F-99E8ECCB8778}"/>
    <cellStyle name="Normal 3 2" xfId="23" xr:uid="{0571446D-AA48-43DE-83A9-EFC178B69E89}"/>
    <cellStyle name="Normal 3 2 2" xfId="27" xr:uid="{48FD7343-1468-4475-9816-9A14F16D0D0D}"/>
    <cellStyle name="Normal 3 3" xfId="31" xr:uid="{1BC26587-7BB7-4F70-A9E0-1A4C57791463}"/>
    <cellStyle name="Normal 4" xfId="18" xr:uid="{13E3DD62-EC8C-4841-A4BF-3E997D58EA46}"/>
    <cellStyle name="Normal 4 2" xfId="25" xr:uid="{D50B5A28-146F-4C93-BFEF-E3F6206FF1A8}"/>
    <cellStyle name="Normal 5" xfId="21" xr:uid="{7483171B-1FB4-4A97-8D65-2AEA12DF8057}"/>
    <cellStyle name="Normal 5 2" xfId="29" xr:uid="{88E45A8C-BB9B-43D9-BE7E-7218AFADBB06}"/>
    <cellStyle name="Percent" xfId="3" builtinId="5"/>
    <cellStyle name="Percent 2" xfId="24" xr:uid="{91EEB214-F3C1-4B80-889A-A9F6DE037FFC}"/>
    <cellStyle name="백분율 2" xfId="2" xr:uid="{175F1027-62FF-423F-BCAA-39B2DDFCC77D}"/>
    <cellStyle name="표준 2" xfId="1" xr:uid="{3F018848-DB59-4380-9023-F52D9C6602BB}"/>
    <cellStyle name="표준 3" xfId="4" xr:uid="{9E46DBE2-4E9A-40D1-9C54-7AC249B6D48B}"/>
    <cellStyle name="표준 4" xfId="30" xr:uid="{C27D369C-C06E-48F8-B740-B10BAC6A738B}"/>
    <cellStyle name="常规 2" xfId="8" xr:uid="{09A31A7A-E8C2-4386-B5D9-98718172A92F}"/>
    <cellStyle name="常规 3" xfId="11" xr:uid="{93AEEC58-DF04-403A-B8FC-A99C84C1ABA4}"/>
    <cellStyle name="常规 3 2" xfId="26" xr:uid="{D29FFE1E-A23C-42CF-BDF4-B66385DCF863}"/>
    <cellStyle name="常规 4" xfId="7" xr:uid="{9145442D-01E6-4686-BD22-2E1AFCC6B6AF}"/>
    <cellStyle name="常规 5" xfId="6" xr:uid="{21870476-E88F-45BB-A1BB-D9DC67F09E13}"/>
    <cellStyle name="常规 6" xfId="5" xr:uid="{5071B2C3-4D6A-4CE8-9705-EC087830E685}"/>
    <cellStyle name="常规 7" xfId="10" xr:uid="{ED0C3C63-8EB8-4860-AF58-A15AF861EBE7}"/>
    <cellStyle name="百分比 2" xfId="9" xr:uid="{0A35B0DF-BD1E-4117-9FA4-08CDE3D6529F}"/>
  </cellStyles>
  <dxfs count="0"/>
  <tableStyles count="0" defaultTableStyle="TableStyleMedium9" defaultPivotStyle="PivotStyleLight16"/>
  <colors>
    <mruColors>
      <color rgb="FFD8E4BC"/>
      <color rgb="FFFCD5B4"/>
      <color rgb="FFB7DEE8"/>
      <color rgb="FFE2EFDA"/>
      <color rgb="FFFDE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2</xdr:col>
      <xdr:colOff>2540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C45D7A2B-70C9-48EE-9B90-ADEC3222FB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755" y="19050"/>
          <a:ext cx="1034415" cy="943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1</xdr:col>
      <xdr:colOff>2540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D90B63D8-BD72-40B2-AE37-5E63DE480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916940" cy="907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86786</xdr:colOff>
      <xdr:row>1</xdr:row>
      <xdr:rowOff>0</xdr:rowOff>
    </xdr:from>
    <xdr:to>
      <xdr:col>14</xdr:col>
      <xdr:colOff>77261</xdr:colOff>
      <xdr:row>7</xdr:row>
      <xdr:rowOff>95505</xdr:rowOff>
    </xdr:to>
    <xdr:pic>
      <xdr:nvPicPr>
        <xdr:cNvPr id="2" name="Picture 1">
          <a:extLst>
            <a:ext uri="{FF2B5EF4-FFF2-40B4-BE49-F238E27FC236}">
              <a16:creationId xmlns:a16="http://schemas.microsoft.com/office/drawing/2014/main" id="{F3487470-C578-4B69-8476-E76BF33956FC}"/>
            </a:ext>
          </a:extLst>
        </xdr:cNvPr>
        <xdr:cNvPicPr>
          <a:picLocks noChangeAspect="1"/>
        </xdr:cNvPicPr>
      </xdr:nvPicPr>
      <xdr:blipFill>
        <a:blip xmlns:r="http://schemas.openxmlformats.org/officeDocument/2006/relationships" r:embed="rId1"/>
        <a:stretch>
          <a:fillRect/>
        </a:stretch>
      </xdr:blipFill>
      <xdr:spPr>
        <a:xfrm>
          <a:off x="12145436" y="161925"/>
          <a:ext cx="5095875" cy="1297560"/>
        </a:xfrm>
        <a:prstGeom prst="rect">
          <a:avLst/>
        </a:prstGeom>
      </xdr:spPr>
    </xdr:pic>
    <xdr:clientData/>
  </xdr:twoCellAnchor>
  <xdr:twoCellAnchor editAs="oneCell">
    <xdr:from>
      <xdr:col>6</xdr:col>
      <xdr:colOff>107950</xdr:colOff>
      <xdr:row>22</xdr:row>
      <xdr:rowOff>282788</xdr:rowOff>
    </xdr:from>
    <xdr:to>
      <xdr:col>12</xdr:col>
      <xdr:colOff>247653</xdr:colOff>
      <xdr:row>22</xdr:row>
      <xdr:rowOff>841499</xdr:rowOff>
    </xdr:to>
    <xdr:pic>
      <xdr:nvPicPr>
        <xdr:cNvPr id="3" name="Picture 9">
          <a:extLst>
            <a:ext uri="{FF2B5EF4-FFF2-40B4-BE49-F238E27FC236}">
              <a16:creationId xmlns:a16="http://schemas.microsoft.com/office/drawing/2014/main" id="{24472CA1-CE97-4635-95AC-97B0D34D6E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66600" y="5464388"/>
          <a:ext cx="3968753"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101604</xdr:colOff>
      <xdr:row>28</xdr:row>
      <xdr:rowOff>115142</xdr:rowOff>
    </xdr:from>
    <xdr:to>
      <xdr:col>12</xdr:col>
      <xdr:colOff>246384</xdr:colOff>
      <xdr:row>28</xdr:row>
      <xdr:rowOff>663782</xdr:rowOff>
    </xdr:to>
    <xdr:pic>
      <xdr:nvPicPr>
        <xdr:cNvPr id="4" name="Picture 15">
          <a:extLst>
            <a:ext uri="{FF2B5EF4-FFF2-40B4-BE49-F238E27FC236}">
              <a16:creationId xmlns:a16="http://schemas.microsoft.com/office/drawing/2014/main" id="{C2D3BA1E-0F0F-4221-82FD-4B548519C4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60254" y="12783392"/>
          <a:ext cx="397383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101604</xdr:colOff>
      <xdr:row>29</xdr:row>
      <xdr:rowOff>237062</xdr:rowOff>
    </xdr:from>
    <xdr:to>
      <xdr:col>12</xdr:col>
      <xdr:colOff>246384</xdr:colOff>
      <xdr:row>29</xdr:row>
      <xdr:rowOff>745909</xdr:rowOff>
    </xdr:to>
    <xdr:pic>
      <xdr:nvPicPr>
        <xdr:cNvPr id="5" name="Picture 16">
          <a:extLst>
            <a:ext uri="{FF2B5EF4-FFF2-40B4-BE49-F238E27FC236}">
              <a16:creationId xmlns:a16="http://schemas.microsoft.com/office/drawing/2014/main" id="{E314FB98-D002-4A37-A741-034BFC20A1D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60254" y="13972112"/>
          <a:ext cx="3973830" cy="50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22</xdr:row>
      <xdr:rowOff>1371599</xdr:rowOff>
    </xdr:from>
    <xdr:to>
      <xdr:col>6</xdr:col>
      <xdr:colOff>84666</xdr:colOff>
      <xdr:row>25</xdr:row>
      <xdr:rowOff>6350</xdr:rowOff>
    </xdr:to>
    <xdr:sp macro="" textlink="">
      <xdr:nvSpPr>
        <xdr:cNvPr id="6" name="Right Brace 18">
          <a:extLst>
            <a:ext uri="{FF2B5EF4-FFF2-40B4-BE49-F238E27FC236}">
              <a16:creationId xmlns:a16="http://schemas.microsoft.com/office/drawing/2014/main" id="{BA9BBF66-1856-4294-B40F-FFFBAB0B6BD6}"/>
            </a:ext>
          </a:extLst>
        </xdr:cNvPr>
        <xdr:cNvSpPr/>
      </xdr:nvSpPr>
      <xdr:spPr>
        <a:xfrm>
          <a:off x="11782425" y="6553199"/>
          <a:ext cx="360891" cy="2854326"/>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25</xdr:row>
      <xdr:rowOff>0</xdr:rowOff>
    </xdr:from>
    <xdr:to>
      <xdr:col>6</xdr:col>
      <xdr:colOff>93133</xdr:colOff>
      <xdr:row>28</xdr:row>
      <xdr:rowOff>0</xdr:rowOff>
    </xdr:to>
    <xdr:sp macro="" textlink="">
      <xdr:nvSpPr>
        <xdr:cNvPr id="7" name="Right Brace 19">
          <a:extLst>
            <a:ext uri="{FF2B5EF4-FFF2-40B4-BE49-F238E27FC236}">
              <a16:creationId xmlns:a16="http://schemas.microsoft.com/office/drawing/2014/main" id="{680BBA52-145D-4974-B7F3-81AEEB11C662}"/>
            </a:ext>
          </a:extLst>
        </xdr:cNvPr>
        <xdr:cNvSpPr/>
      </xdr:nvSpPr>
      <xdr:spPr>
        <a:xfrm>
          <a:off x="11790892" y="9401175"/>
          <a:ext cx="360891" cy="3267075"/>
        </a:xfrm>
        <a:prstGeom prst="rightBrace">
          <a:avLst>
            <a:gd name="adj1" fmla="val 6458"/>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9524</xdr:colOff>
      <xdr:row>28</xdr:row>
      <xdr:rowOff>19050</xdr:rowOff>
    </xdr:from>
    <xdr:to>
      <xdr:col>6</xdr:col>
      <xdr:colOff>76200</xdr:colOff>
      <xdr:row>29</xdr:row>
      <xdr:rowOff>0</xdr:rowOff>
    </xdr:to>
    <xdr:sp macro="" textlink="">
      <xdr:nvSpPr>
        <xdr:cNvPr id="8" name="Right Brace 20">
          <a:extLst>
            <a:ext uri="{FF2B5EF4-FFF2-40B4-BE49-F238E27FC236}">
              <a16:creationId xmlns:a16="http://schemas.microsoft.com/office/drawing/2014/main" id="{9385F7CF-081B-434D-97BB-9916132FA945}"/>
            </a:ext>
          </a:extLst>
        </xdr:cNvPr>
        <xdr:cNvSpPr/>
      </xdr:nvSpPr>
      <xdr:spPr>
        <a:xfrm>
          <a:off x="11791949" y="12687300"/>
          <a:ext cx="342901" cy="10477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6372225</xdr:colOff>
      <xdr:row>29</xdr:row>
      <xdr:rowOff>2117</xdr:rowOff>
    </xdr:from>
    <xdr:to>
      <xdr:col>6</xdr:col>
      <xdr:colOff>76199</xdr:colOff>
      <xdr:row>30</xdr:row>
      <xdr:rowOff>1</xdr:rowOff>
    </xdr:to>
    <xdr:sp macro="" textlink="">
      <xdr:nvSpPr>
        <xdr:cNvPr id="9" name="Right Brace 21">
          <a:extLst>
            <a:ext uri="{FF2B5EF4-FFF2-40B4-BE49-F238E27FC236}">
              <a16:creationId xmlns:a16="http://schemas.microsoft.com/office/drawing/2014/main" id="{D68A97EA-91D4-479F-BB89-35759F8D3579}"/>
            </a:ext>
          </a:extLst>
        </xdr:cNvPr>
        <xdr:cNvSpPr/>
      </xdr:nvSpPr>
      <xdr:spPr>
        <a:xfrm>
          <a:off x="11763375" y="13737167"/>
          <a:ext cx="371474" cy="155998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12</xdr:col>
      <xdr:colOff>213360</xdr:colOff>
      <xdr:row>11</xdr:row>
      <xdr:rowOff>220980</xdr:rowOff>
    </xdr:from>
    <xdr:to>
      <xdr:col>17</xdr:col>
      <xdr:colOff>323849</xdr:colOff>
      <xdr:row>17</xdr:row>
      <xdr:rowOff>219953</xdr:rowOff>
    </xdr:to>
    <xdr:pic>
      <xdr:nvPicPr>
        <xdr:cNvPr id="10" name="Picture 2">
          <a:extLst>
            <a:ext uri="{FF2B5EF4-FFF2-40B4-BE49-F238E27FC236}">
              <a16:creationId xmlns:a16="http://schemas.microsoft.com/office/drawing/2014/main" id="{70027206-BEF0-4B66-A624-F7581F12FE45}"/>
            </a:ext>
          </a:extLst>
        </xdr:cNvPr>
        <xdr:cNvPicPr>
          <a:picLocks noChangeAspect="1"/>
        </xdr:cNvPicPr>
      </xdr:nvPicPr>
      <xdr:blipFill>
        <a:blip xmlns:r="http://schemas.openxmlformats.org/officeDocument/2006/relationships" r:embed="rId5"/>
        <a:stretch>
          <a:fillRect/>
        </a:stretch>
      </xdr:blipFill>
      <xdr:spPr>
        <a:xfrm>
          <a:off x="16101060" y="2573655"/>
          <a:ext cx="3312794" cy="1648703"/>
        </a:xfrm>
        <a:prstGeom prst="rect">
          <a:avLst/>
        </a:prstGeom>
      </xdr:spPr>
    </xdr:pic>
    <xdr:clientData/>
  </xdr:twoCellAnchor>
  <xdr:twoCellAnchor editAs="oneCell">
    <xdr:from>
      <xdr:col>6</xdr:col>
      <xdr:colOff>60960</xdr:colOff>
      <xdr:row>11</xdr:row>
      <xdr:rowOff>396240</xdr:rowOff>
    </xdr:from>
    <xdr:to>
      <xdr:col>12</xdr:col>
      <xdr:colOff>212154</xdr:colOff>
      <xdr:row>16</xdr:row>
      <xdr:rowOff>277099</xdr:rowOff>
    </xdr:to>
    <xdr:pic>
      <xdr:nvPicPr>
        <xdr:cNvPr id="11" name="Picture 3">
          <a:extLst>
            <a:ext uri="{FF2B5EF4-FFF2-40B4-BE49-F238E27FC236}">
              <a16:creationId xmlns:a16="http://schemas.microsoft.com/office/drawing/2014/main" id="{05EB656E-4331-471D-B535-271F7E9DAEEB}"/>
            </a:ext>
          </a:extLst>
        </xdr:cNvPr>
        <xdr:cNvPicPr>
          <a:picLocks noChangeAspect="1"/>
        </xdr:cNvPicPr>
      </xdr:nvPicPr>
      <xdr:blipFill>
        <a:blip xmlns:r="http://schemas.openxmlformats.org/officeDocument/2006/relationships" r:embed="rId6"/>
        <a:stretch>
          <a:fillRect/>
        </a:stretch>
      </xdr:blipFill>
      <xdr:spPr>
        <a:xfrm>
          <a:off x="12119610" y="2567940"/>
          <a:ext cx="3972624" cy="1294369"/>
        </a:xfrm>
        <a:prstGeom prst="rect">
          <a:avLst/>
        </a:prstGeom>
      </xdr:spPr>
    </xdr:pic>
    <xdr:clientData/>
  </xdr:twoCellAnchor>
  <xdr:twoCellAnchor>
    <xdr:from>
      <xdr:col>5</xdr:col>
      <xdr:colOff>12700</xdr:colOff>
      <xdr:row>22</xdr:row>
      <xdr:rowOff>25399</xdr:rowOff>
    </xdr:from>
    <xdr:to>
      <xdr:col>6</xdr:col>
      <xdr:colOff>97366</xdr:colOff>
      <xdr:row>22</xdr:row>
      <xdr:rowOff>1365250</xdr:rowOff>
    </xdr:to>
    <xdr:sp macro="" textlink="">
      <xdr:nvSpPr>
        <xdr:cNvPr id="12" name="Right Brace 6">
          <a:extLst>
            <a:ext uri="{FF2B5EF4-FFF2-40B4-BE49-F238E27FC236}">
              <a16:creationId xmlns:a16="http://schemas.microsoft.com/office/drawing/2014/main" id="{FBAC2D13-A252-4AAE-91BD-A20357DF247B}"/>
            </a:ext>
          </a:extLst>
        </xdr:cNvPr>
        <xdr:cNvSpPr/>
      </xdr:nvSpPr>
      <xdr:spPr>
        <a:xfrm>
          <a:off x="11795125" y="5206999"/>
          <a:ext cx="360891" cy="13398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101600</xdr:colOff>
      <xdr:row>23</xdr:row>
      <xdr:rowOff>1009650</xdr:rowOff>
    </xdr:from>
    <xdr:to>
      <xdr:col>12</xdr:col>
      <xdr:colOff>246380</xdr:colOff>
      <xdr:row>24</xdr:row>
      <xdr:rowOff>283210</xdr:rowOff>
    </xdr:to>
    <xdr:pic>
      <xdr:nvPicPr>
        <xdr:cNvPr id="13" name="Picture 7">
          <a:extLst>
            <a:ext uri="{FF2B5EF4-FFF2-40B4-BE49-F238E27FC236}">
              <a16:creationId xmlns:a16="http://schemas.microsoft.com/office/drawing/2014/main" id="{F92D0527-BD11-499C-B5E0-2681712B141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160250" y="7867650"/>
          <a:ext cx="3981450" cy="559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127000</xdr:colOff>
      <xdr:row>25</xdr:row>
      <xdr:rowOff>1117600</xdr:rowOff>
    </xdr:from>
    <xdr:to>
      <xdr:col>12</xdr:col>
      <xdr:colOff>287020</xdr:colOff>
      <xdr:row>26</xdr:row>
      <xdr:rowOff>514985</xdr:rowOff>
    </xdr:to>
    <xdr:pic>
      <xdr:nvPicPr>
        <xdr:cNvPr id="14" name="Picture 8">
          <a:extLst>
            <a:ext uri="{FF2B5EF4-FFF2-40B4-BE49-F238E27FC236}">
              <a16:creationId xmlns:a16="http://schemas.microsoft.com/office/drawing/2014/main" id="{8FF5705F-5AA2-420C-A142-0D81D3CDB2A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185650" y="10518775"/>
          <a:ext cx="3981450" cy="559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2" name="Picture 1" descr="A black background with red and blue text&#10;&#10;AI-generated content may be incorrect.">
          <a:extLst>
            <a:ext uri="{FF2B5EF4-FFF2-40B4-BE49-F238E27FC236}">
              <a16:creationId xmlns:a16="http://schemas.microsoft.com/office/drawing/2014/main" id="{F80CD156-2074-4F61-A695-B8ECE23FE2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3490" y="9525"/>
          <a:ext cx="1031875" cy="932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158750</xdr:colOff>
      <xdr:row>0</xdr:row>
      <xdr:rowOff>19051</xdr:rowOff>
    </xdr:from>
    <xdr:to>
      <xdr:col>2</xdr:col>
      <xdr:colOff>1451433</xdr:colOff>
      <xdr:row>4</xdr:row>
      <xdr:rowOff>180975</xdr:rowOff>
    </xdr:to>
    <xdr:pic>
      <xdr:nvPicPr>
        <xdr:cNvPr id="3" name="Picture 1" descr="A black background with red and blue text&#10;&#10;AI-generated content may be incorrect.">
          <a:extLst>
            <a:ext uri="{FF2B5EF4-FFF2-40B4-BE49-F238E27FC236}">
              <a16:creationId xmlns:a16="http://schemas.microsoft.com/office/drawing/2014/main" id="{F77E3562-FD33-4E8C-A8DA-1CE60EAA06EB}"/>
            </a:ext>
          </a:extLst>
        </xdr:cNvPr>
        <xdr:cNvPicPr>
          <a:picLocks noChangeAspect="1"/>
        </xdr:cNvPicPr>
      </xdr:nvPicPr>
      <xdr:blipFill>
        <a:blip xmlns:r="http://schemas.openxmlformats.org/officeDocument/2006/relationships" r:embed="rId1" cstate="print"/>
        <a:stretch>
          <a:fillRect/>
        </a:stretch>
      </xdr:blipFill>
      <xdr:spPr>
        <a:xfrm>
          <a:off x="4397375" y="19051"/>
          <a:ext cx="1292683" cy="92392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3DE3-0BED-4A13-8F5A-2C26C0D82958}">
  <dimension ref="A1:Z1006"/>
  <sheetViews>
    <sheetView tabSelected="1" workbookViewId="0"/>
  </sheetViews>
  <sheetFormatPr defaultColWidth="12.5703125" defaultRowHeight="15" customHeight="1"/>
  <cols>
    <col min="1" max="1" width="66" style="28" customWidth="1"/>
    <col min="2" max="2" width="46.42578125" style="28" customWidth="1"/>
    <col min="3" max="26" width="7.7109375" style="28" customWidth="1"/>
    <col min="27" max="16384" width="12.5703125" style="28"/>
  </cols>
  <sheetData>
    <row r="1" spans="1:26" ht="12.75" customHeight="1">
      <c r="A1" s="27"/>
      <c r="B1" s="27"/>
      <c r="C1" s="27"/>
      <c r="D1" s="27"/>
      <c r="E1" s="27"/>
      <c r="F1" s="27"/>
      <c r="G1" s="27"/>
      <c r="H1" s="27"/>
      <c r="I1" s="27"/>
      <c r="J1" s="27"/>
      <c r="K1" s="27"/>
      <c r="L1" s="27"/>
      <c r="M1" s="27"/>
      <c r="N1" s="27"/>
      <c r="O1" s="27"/>
      <c r="P1" s="27"/>
      <c r="Q1" s="27"/>
      <c r="R1" s="27"/>
      <c r="S1" s="27"/>
      <c r="T1" s="27"/>
      <c r="U1" s="27"/>
      <c r="V1" s="27"/>
      <c r="W1" s="27"/>
      <c r="X1" s="27"/>
      <c r="Y1" s="27"/>
      <c r="Z1" s="27"/>
    </row>
    <row r="2" spans="1:26" ht="12.75" customHeight="1">
      <c r="A2" s="27"/>
      <c r="B2" s="27"/>
      <c r="C2" s="27"/>
      <c r="D2" s="27"/>
      <c r="E2" s="27"/>
      <c r="F2" s="27"/>
      <c r="G2" s="27"/>
      <c r="H2" s="27"/>
      <c r="I2" s="27"/>
      <c r="J2" s="27"/>
      <c r="K2" s="27"/>
      <c r="L2" s="27"/>
      <c r="M2" s="27"/>
      <c r="N2" s="27"/>
      <c r="O2" s="27"/>
      <c r="P2" s="27"/>
      <c r="Q2" s="27"/>
      <c r="R2" s="27"/>
      <c r="S2" s="27"/>
      <c r="T2" s="27"/>
      <c r="U2" s="27"/>
      <c r="V2" s="27"/>
      <c r="W2" s="27"/>
      <c r="X2" s="27"/>
      <c r="Y2" s="27"/>
      <c r="Z2" s="27"/>
    </row>
    <row r="3" spans="1:26" ht="12.75" customHeight="1">
      <c r="A3" s="27"/>
      <c r="B3" s="27"/>
      <c r="C3" s="27"/>
      <c r="D3" s="27"/>
      <c r="E3" s="27"/>
      <c r="F3" s="27"/>
      <c r="G3" s="27"/>
      <c r="H3" s="27"/>
      <c r="I3" s="27"/>
      <c r="J3" s="27"/>
      <c r="K3" s="27"/>
      <c r="L3" s="27"/>
      <c r="M3" s="27"/>
      <c r="N3" s="27"/>
      <c r="O3" s="27"/>
      <c r="P3" s="27"/>
      <c r="Q3" s="27"/>
      <c r="R3" s="27"/>
      <c r="S3" s="27"/>
      <c r="T3" s="27"/>
      <c r="U3" s="27"/>
      <c r="V3" s="27"/>
      <c r="W3" s="27"/>
      <c r="X3" s="27"/>
      <c r="Y3" s="27"/>
      <c r="Z3" s="27"/>
    </row>
    <row r="4" spans="1:26" ht="12.75">
      <c r="B4" s="27"/>
      <c r="C4" s="27"/>
      <c r="D4" s="27"/>
      <c r="E4" s="27"/>
      <c r="F4" s="27"/>
      <c r="G4" s="27"/>
      <c r="H4" s="27"/>
      <c r="I4" s="27"/>
      <c r="J4" s="27"/>
      <c r="K4" s="27"/>
      <c r="L4" s="27"/>
      <c r="M4" s="27"/>
      <c r="N4" s="27"/>
      <c r="O4" s="27"/>
      <c r="P4" s="27"/>
      <c r="Q4" s="27"/>
      <c r="R4" s="27"/>
      <c r="S4" s="27"/>
      <c r="T4" s="27"/>
      <c r="U4" s="27"/>
      <c r="V4" s="27"/>
      <c r="W4" s="27"/>
      <c r="X4" s="27"/>
      <c r="Y4" s="27"/>
      <c r="Z4" s="27"/>
    </row>
    <row r="5" spans="1:26" ht="12" customHeight="1">
      <c r="A5" s="29"/>
      <c r="B5" s="27"/>
      <c r="C5" s="27"/>
      <c r="D5" s="27"/>
      <c r="E5" s="27"/>
      <c r="F5" s="27"/>
      <c r="G5" s="27"/>
      <c r="H5" s="27"/>
      <c r="I5" s="27"/>
      <c r="J5" s="27"/>
      <c r="K5" s="27"/>
      <c r="L5" s="27"/>
      <c r="M5" s="27"/>
      <c r="N5" s="27"/>
      <c r="O5" s="27"/>
      <c r="P5" s="27"/>
      <c r="Q5" s="27"/>
      <c r="R5" s="27"/>
      <c r="S5" s="27"/>
      <c r="T5" s="27"/>
      <c r="U5" s="27"/>
      <c r="V5" s="27"/>
      <c r="W5" s="27"/>
      <c r="X5" s="27"/>
      <c r="Y5" s="27"/>
      <c r="Z5" s="27"/>
    </row>
    <row r="6" spans="1:26" ht="15.75" customHeight="1">
      <c r="A6" s="29"/>
      <c r="B6" s="27"/>
      <c r="C6" s="27"/>
      <c r="D6" s="27"/>
      <c r="E6" s="27"/>
      <c r="F6" s="27"/>
      <c r="G6" s="27"/>
      <c r="H6" s="27"/>
      <c r="I6" s="27"/>
      <c r="J6" s="27"/>
      <c r="K6" s="27"/>
      <c r="L6" s="27"/>
      <c r="M6" s="27"/>
      <c r="N6" s="27"/>
      <c r="O6" s="27"/>
      <c r="P6" s="27"/>
      <c r="Q6" s="27"/>
      <c r="R6" s="27"/>
      <c r="S6" s="27"/>
      <c r="T6" s="27"/>
      <c r="U6" s="27"/>
      <c r="V6" s="27"/>
      <c r="W6" s="27"/>
      <c r="X6" s="27"/>
      <c r="Y6" s="27"/>
      <c r="Z6" s="27"/>
    </row>
    <row r="7" spans="1:26" s="31" customFormat="1" ht="63" customHeight="1">
      <c r="A7" s="128" t="s">
        <v>75</v>
      </c>
      <c r="B7" s="128"/>
      <c r="C7" s="30"/>
      <c r="D7" s="30"/>
      <c r="E7" s="30"/>
      <c r="F7" s="30"/>
      <c r="G7" s="30"/>
      <c r="H7" s="30"/>
      <c r="I7" s="30"/>
      <c r="J7" s="30"/>
      <c r="K7" s="30"/>
      <c r="L7" s="30"/>
      <c r="M7" s="30"/>
      <c r="N7" s="30"/>
      <c r="O7" s="30"/>
      <c r="P7" s="30"/>
      <c r="Q7" s="30"/>
      <c r="R7" s="30"/>
      <c r="S7" s="30"/>
      <c r="T7" s="30"/>
      <c r="U7" s="30"/>
      <c r="V7" s="30"/>
      <c r="W7" s="30"/>
      <c r="X7" s="30"/>
      <c r="Y7" s="30"/>
      <c r="Z7" s="30"/>
    </row>
    <row r="8" spans="1:26" s="31" customFormat="1" ht="80.45" customHeight="1">
      <c r="A8" s="129" t="s">
        <v>220</v>
      </c>
      <c r="B8" s="129"/>
      <c r="C8" s="30"/>
      <c r="D8" s="30"/>
      <c r="E8" s="30"/>
      <c r="F8" s="30"/>
      <c r="G8" s="30"/>
      <c r="H8" s="30"/>
      <c r="I8" s="30"/>
      <c r="J8" s="30"/>
      <c r="K8" s="30"/>
      <c r="L8" s="30"/>
      <c r="M8" s="30"/>
      <c r="N8" s="30"/>
      <c r="O8" s="30"/>
      <c r="P8" s="30"/>
      <c r="Q8" s="30"/>
      <c r="R8" s="30"/>
      <c r="S8" s="30"/>
      <c r="T8" s="30"/>
      <c r="U8" s="30"/>
      <c r="V8" s="30"/>
      <c r="W8" s="30"/>
      <c r="X8" s="30"/>
      <c r="Y8" s="30"/>
      <c r="Z8" s="30"/>
    </row>
    <row r="9" spans="1:26" s="31" customFormat="1" ht="12.75" customHeight="1">
      <c r="A9" s="32"/>
      <c r="B9" s="30"/>
      <c r="C9" s="30"/>
      <c r="D9" s="30"/>
      <c r="E9" s="30"/>
      <c r="F9" s="30"/>
      <c r="G9" s="30"/>
      <c r="H9" s="30"/>
      <c r="I9" s="30"/>
      <c r="J9" s="30"/>
      <c r="K9" s="30"/>
      <c r="L9" s="30"/>
      <c r="M9" s="30"/>
      <c r="N9" s="30"/>
      <c r="O9" s="30"/>
      <c r="P9" s="30"/>
      <c r="Q9" s="30"/>
      <c r="R9" s="30"/>
      <c r="S9" s="30"/>
      <c r="T9" s="30"/>
      <c r="U9" s="30"/>
      <c r="V9" s="30"/>
      <c r="W9" s="30"/>
      <c r="X9" s="30"/>
      <c r="Y9" s="30"/>
      <c r="Z9" s="30"/>
    </row>
    <row r="10" spans="1:26" s="31" customFormat="1" ht="12.75" customHeight="1">
      <c r="A10" s="32"/>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s="31" customFormat="1" ht="12.75" customHeight="1">
      <c r="A11" s="32"/>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s="31" customFormat="1" ht="12.75" customHeight="1">
      <c r="A12" s="32"/>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s="31" customFormat="1" ht="12.75" customHeight="1">
      <c r="A13" s="32"/>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s="31" customFormat="1" ht="12.75" customHeight="1">
      <c r="A14" s="32"/>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s="31" customFormat="1" ht="12.75" customHeight="1">
      <c r="A15" s="32"/>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s="31" customFormat="1" ht="12.75" customHeight="1">
      <c r="A16" s="32"/>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s="31" customFormat="1" ht="12.75" customHeight="1">
      <c r="A17" s="32"/>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s="31" customFormat="1" ht="12.75" customHeight="1">
      <c r="A18" s="32"/>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s="31" customFormat="1" ht="12.75" customHeight="1">
      <c r="A19" s="32"/>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s="31" customFormat="1" ht="14.25" customHeight="1">
      <c r="A20" s="32"/>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s="31" customFormat="1" ht="12" customHeight="1">
      <c r="A21" s="32"/>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s="31" customFormat="1" ht="24">
      <c r="A22" s="32" t="s">
        <v>221</v>
      </c>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s="31" customFormat="1" ht="11.25" customHeight="1" thickBot="1">
      <c r="A23" s="32"/>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s="31" customFormat="1" ht="19.5" thickBot="1">
      <c r="A24" s="33" t="s">
        <v>76</v>
      </c>
      <c r="B24" s="34" t="s">
        <v>222</v>
      </c>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s="31" customFormat="1" ht="25.5" customHeight="1" thickBot="1">
      <c r="A25" s="35" t="s">
        <v>77</v>
      </c>
      <c r="B25" s="36" t="s">
        <v>226</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s="31" customFormat="1" ht="19.5" thickBot="1">
      <c r="A26" s="35" t="s">
        <v>78</v>
      </c>
      <c r="B26" s="36" t="s">
        <v>79</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s="31" customFormat="1" ht="13.5">
      <c r="A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s="31" customFormat="1" ht="6.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s="31" customFormat="1" ht="12.75" customHeight="1">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s="31" customFormat="1" ht="12.75" customHeight="1">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s="31" customFormat="1" ht="12.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2.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2.75" customHeight="1">
      <c r="A33" s="37" t="s">
        <v>214</v>
      </c>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2.75" customHeight="1">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2.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2.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2.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2.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2.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2.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2.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2.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2.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2.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2.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2.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2.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2.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2.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2.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2.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2.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2.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2.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2.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2.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2.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2.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2.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2.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2.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2.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2.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2.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2.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2.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2.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2.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2.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2.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2.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2.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2.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2.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2.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2.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2.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2.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2.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2.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2.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2.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2.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2.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2.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2.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2.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2.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2.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2.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2.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2.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2.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2.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2.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2.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2.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2.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2.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2.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2.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2.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2.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2.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2.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2.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2.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2.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2.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2.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2.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2.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2.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2.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2.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2.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2.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2.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2.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2.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2.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2.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2.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2.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2.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2.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2.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2.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2.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2.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2.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2.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2.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2.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2.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2.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2.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2.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2.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2.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2.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2.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2.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2.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2.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2.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2.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2.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2.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2.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2.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2.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2.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2.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2.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2.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2.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2.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2.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2.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2.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2.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2.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2.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2.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2.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2.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2.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2.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2.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2.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2.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2.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2.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2.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2.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2.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2.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2.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2.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2.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2.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2.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2.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2.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2.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2.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2.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2.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2.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2.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2.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2.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2.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2.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2.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2.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2.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2.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2.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2.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2.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2.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2.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2.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2.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2.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2.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2.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2.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2.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2.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2.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2.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2.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2.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2.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2.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2.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2.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2.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2.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2.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2.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2.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2.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2.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2.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2.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2.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2.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2.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2.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2.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2.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2.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2.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2.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2.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2.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2.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2.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2.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2.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2.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2.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2.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2.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2.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2.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2.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2.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2.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2.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2.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2.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2.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2.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2.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2.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2.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2.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2.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2.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2.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2.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2.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2.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2.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2.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2.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2.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2.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2.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2.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2.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2.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2.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2.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2.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2.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2.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2.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2.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2.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2.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2.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2.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2.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2.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2.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2.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2.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2.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2.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2.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2.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2.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2.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2.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2.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2.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2.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2.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2.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2.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2.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2.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2.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2.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2.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2.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2.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2.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2.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2.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2.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2.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2.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2.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2.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2.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2.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2.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2.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2.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2.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2.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2.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2.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2.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2.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2.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2.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2.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2.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2.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2.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2.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2.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2.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2.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2.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2.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2.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2.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2.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2.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2.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2.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2.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2.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2.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2.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2.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2.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2.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2.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2.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2.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2.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2.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2.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2.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2.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2.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2.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2.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2.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2.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2.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2.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2.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2.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2.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2.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2.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2.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2.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2.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2.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2.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2.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2.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2.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2.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2.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2.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2.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2.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2.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2.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2.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2.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2.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2.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2.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2.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2.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2.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2.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2.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2.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2.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2.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2.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2.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2.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2.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2.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2.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2.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2.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2.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2.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2.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2.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2.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2.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2.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2.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2.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2.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2.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2.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2.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2.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2.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2.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2.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2.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2.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2.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2.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2.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2.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2.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2.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2.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2.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2.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2.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2.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2.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2.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2.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2.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2.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2.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2.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2.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2.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2.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2.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2.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2.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2.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2.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2.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2.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2.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2.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2.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2.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2.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2.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2.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2.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2.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2.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2.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2.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2.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2.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2.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2.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2.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2.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2.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2.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2.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2.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2.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2.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2.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2.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2.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2.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2.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2.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2.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2.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2.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2.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2.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2.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2.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2.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2.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2.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2.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2.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2.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2.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2.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2.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2.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2.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2.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2.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2.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2.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2.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2.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2.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2.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2.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2.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2.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2.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2.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2.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2.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2.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2.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2.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2.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2.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2.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2.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2.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2.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2.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2.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2.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2.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2.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2.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2.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2.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2.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2.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2.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2.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2.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2.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2.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2.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2.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2.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2.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2.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2.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2.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2.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2.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2.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2.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2.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2.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2.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2.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2.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2.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2.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2.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2.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2.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2.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2.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2.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2.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2.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2.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2.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2.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2.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2.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2.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2.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2.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2.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2.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2.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2.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2.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2.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2.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2.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2.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2.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2.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2.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2.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2.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2.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2.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2.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2.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2.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2.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2.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2.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2.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2.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2.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2.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2.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2.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2.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2.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2.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2.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2.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2.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2.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2.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2.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2.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2.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2.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2.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2.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2.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2.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2.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2.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2.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2.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2.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2.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2.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2.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2.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2.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2.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2.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2.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2.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2.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2.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2.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2.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2.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2.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2.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2.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2.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2.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2.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2.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2.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2.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2.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2.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2.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2.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2.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2.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2.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2.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2.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2.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2.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2.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2.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2.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2.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2.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2.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2.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2.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2.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2.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2.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2.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2.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2.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2.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2.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2.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2.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2.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2.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2.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2.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2.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2.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2.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2.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2.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2.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2.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2.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2.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2.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2.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2.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2.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2.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2.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2.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2.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2.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2.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2.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2.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2.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2.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2.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2.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2.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2.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2.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2.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2.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2.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2.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2.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2.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2.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2.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2.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2.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2.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2.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2.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2.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2.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2.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2.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2.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2.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2.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2.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2.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2.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2.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2.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2.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2.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2.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2.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2.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2.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2.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2.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2.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2.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2.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2.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2.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2.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2.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2.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2.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2.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2.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2.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2.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2.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2.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2.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2.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2.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2.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2.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2.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2.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2.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2.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2.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2.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2.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2.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2.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2.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2.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2.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2.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2.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2.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2.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2.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2.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2.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2.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2.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2.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2.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2.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2.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2.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2.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2.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2.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2.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2.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2.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2.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2.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2.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2.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2.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2.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2.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2.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2.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2.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2.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2.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2.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2.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2.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2.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2.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2.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2.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2.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2.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2.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2.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2.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2.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2.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2.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2.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2.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2.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2.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2.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2.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2.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2.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2.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2.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2.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2.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2.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2.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2.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2.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2.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2.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2.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2.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2.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2.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2.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2.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2.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2.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2.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2.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2.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2.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2.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2.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2.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2.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2.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2.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2.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2.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2.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2.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2.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2.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2.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2.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2.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2.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2.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2.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2.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2.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2.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2.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2.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2.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2.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2.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2.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2.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2.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2.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2.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2.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2.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2.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2.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2.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2.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2.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2.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2.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2.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2.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2.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2.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2.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2.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2.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2.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2.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2.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2.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2.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2.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2.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2.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2.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2.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2.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ht="12.7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ht="12.75" customHeight="1">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spans="1:26" ht="12.75" customHeight="1">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spans="1:26" ht="12.75" customHeight="1">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spans="1:26" ht="12.75" customHeight="1">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spans="1:26" ht="12.75" customHeight="1">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sheetData>
  <mergeCells count="2">
    <mergeCell ref="A7:B7"/>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08D2-F1FB-4D0C-BBF9-215E4BE3E1F6}">
  <dimension ref="A1:Z970"/>
  <sheetViews>
    <sheetView workbookViewId="0"/>
  </sheetViews>
  <sheetFormatPr defaultColWidth="12.5703125" defaultRowHeight="15" customHeight="1"/>
  <cols>
    <col min="1" max="1" width="117.28515625" style="31" customWidth="1"/>
    <col min="2" max="26" width="7.7109375" style="31" customWidth="1"/>
    <col min="27" max="16384" width="12.5703125" style="31"/>
  </cols>
  <sheetData>
    <row r="1" spans="1:26" ht="5.25" customHeight="1">
      <c r="A1" s="38"/>
      <c r="B1" s="30"/>
      <c r="C1" s="30"/>
      <c r="D1" s="30"/>
      <c r="E1" s="30"/>
      <c r="F1" s="30"/>
      <c r="G1" s="30"/>
      <c r="H1" s="30"/>
      <c r="I1" s="30"/>
      <c r="J1" s="30"/>
      <c r="K1" s="30"/>
      <c r="L1" s="30"/>
      <c r="M1" s="30"/>
      <c r="N1" s="30"/>
      <c r="O1" s="30"/>
      <c r="P1" s="30"/>
      <c r="Q1" s="30"/>
      <c r="R1" s="30"/>
      <c r="S1" s="30"/>
      <c r="T1" s="30"/>
      <c r="U1" s="30"/>
      <c r="V1" s="30"/>
      <c r="W1" s="30"/>
      <c r="X1" s="30"/>
      <c r="Y1" s="30"/>
      <c r="Z1" s="30"/>
    </row>
    <row r="2" spans="1:26" ht="24" customHeight="1">
      <c r="A2" s="38"/>
      <c r="B2" s="30"/>
      <c r="C2" s="30"/>
      <c r="D2" s="30"/>
      <c r="E2" s="30"/>
      <c r="F2" s="30"/>
      <c r="G2" s="30"/>
      <c r="H2" s="30"/>
      <c r="I2" s="30"/>
      <c r="J2" s="30"/>
      <c r="K2" s="30"/>
      <c r="L2" s="30"/>
      <c r="M2" s="30"/>
      <c r="N2" s="30"/>
      <c r="O2" s="30"/>
      <c r="P2" s="30"/>
      <c r="Q2" s="30"/>
      <c r="R2" s="30"/>
      <c r="S2" s="30"/>
      <c r="T2" s="30"/>
      <c r="U2" s="30"/>
      <c r="V2" s="30"/>
      <c r="W2" s="30"/>
      <c r="X2" s="30"/>
      <c r="Y2" s="30"/>
      <c r="Z2" s="30"/>
    </row>
    <row r="3" spans="1:26" ht="5.25" customHeight="1">
      <c r="A3" s="38"/>
      <c r="B3" s="30"/>
      <c r="C3" s="30"/>
      <c r="D3" s="30"/>
      <c r="E3" s="30"/>
      <c r="F3" s="30"/>
      <c r="G3" s="30"/>
      <c r="H3" s="30"/>
      <c r="I3" s="30"/>
      <c r="J3" s="30"/>
      <c r="K3" s="30"/>
      <c r="L3" s="30"/>
      <c r="M3" s="30"/>
      <c r="N3" s="30"/>
      <c r="O3" s="30"/>
      <c r="P3" s="30"/>
      <c r="Q3" s="30"/>
      <c r="R3" s="30"/>
      <c r="S3" s="30"/>
      <c r="T3" s="30"/>
      <c r="U3" s="30"/>
      <c r="V3" s="30"/>
      <c r="W3" s="30"/>
      <c r="X3" s="30"/>
      <c r="Y3" s="30"/>
      <c r="Z3" s="30"/>
    </row>
    <row r="4" spans="1:26" ht="5.25" customHeight="1">
      <c r="A4" s="38"/>
      <c r="B4" s="30"/>
      <c r="C4" s="30"/>
      <c r="D4" s="30"/>
      <c r="E4" s="30"/>
      <c r="F4" s="30"/>
      <c r="G4" s="30"/>
      <c r="H4" s="30"/>
      <c r="I4" s="30"/>
      <c r="J4" s="30"/>
      <c r="K4" s="30"/>
      <c r="L4" s="30"/>
      <c r="M4" s="30"/>
      <c r="N4" s="30"/>
      <c r="O4" s="30"/>
      <c r="P4" s="30"/>
      <c r="Q4" s="30"/>
      <c r="R4" s="30"/>
      <c r="S4" s="30"/>
      <c r="T4" s="30"/>
      <c r="U4" s="30"/>
      <c r="V4" s="30"/>
      <c r="W4" s="30"/>
      <c r="X4" s="30"/>
      <c r="Y4" s="30"/>
      <c r="Z4" s="30"/>
    </row>
    <row r="5" spans="1:26" ht="5.25" customHeight="1">
      <c r="A5" s="38"/>
      <c r="B5" s="30"/>
      <c r="C5" s="30"/>
      <c r="D5" s="30"/>
      <c r="E5" s="30"/>
      <c r="F5" s="30"/>
      <c r="G5" s="30"/>
      <c r="H5" s="30"/>
      <c r="I5" s="30"/>
      <c r="J5" s="30"/>
      <c r="K5" s="30"/>
      <c r="L5" s="30"/>
      <c r="M5" s="30"/>
      <c r="N5" s="30"/>
      <c r="O5" s="30"/>
      <c r="P5" s="30"/>
      <c r="Q5" s="30"/>
      <c r="R5" s="30"/>
      <c r="S5" s="30"/>
      <c r="T5" s="30"/>
      <c r="U5" s="30"/>
      <c r="V5" s="30"/>
      <c r="W5" s="30"/>
      <c r="X5" s="30"/>
      <c r="Y5" s="30"/>
      <c r="Z5" s="30"/>
    </row>
    <row r="6" spans="1:26" ht="5.25" customHeight="1">
      <c r="A6" s="38"/>
      <c r="B6" s="30"/>
      <c r="C6" s="30"/>
      <c r="D6" s="30"/>
      <c r="E6" s="30"/>
      <c r="F6" s="30"/>
      <c r="G6" s="30"/>
      <c r="H6" s="30"/>
      <c r="I6" s="30"/>
      <c r="J6" s="30"/>
      <c r="K6" s="30"/>
      <c r="L6" s="30"/>
      <c r="M6" s="30"/>
      <c r="N6" s="30"/>
      <c r="O6" s="30"/>
      <c r="P6" s="30"/>
      <c r="Q6" s="30"/>
      <c r="R6" s="30"/>
      <c r="S6" s="30"/>
      <c r="T6" s="30"/>
      <c r="U6" s="30"/>
      <c r="V6" s="30"/>
      <c r="W6" s="30"/>
      <c r="X6" s="30"/>
      <c r="Y6" s="30"/>
      <c r="Z6" s="30"/>
    </row>
    <row r="7" spans="1:26" ht="41.25" customHeight="1">
      <c r="A7" s="108" t="s">
        <v>80</v>
      </c>
      <c r="B7" s="30"/>
      <c r="C7" s="30"/>
      <c r="D7" s="30"/>
      <c r="E7" s="30"/>
      <c r="F7" s="30"/>
      <c r="G7" s="30"/>
      <c r="H7" s="30"/>
      <c r="I7" s="30"/>
      <c r="J7" s="30"/>
      <c r="K7" s="30"/>
      <c r="L7" s="30"/>
      <c r="M7" s="30"/>
      <c r="N7" s="30"/>
      <c r="O7" s="30"/>
      <c r="P7" s="30"/>
      <c r="Q7" s="30"/>
      <c r="R7" s="30"/>
      <c r="S7" s="30"/>
      <c r="T7" s="30"/>
      <c r="U7" s="30"/>
      <c r="V7" s="30"/>
      <c r="W7" s="30"/>
      <c r="X7" s="30"/>
      <c r="Y7" s="30"/>
      <c r="Z7" s="30"/>
    </row>
    <row r="8" spans="1:26" ht="15" customHeight="1">
      <c r="A8" s="39" t="s">
        <v>215</v>
      </c>
      <c r="B8" s="40"/>
      <c r="C8" s="40"/>
      <c r="D8" s="40"/>
      <c r="E8" s="40"/>
      <c r="F8" s="40"/>
      <c r="G8" s="40"/>
      <c r="H8" s="40"/>
      <c r="I8" s="40"/>
      <c r="J8" s="40"/>
      <c r="K8" s="40"/>
      <c r="L8" s="40"/>
      <c r="M8" s="40"/>
      <c r="N8" s="40"/>
      <c r="O8" s="40"/>
      <c r="P8" s="40"/>
      <c r="Q8" s="40"/>
      <c r="R8" s="40"/>
      <c r="S8" s="40"/>
      <c r="T8" s="40"/>
      <c r="U8" s="40"/>
      <c r="V8" s="40"/>
      <c r="W8" s="40"/>
      <c r="X8" s="40"/>
      <c r="Y8" s="40"/>
      <c r="Z8" s="40"/>
    </row>
    <row r="9" spans="1:26" ht="7.5" customHeight="1">
      <c r="A9" s="39"/>
      <c r="B9" s="40"/>
      <c r="C9" s="40"/>
      <c r="D9" s="40"/>
      <c r="E9" s="40"/>
      <c r="F9" s="40"/>
      <c r="G9" s="40"/>
      <c r="H9" s="40"/>
      <c r="I9" s="40"/>
      <c r="J9" s="40"/>
      <c r="K9" s="40"/>
      <c r="L9" s="40"/>
      <c r="M9" s="40"/>
      <c r="N9" s="40"/>
      <c r="O9" s="40"/>
      <c r="P9" s="40"/>
      <c r="Q9" s="40"/>
      <c r="R9" s="40"/>
      <c r="S9" s="40"/>
      <c r="T9" s="40"/>
      <c r="U9" s="40"/>
      <c r="V9" s="40"/>
      <c r="W9" s="40"/>
      <c r="X9" s="40"/>
      <c r="Y9" s="40"/>
      <c r="Z9" s="40"/>
    </row>
    <row r="10" spans="1:26" ht="120.6" customHeight="1">
      <c r="A10" s="109" t="s">
        <v>216</v>
      </c>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spans="1:26" ht="7.5" customHeight="1">
      <c r="A11" s="41"/>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spans="1:26" s="44" customFormat="1" ht="19.5" customHeight="1">
      <c r="A12" s="42" t="s">
        <v>81</v>
      </c>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spans="1:26" ht="7.5" customHeight="1">
      <c r="A13" s="39"/>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spans="1:26" s="44" customFormat="1" ht="62.45" customHeight="1">
      <c r="A14" s="42" t="s">
        <v>82</v>
      </c>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spans="1:26" ht="12" customHeight="1">
      <c r="A15" s="39"/>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spans="1:26" s="44" customFormat="1" ht="17.45" customHeight="1">
      <c r="A16" s="45" t="s">
        <v>83</v>
      </c>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spans="1:26" s="44" customFormat="1" ht="6" customHeight="1">
      <c r="A17" s="45"/>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spans="1:26" s="44" customFormat="1" ht="17.45" customHeight="1">
      <c r="A18" s="46" t="s">
        <v>84</v>
      </c>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s="44" customFormat="1" ht="16.5" customHeight="1">
      <c r="A19" s="44" t="s">
        <v>85</v>
      </c>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s="44" customFormat="1" ht="16.5" customHeight="1">
      <c r="A20" s="46" t="s">
        <v>86</v>
      </c>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s="44" customFormat="1" ht="16.5" customHeight="1">
      <c r="A21" s="46" t="s">
        <v>87</v>
      </c>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s="44" customFormat="1" ht="18" customHeight="1">
      <c r="A22" s="47" t="s">
        <v>88</v>
      </c>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4" spans="1:26" ht="14.45" customHeight="1">
      <c r="A24" s="37" t="s">
        <v>217</v>
      </c>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ht="18" customHeight="1">
      <c r="A25" s="39"/>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8" customHeight="1">
      <c r="A26" s="39"/>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6.6" customHeight="1">
      <c r="A27" s="39"/>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6.5" customHeight="1">
      <c r="A28" s="37"/>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4.25" customHeight="1">
      <c r="A29" s="37"/>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14.25" customHeight="1">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spans="1:26" ht="5.25" customHeight="1">
      <c r="A31" s="37"/>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spans="1:26" ht="14.25" customHeight="1">
      <c r="A32" s="37"/>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spans="1:26" ht="14.25" customHeight="1">
      <c r="A33" s="37"/>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4.25" customHeight="1">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4.25" customHeight="1">
      <c r="A35" s="37"/>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60.75" customHeight="1">
      <c r="A36" s="39"/>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7.5" customHeight="1">
      <c r="A37" s="39"/>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7.5" customHeight="1">
      <c r="A38" s="39"/>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37.5" customHeight="1">
      <c r="A39" s="39"/>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7.5" customHeight="1">
      <c r="A40" s="39"/>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7.5" customHeight="1">
      <c r="A41" s="39"/>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7.5" customHeight="1">
      <c r="A42" s="39"/>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7.5" customHeight="1">
      <c r="A43" s="39"/>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7.5" customHeight="1">
      <c r="A44" s="39"/>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5" customHeight="1">
      <c r="A45" s="48"/>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 customHeight="1">
      <c r="A46" s="48"/>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 customHeight="1">
      <c r="A47" s="48"/>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 customHeight="1">
      <c r="A48" s="48"/>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 customHeight="1">
      <c r="A49" s="48"/>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 customHeight="1">
      <c r="A50" s="48"/>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 customHeight="1">
      <c r="A51" s="48"/>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 customHeight="1">
      <c r="A52" s="48"/>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 customHeight="1">
      <c r="A53" s="48"/>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 customHeight="1">
      <c r="A54" s="48"/>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 customHeight="1">
      <c r="A55" s="48"/>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 customHeight="1">
      <c r="A56" s="48"/>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 customHeight="1">
      <c r="A57" s="48"/>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 customHeight="1">
      <c r="A58" s="48"/>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 customHeight="1">
      <c r="A59" s="48"/>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 customHeight="1">
      <c r="A60" s="48"/>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 customHeight="1">
      <c r="A61" s="48"/>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 customHeight="1">
      <c r="A62" s="48"/>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 customHeight="1">
      <c r="A63" s="48"/>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 customHeight="1">
      <c r="A64" s="48"/>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 customHeight="1">
      <c r="A65" s="48"/>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 customHeight="1">
      <c r="A66" s="48"/>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 customHeight="1">
      <c r="A67" s="48"/>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 customHeight="1">
      <c r="A68" s="48"/>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 customHeight="1">
      <c r="A69" s="48"/>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 customHeight="1">
      <c r="A70" s="48"/>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 customHeight="1">
      <c r="A71" s="48"/>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 customHeight="1">
      <c r="A72" s="48"/>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 customHeight="1">
      <c r="A73" s="48"/>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2.75" customHeight="1">
      <c r="A74" s="38"/>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2.75" customHeight="1">
      <c r="A75" s="38"/>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2.75" customHeight="1">
      <c r="A76" s="38"/>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2.75" customHeight="1">
      <c r="A77" s="38"/>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2.75" customHeight="1">
      <c r="A78" s="38"/>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2.75" customHeight="1">
      <c r="A79" s="38"/>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2.75" customHeight="1">
      <c r="A80" s="38"/>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2.75" customHeight="1">
      <c r="A81" s="38"/>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2.75" customHeight="1">
      <c r="A82" s="38"/>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2.75" customHeight="1">
      <c r="A83" s="38"/>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2.75" customHeight="1">
      <c r="A84" s="38"/>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2.75" customHeight="1">
      <c r="A85" s="38"/>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2.75" customHeight="1">
      <c r="A86" s="38"/>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2.75" customHeight="1">
      <c r="A87" s="38"/>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2.75" customHeight="1">
      <c r="A88" s="38"/>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2.75" customHeight="1">
      <c r="A89" s="38"/>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2.75" customHeight="1">
      <c r="A90" s="38"/>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2.75" customHeight="1">
      <c r="A91" s="38"/>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2.75" customHeight="1">
      <c r="A92" s="38"/>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2.75" customHeight="1">
      <c r="A93" s="38"/>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2.75" customHeight="1">
      <c r="A94" s="38"/>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2.75" customHeight="1">
      <c r="A95" s="38"/>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2.75" customHeight="1">
      <c r="A96" s="38"/>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2.75" customHeight="1">
      <c r="A97" s="38"/>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2.75" customHeight="1">
      <c r="A98" s="38"/>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2.75" customHeight="1">
      <c r="A99" s="38"/>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2.75" customHeight="1">
      <c r="A100" s="38"/>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2.75" customHeight="1">
      <c r="A101" s="38"/>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2.75" customHeight="1">
      <c r="A102" s="38"/>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2.75" customHeight="1">
      <c r="A103" s="38"/>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2.75" customHeight="1">
      <c r="A104" s="38"/>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2.75" customHeight="1">
      <c r="A105" s="38"/>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2.75" customHeight="1">
      <c r="A106" s="38"/>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2.75" customHeight="1">
      <c r="A107" s="38"/>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2.75" customHeight="1">
      <c r="A108" s="38"/>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2.75" customHeight="1">
      <c r="A109" s="38"/>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2.75" customHeight="1">
      <c r="A110" s="38"/>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2.75" customHeight="1">
      <c r="A111" s="38"/>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2.75" customHeight="1">
      <c r="A112" s="38"/>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2.75" customHeight="1">
      <c r="A113" s="38"/>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2.75" customHeight="1">
      <c r="A114" s="38"/>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2.75" customHeight="1">
      <c r="A115" s="38"/>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2.75" customHeight="1">
      <c r="A116" s="38"/>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2.75" customHeight="1">
      <c r="A117" s="38"/>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2.75" customHeight="1">
      <c r="A118" s="38"/>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2.75" customHeight="1">
      <c r="A119" s="38"/>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2.75" customHeight="1">
      <c r="A120" s="38"/>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2.75" customHeight="1">
      <c r="A121" s="38"/>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2.75" customHeight="1">
      <c r="A122" s="38"/>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2.75" customHeight="1">
      <c r="A123" s="38"/>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2.75" customHeight="1">
      <c r="A124" s="38"/>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2.75" customHeight="1">
      <c r="A125" s="38"/>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2.75" customHeight="1">
      <c r="A126" s="38"/>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2.75" customHeight="1">
      <c r="A127" s="38"/>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2.75" customHeight="1">
      <c r="A128" s="38"/>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2.75" customHeight="1">
      <c r="A129" s="38"/>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2.75" customHeight="1">
      <c r="A130" s="38"/>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2.75" customHeight="1">
      <c r="A131" s="38"/>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2.75" customHeight="1">
      <c r="A132" s="38"/>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2.75" customHeight="1">
      <c r="A133" s="38"/>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2.75" customHeight="1">
      <c r="A134" s="38"/>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2.75" customHeight="1">
      <c r="A135" s="38"/>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2.75" customHeight="1">
      <c r="A136" s="38"/>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2.75" customHeight="1">
      <c r="A137" s="38"/>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2.75" customHeight="1">
      <c r="A138" s="38"/>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2.75" customHeight="1">
      <c r="A139" s="38"/>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2.75" customHeight="1">
      <c r="A140" s="38"/>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2.75" customHeight="1">
      <c r="A141" s="38"/>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2.75" customHeight="1">
      <c r="A142" s="38"/>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2.75" customHeight="1">
      <c r="A143" s="38"/>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2.75" customHeight="1">
      <c r="A144" s="38"/>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2.75" customHeight="1">
      <c r="A145" s="38"/>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2.75" customHeight="1">
      <c r="A146" s="38"/>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2.75" customHeight="1">
      <c r="A147" s="38"/>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2.75" customHeight="1">
      <c r="A148" s="38"/>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2.75" customHeight="1">
      <c r="A149" s="38"/>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2.75" customHeight="1">
      <c r="A150" s="38"/>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2.75" customHeight="1">
      <c r="A151" s="38"/>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2.75" customHeight="1">
      <c r="A152" s="38"/>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2.75" customHeight="1">
      <c r="A153" s="38"/>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2.75" customHeight="1">
      <c r="A154" s="38"/>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2.75" customHeight="1">
      <c r="A155" s="38"/>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2.75" customHeight="1">
      <c r="A156" s="38"/>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2.75" customHeight="1">
      <c r="A157" s="38"/>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2.75" customHeight="1">
      <c r="A158" s="38"/>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2.75" customHeight="1">
      <c r="A159" s="38"/>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2.75" customHeight="1">
      <c r="A160" s="38"/>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2.75" customHeight="1">
      <c r="A161" s="38"/>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2.75" customHeight="1">
      <c r="A162" s="38"/>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2.75" customHeight="1">
      <c r="A163" s="38"/>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2.75" customHeight="1">
      <c r="A164" s="38"/>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2.75" customHeight="1">
      <c r="A165" s="38"/>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2.75" customHeight="1">
      <c r="A166" s="38"/>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2.75" customHeight="1">
      <c r="A167" s="38"/>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2.75" customHeight="1">
      <c r="A168" s="38"/>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2.75" customHeight="1">
      <c r="A169" s="38"/>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2.75" customHeight="1">
      <c r="A170" s="38"/>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2.75" customHeight="1">
      <c r="A171" s="38"/>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2.75" customHeight="1">
      <c r="A172" s="38"/>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2.75" customHeight="1">
      <c r="A173" s="38"/>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2.75" customHeight="1">
      <c r="A174" s="38"/>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2.75" customHeight="1">
      <c r="A175" s="38"/>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2.75" customHeight="1">
      <c r="A176" s="38"/>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2.75" customHeight="1">
      <c r="A177" s="38"/>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2.75" customHeight="1">
      <c r="A178" s="38"/>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2.75" customHeight="1">
      <c r="A179" s="38"/>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2.75" customHeight="1">
      <c r="A180" s="38"/>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2.75" customHeight="1">
      <c r="A181" s="38"/>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2.75" customHeight="1">
      <c r="A182" s="38"/>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2.75" customHeight="1">
      <c r="A183" s="38"/>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2.75" customHeight="1">
      <c r="A184" s="38"/>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2.75" customHeight="1">
      <c r="A185" s="38"/>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2.75" customHeight="1">
      <c r="A186" s="38"/>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2.75" customHeight="1">
      <c r="A187" s="38"/>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2.75" customHeight="1">
      <c r="A188" s="38"/>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2.75" customHeight="1">
      <c r="A189" s="38"/>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2.75" customHeight="1">
      <c r="A190" s="38"/>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2.75" customHeight="1">
      <c r="A191" s="38"/>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2.75" customHeight="1">
      <c r="A192" s="38"/>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2.75" customHeight="1">
      <c r="A193" s="38"/>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2.75" customHeight="1">
      <c r="A194" s="38"/>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2.75" customHeight="1">
      <c r="A195" s="38"/>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2.75" customHeight="1">
      <c r="A196" s="38"/>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2.75" customHeight="1">
      <c r="A197" s="38"/>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2.75" customHeight="1">
      <c r="A198" s="38"/>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2.75" customHeight="1">
      <c r="A199" s="38"/>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2.75" customHeight="1">
      <c r="A200" s="38"/>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2.75" customHeight="1">
      <c r="A201" s="38"/>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2.75" customHeight="1">
      <c r="A202" s="38"/>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2.75" customHeight="1">
      <c r="A203" s="38"/>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2.75" customHeight="1">
      <c r="A204" s="38"/>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2.75" customHeight="1">
      <c r="A205" s="38"/>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2.75" customHeight="1">
      <c r="A206" s="38"/>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2.75" customHeight="1">
      <c r="A207" s="38"/>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2.75" customHeight="1">
      <c r="A208" s="38"/>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2.75" customHeight="1">
      <c r="A209" s="38"/>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2.75" customHeight="1">
      <c r="A210" s="38"/>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2.75" customHeight="1">
      <c r="A211" s="38"/>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2.75" customHeight="1">
      <c r="A212" s="38"/>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2.75" customHeight="1">
      <c r="A213" s="38"/>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2.75" customHeight="1">
      <c r="A214" s="38"/>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2.75" customHeight="1">
      <c r="A215" s="38"/>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2.75" customHeight="1">
      <c r="A216" s="38"/>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2.75" customHeight="1">
      <c r="A217" s="38"/>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2.75" customHeight="1">
      <c r="A218" s="38"/>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2.75" customHeight="1">
      <c r="A219" s="38"/>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2.75" customHeight="1">
      <c r="A220" s="38"/>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2.75" customHeight="1">
      <c r="A221" s="38"/>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2.75" customHeight="1">
      <c r="A222" s="38"/>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2.75" customHeight="1">
      <c r="A223" s="38"/>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2.75" customHeight="1">
      <c r="A224" s="38"/>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2.75" customHeight="1">
      <c r="A225" s="38"/>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2.75" customHeight="1">
      <c r="A226" s="38"/>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2.75" customHeight="1">
      <c r="A227" s="38"/>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2.75" customHeight="1">
      <c r="A228" s="38"/>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2.75" customHeight="1">
      <c r="A229" s="38"/>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2.75" customHeight="1">
      <c r="A230" s="38"/>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2.75" customHeight="1">
      <c r="A231" s="38"/>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2.75" customHeight="1">
      <c r="A232" s="38"/>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2.75" customHeight="1">
      <c r="A233" s="38"/>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2.75" customHeight="1">
      <c r="A234" s="38"/>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2.75" customHeight="1">
      <c r="A235" s="38"/>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2.75" customHeight="1">
      <c r="A236" s="38"/>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2.75" customHeight="1">
      <c r="A237" s="38"/>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2.75" customHeight="1">
      <c r="A238" s="38"/>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2.75" customHeight="1">
      <c r="A239" s="38"/>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2.75" customHeight="1">
      <c r="A240" s="38"/>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2.75" customHeight="1">
      <c r="A241" s="3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2.75" customHeight="1">
      <c r="A242" s="38"/>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2.75" customHeight="1">
      <c r="A243" s="38"/>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2.75" customHeight="1">
      <c r="A244" s="38"/>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2.75" customHeight="1">
      <c r="A245" s="38"/>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2.75" customHeight="1">
      <c r="A246" s="38"/>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2.75" customHeight="1">
      <c r="A247" s="38"/>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2.75" customHeight="1">
      <c r="A248" s="38"/>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2.75" customHeight="1">
      <c r="A249" s="38"/>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2.75" customHeight="1">
      <c r="A250" s="38"/>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2.75" customHeight="1">
      <c r="A251" s="38"/>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2.75" customHeight="1">
      <c r="A252" s="38"/>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2.75" customHeight="1">
      <c r="A253" s="38"/>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2.75" customHeight="1">
      <c r="A254" s="38"/>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2.75" customHeight="1">
      <c r="A255" s="38"/>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2.75" customHeight="1">
      <c r="A256" s="38"/>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2.75" customHeight="1">
      <c r="A257" s="38"/>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2.75" customHeight="1">
      <c r="A258" s="38"/>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2.75" customHeight="1">
      <c r="A259" s="38"/>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2.75" customHeight="1">
      <c r="A260" s="38"/>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2.75" customHeight="1">
      <c r="A261" s="38"/>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2.75" customHeight="1">
      <c r="A262" s="38"/>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2.75" customHeight="1">
      <c r="A263" s="38"/>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2.75" customHeight="1">
      <c r="A264" s="38"/>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2.75" customHeight="1">
      <c r="A265" s="38"/>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2.75" customHeight="1">
      <c r="A266" s="38"/>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2.75" customHeight="1">
      <c r="A267" s="38"/>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2.75" customHeight="1">
      <c r="A268" s="38"/>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2.75" customHeight="1">
      <c r="A269" s="38"/>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2.75" customHeight="1">
      <c r="A270" s="38"/>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2.75" customHeight="1">
      <c r="A271" s="38"/>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2.75" customHeight="1">
      <c r="A272" s="38"/>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2.75" customHeight="1">
      <c r="A273" s="38"/>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2.75" customHeight="1">
      <c r="A274" s="38"/>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2.75" customHeight="1">
      <c r="A275" s="38"/>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2.75" customHeight="1">
      <c r="A276" s="38"/>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2.75" customHeight="1">
      <c r="A277" s="38"/>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2.75" customHeight="1">
      <c r="A278" s="38"/>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2.75" customHeight="1">
      <c r="A279" s="38"/>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2.75" customHeight="1">
      <c r="A280" s="3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2.75" customHeight="1">
      <c r="A281" s="38"/>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2.75" customHeight="1">
      <c r="A282" s="38"/>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2.75" customHeight="1">
      <c r="A283" s="38"/>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2.75" customHeight="1">
      <c r="A284" s="38"/>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2.75" customHeight="1">
      <c r="A285" s="38"/>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2.75" customHeight="1">
      <c r="A286" s="38"/>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2.75" customHeight="1">
      <c r="A287" s="38"/>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2.75" customHeight="1">
      <c r="A288" s="38"/>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2.75" customHeight="1">
      <c r="A289" s="38"/>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2.75" customHeight="1">
      <c r="A290" s="38"/>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2.75" customHeight="1">
      <c r="A291" s="38"/>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2.75" customHeight="1">
      <c r="A292" s="38"/>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2.75" customHeight="1">
      <c r="A293" s="38"/>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2.75" customHeight="1">
      <c r="A294" s="38"/>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2.75" customHeight="1">
      <c r="A295" s="38"/>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2.75" customHeight="1">
      <c r="A296" s="38"/>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2.75" customHeight="1">
      <c r="A297" s="38"/>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2.75" customHeight="1">
      <c r="A298" s="38"/>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2.75" customHeight="1">
      <c r="A299" s="38"/>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2.75" customHeight="1">
      <c r="A300" s="38"/>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2.75" customHeight="1">
      <c r="A301" s="38"/>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2.75" customHeight="1">
      <c r="A302" s="38"/>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2.75" customHeight="1">
      <c r="A303" s="38"/>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2.75" customHeight="1">
      <c r="A304" s="38"/>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2.75" customHeight="1">
      <c r="A305" s="38"/>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2.75" customHeight="1">
      <c r="A306" s="38"/>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2.75" customHeight="1">
      <c r="A307" s="38"/>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2.75" customHeight="1">
      <c r="A308" s="38"/>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2.75" customHeight="1">
      <c r="A309" s="38"/>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2.75" customHeight="1">
      <c r="A310" s="38"/>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2.75" customHeight="1">
      <c r="A311" s="38"/>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2.75" customHeight="1">
      <c r="A312" s="38"/>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2.75" customHeight="1">
      <c r="A313" s="38"/>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2.75" customHeight="1">
      <c r="A314" s="38"/>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2.75" customHeight="1">
      <c r="A315" s="38"/>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2.75" customHeight="1">
      <c r="A316" s="38"/>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2.75" customHeight="1">
      <c r="A317" s="38"/>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2.75" customHeight="1">
      <c r="A318" s="38"/>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2.75" customHeight="1">
      <c r="A319" s="38"/>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2.75" customHeight="1">
      <c r="A320" s="38"/>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2.75" customHeight="1">
      <c r="A321" s="38"/>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2.75" customHeight="1">
      <c r="A322" s="38"/>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2.75" customHeight="1">
      <c r="A323" s="38"/>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2.75" customHeight="1">
      <c r="A324" s="38"/>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2.75" customHeight="1">
      <c r="A325" s="38"/>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2.75" customHeight="1">
      <c r="A326" s="38"/>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2.75" customHeight="1">
      <c r="A327" s="38"/>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2.75" customHeight="1">
      <c r="A328" s="38"/>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2.75" customHeight="1">
      <c r="A329" s="38"/>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2.75" customHeight="1">
      <c r="A330" s="38"/>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2.75" customHeight="1">
      <c r="A331" s="38"/>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2.75" customHeight="1">
      <c r="A332" s="38"/>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2.75" customHeight="1">
      <c r="A333" s="38"/>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2.75" customHeight="1">
      <c r="A334" s="38"/>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2.75" customHeight="1">
      <c r="A335" s="38"/>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2.75" customHeight="1">
      <c r="A336" s="38"/>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2.75" customHeight="1">
      <c r="A337" s="38"/>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2.75" customHeight="1">
      <c r="A338" s="38"/>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2.75" customHeight="1">
      <c r="A339" s="38"/>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2.75" customHeight="1">
      <c r="A340" s="38"/>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2.75" customHeight="1">
      <c r="A341" s="38"/>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2.75" customHeight="1">
      <c r="A342" s="38"/>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2.75" customHeight="1">
      <c r="A343" s="38"/>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2.75" customHeight="1">
      <c r="A344" s="38"/>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2.75" customHeight="1">
      <c r="A345" s="38"/>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2.75" customHeight="1">
      <c r="A346" s="38"/>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2.75" customHeight="1">
      <c r="A347" s="38"/>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2.75" customHeight="1">
      <c r="A348" s="38"/>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2.75" customHeight="1">
      <c r="A349" s="38"/>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2.75" customHeight="1">
      <c r="A350" s="38"/>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2.75" customHeight="1">
      <c r="A351" s="38"/>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2.75" customHeight="1">
      <c r="A352" s="38"/>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2.75" customHeight="1">
      <c r="A353" s="38"/>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2.75" customHeight="1">
      <c r="A354" s="38"/>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2.75" customHeight="1">
      <c r="A355" s="38"/>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2.75" customHeight="1">
      <c r="A356" s="38"/>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2.75" customHeight="1">
      <c r="A357" s="38"/>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2.75" customHeight="1">
      <c r="A358" s="38"/>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2.75" customHeight="1">
      <c r="A359" s="38"/>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2.75" customHeight="1">
      <c r="A360" s="38"/>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2.75" customHeight="1">
      <c r="A361" s="38"/>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2.75" customHeight="1">
      <c r="A362" s="38"/>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2.75" customHeight="1">
      <c r="A363" s="38"/>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2.75" customHeight="1">
      <c r="A364" s="38"/>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2.75" customHeight="1">
      <c r="A365" s="38"/>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2.75" customHeight="1">
      <c r="A366" s="38"/>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2.75" customHeight="1">
      <c r="A367" s="38"/>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2.75" customHeight="1">
      <c r="A368" s="38"/>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2.75" customHeight="1">
      <c r="A369" s="38"/>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2.75" customHeight="1">
      <c r="A370" s="38"/>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2.75" customHeight="1">
      <c r="A371" s="38"/>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2.75" customHeight="1">
      <c r="A372" s="38"/>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2.75" customHeight="1">
      <c r="A373" s="38"/>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2.75" customHeight="1">
      <c r="A374" s="38"/>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2.75" customHeight="1">
      <c r="A375" s="38"/>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2.75" customHeight="1">
      <c r="A376" s="38"/>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2.75" customHeight="1">
      <c r="A377" s="38"/>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2.75" customHeight="1">
      <c r="A378" s="38"/>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2.75" customHeight="1">
      <c r="A379" s="38"/>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2.75" customHeight="1">
      <c r="A380" s="38"/>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2.75" customHeight="1">
      <c r="A381" s="38"/>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2.75" customHeight="1">
      <c r="A382" s="38"/>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2.75" customHeight="1">
      <c r="A383" s="38"/>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2.75" customHeight="1">
      <c r="A384" s="38"/>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2.75" customHeight="1">
      <c r="A385" s="38"/>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2.75" customHeight="1">
      <c r="A386" s="38"/>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2.75" customHeight="1">
      <c r="A387" s="38"/>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2.75" customHeight="1">
      <c r="A388" s="38"/>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2.75" customHeight="1">
      <c r="A389" s="38"/>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2.75" customHeight="1">
      <c r="A390" s="38"/>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2.75" customHeight="1">
      <c r="A391" s="38"/>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2.75" customHeight="1">
      <c r="A392" s="38"/>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2.75" customHeight="1">
      <c r="A393" s="38"/>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2.75" customHeight="1">
      <c r="A394" s="38"/>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2.75" customHeight="1">
      <c r="A395" s="38"/>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2.75" customHeight="1">
      <c r="A396" s="38"/>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2.75" customHeight="1">
      <c r="A397" s="38"/>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2.75" customHeight="1">
      <c r="A398" s="38"/>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2.75" customHeight="1">
      <c r="A399" s="38"/>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2.75" customHeight="1">
      <c r="A400" s="38"/>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2.75" customHeight="1">
      <c r="A401" s="38"/>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2.75" customHeight="1">
      <c r="A402" s="38"/>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2.75" customHeight="1">
      <c r="A403" s="38"/>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2.75" customHeight="1">
      <c r="A404" s="38"/>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2.75" customHeight="1">
      <c r="A405" s="38"/>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2.75" customHeight="1">
      <c r="A406" s="38"/>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2.75" customHeight="1">
      <c r="A407" s="38"/>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2.75" customHeight="1">
      <c r="A408" s="38"/>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2.75" customHeight="1">
      <c r="A409" s="38"/>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2.75" customHeight="1">
      <c r="A410" s="38"/>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2.75" customHeight="1">
      <c r="A411" s="38"/>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2.75" customHeight="1">
      <c r="A412" s="38"/>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2.75" customHeight="1">
      <c r="A413" s="38"/>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2.75" customHeight="1">
      <c r="A414" s="38"/>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2.75" customHeight="1">
      <c r="A415" s="38"/>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2.75" customHeight="1">
      <c r="A416" s="38"/>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2.75" customHeight="1">
      <c r="A417" s="38"/>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2.75" customHeight="1">
      <c r="A418" s="38"/>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2.75" customHeight="1">
      <c r="A419" s="38"/>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2.75" customHeight="1">
      <c r="A420" s="38"/>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2.75" customHeight="1">
      <c r="A421" s="38"/>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2.75" customHeight="1">
      <c r="A422" s="38"/>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2.75" customHeight="1">
      <c r="A423" s="38"/>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2.75" customHeight="1">
      <c r="A424" s="38"/>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2.75" customHeight="1">
      <c r="A425" s="38"/>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2.75" customHeight="1">
      <c r="A426" s="38"/>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2.75" customHeight="1">
      <c r="A427" s="38"/>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2.75" customHeight="1">
      <c r="A428" s="38"/>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2.75" customHeight="1">
      <c r="A429" s="38"/>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2.75" customHeight="1">
      <c r="A430" s="38"/>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2.75" customHeight="1">
      <c r="A431" s="38"/>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2.75" customHeight="1">
      <c r="A432" s="38"/>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2.75" customHeight="1">
      <c r="A433" s="38"/>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2.75" customHeight="1">
      <c r="A434" s="38"/>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2.75" customHeight="1">
      <c r="A435" s="38"/>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2.75" customHeight="1">
      <c r="A436" s="38"/>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2.75" customHeight="1">
      <c r="A437" s="38"/>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2.75" customHeight="1">
      <c r="A438" s="38"/>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2.75" customHeight="1">
      <c r="A439" s="38"/>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2.75" customHeight="1">
      <c r="A440" s="38"/>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2.75" customHeight="1">
      <c r="A441" s="38"/>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2.75" customHeight="1">
      <c r="A442" s="38"/>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2.75" customHeight="1">
      <c r="A443" s="38"/>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2.75" customHeight="1">
      <c r="A444" s="38"/>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2.75" customHeight="1">
      <c r="A445" s="38"/>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2.75" customHeight="1">
      <c r="A446" s="38"/>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2.75" customHeight="1">
      <c r="A447" s="38"/>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2.75" customHeight="1">
      <c r="A448" s="38"/>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2.75" customHeight="1">
      <c r="A449" s="38"/>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2.75" customHeight="1">
      <c r="A450" s="38"/>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2.75" customHeight="1">
      <c r="A451" s="38"/>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2.75" customHeight="1">
      <c r="A452" s="38"/>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2.75" customHeight="1">
      <c r="A453" s="38"/>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2.75" customHeight="1">
      <c r="A454" s="38"/>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2.75" customHeight="1">
      <c r="A455" s="38"/>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2.75" customHeight="1">
      <c r="A456" s="38"/>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2.75" customHeight="1">
      <c r="A457" s="38"/>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2.75" customHeight="1">
      <c r="A458" s="38"/>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2.75" customHeight="1">
      <c r="A459" s="38"/>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2.75" customHeight="1">
      <c r="A460" s="38"/>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2.75" customHeight="1">
      <c r="A461" s="38"/>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2.75" customHeight="1">
      <c r="A462" s="38"/>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2.75" customHeight="1">
      <c r="A463" s="38"/>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2.75" customHeight="1">
      <c r="A464" s="38"/>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2.75" customHeight="1">
      <c r="A465" s="38"/>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2.75" customHeight="1">
      <c r="A466" s="38"/>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2.75" customHeight="1">
      <c r="A467" s="38"/>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2.75" customHeight="1">
      <c r="A468" s="38"/>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2.75" customHeight="1">
      <c r="A469" s="38"/>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2.75" customHeight="1">
      <c r="A470" s="38"/>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2.75" customHeight="1">
      <c r="A471" s="38"/>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2.75" customHeight="1">
      <c r="A472" s="38"/>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2.75" customHeight="1">
      <c r="A473" s="38"/>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2.75" customHeight="1">
      <c r="A474" s="38"/>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2.75" customHeight="1">
      <c r="A475" s="38"/>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2.75" customHeight="1">
      <c r="A476" s="38"/>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2.75" customHeight="1">
      <c r="A477" s="38"/>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2.75" customHeight="1">
      <c r="A478" s="38"/>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2.75" customHeight="1">
      <c r="A479" s="38"/>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2.75" customHeight="1">
      <c r="A480" s="38"/>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2.75" customHeight="1">
      <c r="A481" s="38"/>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2.75" customHeight="1">
      <c r="A482" s="38"/>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2.75" customHeight="1">
      <c r="A483" s="38"/>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2.75" customHeight="1">
      <c r="A484" s="38"/>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2.75" customHeight="1">
      <c r="A485" s="38"/>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2.75" customHeight="1">
      <c r="A486" s="38"/>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2.75" customHeight="1">
      <c r="A487" s="38"/>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2.75" customHeight="1">
      <c r="A488" s="38"/>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2.75" customHeight="1">
      <c r="A489" s="38"/>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2.75" customHeight="1">
      <c r="A490" s="38"/>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2.75" customHeight="1">
      <c r="A491" s="38"/>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2.75" customHeight="1">
      <c r="A492" s="38"/>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2.75" customHeight="1">
      <c r="A493" s="38"/>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2.75" customHeight="1">
      <c r="A494" s="38"/>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2.75" customHeight="1">
      <c r="A495" s="38"/>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2.75" customHeight="1">
      <c r="A496" s="38"/>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2.75" customHeight="1">
      <c r="A497" s="38"/>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2.75" customHeight="1">
      <c r="A498" s="38"/>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2.75" customHeight="1">
      <c r="A499" s="38"/>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2.75" customHeight="1">
      <c r="A500" s="38"/>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2.75" customHeight="1">
      <c r="A501" s="38"/>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2.75" customHeight="1">
      <c r="A502" s="38"/>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2.75" customHeight="1">
      <c r="A503" s="38"/>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2.75" customHeight="1">
      <c r="A504" s="38"/>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2.75" customHeight="1">
      <c r="A505" s="38"/>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2.75" customHeight="1">
      <c r="A506" s="38"/>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2.75" customHeight="1">
      <c r="A507" s="38"/>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2.75" customHeight="1">
      <c r="A508" s="38"/>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2.75" customHeight="1">
      <c r="A509" s="38"/>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2.75" customHeight="1">
      <c r="A510" s="38"/>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2.75" customHeight="1">
      <c r="A511" s="38"/>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2.75" customHeight="1">
      <c r="A512" s="38"/>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2.75" customHeight="1">
      <c r="A513" s="38"/>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2.75" customHeight="1">
      <c r="A514" s="38"/>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2.75" customHeight="1">
      <c r="A515" s="38"/>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2.75" customHeight="1">
      <c r="A516" s="38"/>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2.75" customHeight="1">
      <c r="A517" s="38"/>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2.75" customHeight="1">
      <c r="A518" s="38"/>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2.75" customHeight="1">
      <c r="A519" s="38"/>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2.75" customHeight="1">
      <c r="A520" s="38"/>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2.75" customHeight="1">
      <c r="A521" s="38"/>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2.75" customHeight="1">
      <c r="A522" s="38"/>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2.75" customHeight="1">
      <c r="A523" s="38"/>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2.75" customHeight="1">
      <c r="A524" s="38"/>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2.75" customHeight="1">
      <c r="A525" s="38"/>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2.75" customHeight="1">
      <c r="A526" s="38"/>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2.75" customHeight="1">
      <c r="A527" s="38"/>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2.75" customHeight="1">
      <c r="A528" s="38"/>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2.75" customHeight="1">
      <c r="A529" s="38"/>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2.75" customHeight="1">
      <c r="A530" s="38"/>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2.75" customHeight="1">
      <c r="A531" s="38"/>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2.75" customHeight="1">
      <c r="A532" s="38"/>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2.75" customHeight="1">
      <c r="A533" s="38"/>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2.75" customHeight="1">
      <c r="A534" s="38"/>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2.75" customHeight="1">
      <c r="A535" s="38"/>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2.75" customHeight="1">
      <c r="A536" s="38"/>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2.75" customHeight="1">
      <c r="A537" s="38"/>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2.75" customHeight="1">
      <c r="A538" s="38"/>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2.75" customHeight="1">
      <c r="A539" s="38"/>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2.75" customHeight="1">
      <c r="A540" s="38"/>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2.75" customHeight="1">
      <c r="A541" s="38"/>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2.75" customHeight="1">
      <c r="A542" s="38"/>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2.75" customHeight="1">
      <c r="A543" s="38"/>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2.75" customHeight="1">
      <c r="A544" s="38"/>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2.75" customHeight="1">
      <c r="A545" s="38"/>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2.75" customHeight="1">
      <c r="A546" s="38"/>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2.75" customHeight="1">
      <c r="A547" s="38"/>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2.75" customHeight="1">
      <c r="A548" s="38"/>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2.75" customHeight="1">
      <c r="A549" s="38"/>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2.75" customHeight="1">
      <c r="A550" s="38"/>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2.75" customHeight="1">
      <c r="A551" s="38"/>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2.75" customHeight="1">
      <c r="A552" s="38"/>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2.75" customHeight="1">
      <c r="A553" s="38"/>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2.75" customHeight="1">
      <c r="A554" s="38"/>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2.75" customHeight="1">
      <c r="A555" s="38"/>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2.75" customHeight="1">
      <c r="A556" s="38"/>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2.75" customHeight="1">
      <c r="A557" s="38"/>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2.75" customHeight="1">
      <c r="A558" s="38"/>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2.75" customHeight="1">
      <c r="A559" s="38"/>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2.75" customHeight="1">
      <c r="A560" s="38"/>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2.75" customHeight="1">
      <c r="A561" s="38"/>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2.75" customHeight="1">
      <c r="A562" s="38"/>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2.75" customHeight="1">
      <c r="A563" s="38"/>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2.75" customHeight="1">
      <c r="A564" s="38"/>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2.75" customHeight="1">
      <c r="A565" s="38"/>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2.75" customHeight="1">
      <c r="A566" s="38"/>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2.75" customHeight="1">
      <c r="A567" s="38"/>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2.75" customHeight="1">
      <c r="A568" s="38"/>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2.75" customHeight="1">
      <c r="A569" s="38"/>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2.75" customHeight="1">
      <c r="A570" s="38"/>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2.75" customHeight="1">
      <c r="A571" s="38"/>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2.75" customHeight="1">
      <c r="A572" s="38"/>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2.75" customHeight="1">
      <c r="A573" s="38"/>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2.75" customHeight="1">
      <c r="A574" s="38"/>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2.75" customHeight="1">
      <c r="A575" s="38"/>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2.75" customHeight="1">
      <c r="A576" s="38"/>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2.75" customHeight="1">
      <c r="A577" s="38"/>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2.75" customHeight="1">
      <c r="A578" s="38"/>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2.75" customHeight="1">
      <c r="A579" s="38"/>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2.75" customHeight="1">
      <c r="A580" s="38"/>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2.75" customHeight="1">
      <c r="A581" s="38"/>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2.75" customHeight="1">
      <c r="A582" s="38"/>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2.75" customHeight="1">
      <c r="A583" s="38"/>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2.75" customHeight="1">
      <c r="A584" s="38"/>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2.75" customHeight="1">
      <c r="A585" s="38"/>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2.75" customHeight="1">
      <c r="A586" s="38"/>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2.75" customHeight="1">
      <c r="A587" s="38"/>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2.75" customHeight="1">
      <c r="A588" s="38"/>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2.75" customHeight="1">
      <c r="A589" s="38"/>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2.75" customHeight="1">
      <c r="A590" s="38"/>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2.75" customHeight="1">
      <c r="A591" s="38"/>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2.75" customHeight="1">
      <c r="A592" s="38"/>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2.75" customHeight="1">
      <c r="A593" s="38"/>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2.75" customHeight="1">
      <c r="A594" s="38"/>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2.75" customHeight="1">
      <c r="A595" s="38"/>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2.75" customHeight="1">
      <c r="A596" s="38"/>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2.75" customHeight="1">
      <c r="A597" s="38"/>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2.75" customHeight="1">
      <c r="A598" s="38"/>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2.75" customHeight="1">
      <c r="A599" s="38"/>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2.75" customHeight="1">
      <c r="A600" s="38"/>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2.75" customHeight="1">
      <c r="A601" s="38"/>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2.75" customHeight="1">
      <c r="A602" s="38"/>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2.75" customHeight="1">
      <c r="A603" s="38"/>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2.75" customHeight="1">
      <c r="A604" s="38"/>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2.75" customHeight="1">
      <c r="A605" s="38"/>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2.75" customHeight="1">
      <c r="A606" s="38"/>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2.75" customHeight="1">
      <c r="A607" s="38"/>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2.75" customHeight="1">
      <c r="A608" s="38"/>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2.75" customHeight="1">
      <c r="A609" s="38"/>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2.75" customHeight="1">
      <c r="A610" s="38"/>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2.75" customHeight="1">
      <c r="A611" s="38"/>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2.75" customHeight="1">
      <c r="A612" s="38"/>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2.75" customHeight="1">
      <c r="A613" s="38"/>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2.75" customHeight="1">
      <c r="A614" s="38"/>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2.75" customHeight="1">
      <c r="A615" s="38"/>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2.75" customHeight="1">
      <c r="A616" s="38"/>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2.75" customHeight="1">
      <c r="A617" s="38"/>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2.75" customHeight="1">
      <c r="A618" s="38"/>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2.75" customHeight="1">
      <c r="A619" s="38"/>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2.75" customHeight="1">
      <c r="A620" s="38"/>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2.75" customHeight="1">
      <c r="A621" s="38"/>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2.75" customHeight="1">
      <c r="A622" s="38"/>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2.75" customHeight="1">
      <c r="A623" s="38"/>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2.75" customHeight="1">
      <c r="A624" s="38"/>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2.75" customHeight="1">
      <c r="A625" s="38"/>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2.75" customHeight="1">
      <c r="A626" s="38"/>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2.75" customHeight="1">
      <c r="A627" s="38"/>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2.75" customHeight="1">
      <c r="A628" s="38"/>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2.75" customHeight="1">
      <c r="A629" s="38"/>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2.75" customHeight="1">
      <c r="A630" s="38"/>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2.75" customHeight="1">
      <c r="A631" s="38"/>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2.75" customHeight="1">
      <c r="A632" s="38"/>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2.75" customHeight="1">
      <c r="A633" s="38"/>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2.75" customHeight="1">
      <c r="A634" s="38"/>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2.75" customHeight="1">
      <c r="A635" s="38"/>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2.75" customHeight="1">
      <c r="A636" s="38"/>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2.75" customHeight="1">
      <c r="A637" s="38"/>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2.75" customHeight="1">
      <c r="A638" s="38"/>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2.75" customHeight="1">
      <c r="A639" s="38"/>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2.75" customHeight="1">
      <c r="A640" s="38"/>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2.75" customHeight="1">
      <c r="A641" s="38"/>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2.75" customHeight="1">
      <c r="A642" s="38"/>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2.75" customHeight="1">
      <c r="A643" s="38"/>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2.75" customHeight="1">
      <c r="A644" s="38"/>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2.75" customHeight="1">
      <c r="A645" s="38"/>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2.75" customHeight="1">
      <c r="A646" s="38"/>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2.75" customHeight="1">
      <c r="A647" s="38"/>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2.75" customHeight="1">
      <c r="A648" s="38"/>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2.75" customHeight="1">
      <c r="A649" s="38"/>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2.75" customHeight="1">
      <c r="A650" s="38"/>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2.75" customHeight="1">
      <c r="A651" s="38"/>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2.75" customHeight="1">
      <c r="A652" s="38"/>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2.75" customHeight="1">
      <c r="A653" s="38"/>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2.75" customHeight="1">
      <c r="A654" s="38"/>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2.75" customHeight="1">
      <c r="A655" s="38"/>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2.75" customHeight="1">
      <c r="A656" s="38"/>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2.75" customHeight="1">
      <c r="A657" s="38"/>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2.75" customHeight="1">
      <c r="A658" s="38"/>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2.75" customHeight="1">
      <c r="A659" s="38"/>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2.75" customHeight="1">
      <c r="A660" s="38"/>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2.75" customHeight="1">
      <c r="A661" s="38"/>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2.75" customHeight="1">
      <c r="A662" s="38"/>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2.75" customHeight="1">
      <c r="A663" s="38"/>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2.75" customHeight="1">
      <c r="A664" s="38"/>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2.75" customHeight="1">
      <c r="A665" s="38"/>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2.75" customHeight="1">
      <c r="A666" s="38"/>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2.75" customHeight="1">
      <c r="A667" s="38"/>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2.75" customHeight="1">
      <c r="A668" s="38"/>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2.75" customHeight="1">
      <c r="A669" s="38"/>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2.75" customHeight="1">
      <c r="A670" s="38"/>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2.75" customHeight="1">
      <c r="A671" s="38"/>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2.75" customHeight="1">
      <c r="A672" s="38"/>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2.75" customHeight="1">
      <c r="A673" s="38"/>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2.75" customHeight="1">
      <c r="A674" s="38"/>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2.75" customHeight="1">
      <c r="A675" s="38"/>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2.75" customHeight="1">
      <c r="A676" s="38"/>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2.75" customHeight="1">
      <c r="A677" s="38"/>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2.75" customHeight="1">
      <c r="A678" s="38"/>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2.75" customHeight="1">
      <c r="A679" s="38"/>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2.75" customHeight="1">
      <c r="A680" s="38"/>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2.75" customHeight="1">
      <c r="A681" s="38"/>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2.75" customHeight="1">
      <c r="A682" s="38"/>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2.75" customHeight="1">
      <c r="A683" s="38"/>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2.75" customHeight="1">
      <c r="A684" s="38"/>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2.75" customHeight="1">
      <c r="A685" s="38"/>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2.75" customHeight="1">
      <c r="A686" s="38"/>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2.75" customHeight="1">
      <c r="A687" s="38"/>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2.75" customHeight="1">
      <c r="A688" s="38"/>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2.75" customHeight="1">
      <c r="A689" s="38"/>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2.75" customHeight="1">
      <c r="A690" s="38"/>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2.75" customHeight="1">
      <c r="A691" s="38"/>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2.75" customHeight="1">
      <c r="A692" s="38"/>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2.75" customHeight="1">
      <c r="A693" s="38"/>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2.75" customHeight="1">
      <c r="A694" s="38"/>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2.75" customHeight="1">
      <c r="A695" s="38"/>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2.75" customHeight="1">
      <c r="A696" s="38"/>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2.75" customHeight="1">
      <c r="A697" s="38"/>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2.75" customHeight="1">
      <c r="A698" s="38"/>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2.75" customHeight="1">
      <c r="A699" s="38"/>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2.75" customHeight="1">
      <c r="A700" s="38"/>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2.75" customHeight="1">
      <c r="A701" s="38"/>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2.75" customHeight="1">
      <c r="A702" s="38"/>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2.75" customHeight="1">
      <c r="A703" s="38"/>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2.75" customHeight="1">
      <c r="A704" s="38"/>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2.75" customHeight="1">
      <c r="A705" s="38"/>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2.75" customHeight="1">
      <c r="A706" s="38"/>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2.75" customHeight="1">
      <c r="A707" s="38"/>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2.75" customHeight="1">
      <c r="A708" s="38"/>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2.75" customHeight="1">
      <c r="A709" s="38"/>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2.75" customHeight="1">
      <c r="A710" s="38"/>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2.75" customHeight="1">
      <c r="A711" s="38"/>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2.75" customHeight="1">
      <c r="A712" s="38"/>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2.75" customHeight="1">
      <c r="A713" s="38"/>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2.75" customHeight="1">
      <c r="A714" s="38"/>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2.75" customHeight="1">
      <c r="A715" s="38"/>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2.75" customHeight="1">
      <c r="A716" s="38"/>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2.75" customHeight="1">
      <c r="A717" s="38"/>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2.75" customHeight="1">
      <c r="A718" s="38"/>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2.75" customHeight="1">
      <c r="A719" s="38"/>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2.75" customHeight="1">
      <c r="A720" s="38"/>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2.75" customHeight="1">
      <c r="A721" s="38"/>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2.75" customHeight="1">
      <c r="A722" s="38"/>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2.75" customHeight="1">
      <c r="A723" s="38"/>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2.75" customHeight="1">
      <c r="A724" s="38"/>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2.75" customHeight="1">
      <c r="A725" s="38"/>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2.75" customHeight="1">
      <c r="A726" s="38"/>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2.75" customHeight="1">
      <c r="A727" s="38"/>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2.75" customHeight="1">
      <c r="A728" s="38"/>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2.75" customHeight="1">
      <c r="A729" s="38"/>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2.75" customHeight="1">
      <c r="A730" s="38"/>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2.75" customHeight="1">
      <c r="A731" s="38"/>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2.75" customHeight="1">
      <c r="A732" s="38"/>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2.75" customHeight="1">
      <c r="A733" s="38"/>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2.75" customHeight="1">
      <c r="A734" s="38"/>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2.75" customHeight="1">
      <c r="A735" s="38"/>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2.75" customHeight="1">
      <c r="A736" s="38"/>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2.75" customHeight="1">
      <c r="A737" s="38"/>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2.75" customHeight="1">
      <c r="A738" s="38"/>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2.75" customHeight="1">
      <c r="A739" s="38"/>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2.75" customHeight="1">
      <c r="A740" s="38"/>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2.75" customHeight="1">
      <c r="A741" s="38"/>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2.75" customHeight="1">
      <c r="A742" s="38"/>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2.75" customHeight="1">
      <c r="A743" s="38"/>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2.75" customHeight="1">
      <c r="A744" s="38"/>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2.75" customHeight="1">
      <c r="A745" s="38"/>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2.75" customHeight="1">
      <c r="A746" s="38"/>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2.75" customHeight="1">
      <c r="A747" s="38"/>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2.75" customHeight="1">
      <c r="A748" s="38"/>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2.75" customHeight="1">
      <c r="A749" s="38"/>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2.75" customHeight="1">
      <c r="A750" s="38"/>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2.75" customHeight="1">
      <c r="A751" s="38"/>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2.75" customHeight="1">
      <c r="A752" s="38"/>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2.75" customHeight="1">
      <c r="A753" s="38"/>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2.75" customHeight="1">
      <c r="A754" s="38"/>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2.75" customHeight="1">
      <c r="A755" s="38"/>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2.75" customHeight="1">
      <c r="A756" s="38"/>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2.75" customHeight="1">
      <c r="A757" s="38"/>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2.75" customHeight="1">
      <c r="A758" s="38"/>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2.75" customHeight="1">
      <c r="A759" s="38"/>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2.75" customHeight="1">
      <c r="A760" s="38"/>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2.75" customHeight="1">
      <c r="A761" s="38"/>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2.75" customHeight="1">
      <c r="A762" s="38"/>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2.75" customHeight="1">
      <c r="A763" s="38"/>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2.75" customHeight="1">
      <c r="A764" s="38"/>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2.75" customHeight="1">
      <c r="A765" s="38"/>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2.75" customHeight="1">
      <c r="A766" s="38"/>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2.75" customHeight="1">
      <c r="A767" s="38"/>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2.75" customHeight="1">
      <c r="A768" s="38"/>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2.75" customHeight="1">
      <c r="A769" s="38"/>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2.75" customHeight="1">
      <c r="A770" s="38"/>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2.75" customHeight="1">
      <c r="A771" s="38"/>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2.75" customHeight="1">
      <c r="A772" s="38"/>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2.75" customHeight="1">
      <c r="A773" s="38"/>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2.75" customHeight="1">
      <c r="A774" s="38"/>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2.75" customHeight="1">
      <c r="A775" s="38"/>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2.75" customHeight="1">
      <c r="A776" s="38"/>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2.75" customHeight="1">
      <c r="A777" s="38"/>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2.75" customHeight="1">
      <c r="A778" s="38"/>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2.75" customHeight="1">
      <c r="A779" s="38"/>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2.75" customHeight="1">
      <c r="A780" s="38"/>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2.75" customHeight="1">
      <c r="A781" s="38"/>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2.75" customHeight="1">
      <c r="A782" s="38"/>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2.75" customHeight="1">
      <c r="A783" s="38"/>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2.75" customHeight="1">
      <c r="A784" s="38"/>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2.75" customHeight="1">
      <c r="A785" s="38"/>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2.75" customHeight="1">
      <c r="A786" s="38"/>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2.75" customHeight="1">
      <c r="A787" s="38"/>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2.75" customHeight="1">
      <c r="A788" s="38"/>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2.75" customHeight="1">
      <c r="A789" s="38"/>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2.75" customHeight="1">
      <c r="A790" s="38"/>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2.75" customHeight="1">
      <c r="A791" s="38"/>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2.75" customHeight="1">
      <c r="A792" s="38"/>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2.75" customHeight="1">
      <c r="A793" s="38"/>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2.75" customHeight="1">
      <c r="A794" s="38"/>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2.75" customHeight="1">
      <c r="A795" s="38"/>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2.75" customHeight="1">
      <c r="A796" s="38"/>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2.75" customHeight="1">
      <c r="A797" s="38"/>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2.75" customHeight="1">
      <c r="A798" s="38"/>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2.75" customHeight="1">
      <c r="A799" s="38"/>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2.75" customHeight="1">
      <c r="A800" s="38"/>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2.75" customHeight="1">
      <c r="A801" s="38"/>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2.75" customHeight="1">
      <c r="A802" s="38"/>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2.75" customHeight="1">
      <c r="A803" s="38"/>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2.75" customHeight="1">
      <c r="A804" s="38"/>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2.75" customHeight="1">
      <c r="A805" s="38"/>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2.75" customHeight="1">
      <c r="A806" s="38"/>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2.75" customHeight="1">
      <c r="A807" s="38"/>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2.75" customHeight="1">
      <c r="A808" s="38"/>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2.75" customHeight="1">
      <c r="A809" s="38"/>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2.75" customHeight="1">
      <c r="A810" s="38"/>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2.75" customHeight="1">
      <c r="A811" s="38"/>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2.75" customHeight="1">
      <c r="A812" s="38"/>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2.75" customHeight="1">
      <c r="A813" s="38"/>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2.75" customHeight="1">
      <c r="A814" s="38"/>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2.75" customHeight="1">
      <c r="A815" s="38"/>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2.75" customHeight="1">
      <c r="A816" s="38"/>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2.75" customHeight="1">
      <c r="A817" s="38"/>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2.75" customHeight="1">
      <c r="A818" s="38"/>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2.75" customHeight="1">
      <c r="A819" s="38"/>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2.75" customHeight="1">
      <c r="A820" s="38"/>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2.75" customHeight="1">
      <c r="A821" s="38"/>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2.75" customHeight="1">
      <c r="A822" s="38"/>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2.75" customHeight="1">
      <c r="A823" s="38"/>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2.75" customHeight="1">
      <c r="A824" s="38"/>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2.75" customHeight="1">
      <c r="A825" s="38"/>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2.75" customHeight="1">
      <c r="A826" s="38"/>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2.75" customHeight="1">
      <c r="A827" s="38"/>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2.75" customHeight="1">
      <c r="A828" s="38"/>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2.75" customHeight="1">
      <c r="A829" s="38"/>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2.75" customHeight="1">
      <c r="A830" s="38"/>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2.75" customHeight="1">
      <c r="A831" s="38"/>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2.75" customHeight="1">
      <c r="A832" s="38"/>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2.75" customHeight="1">
      <c r="A833" s="38"/>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2.75" customHeight="1">
      <c r="A834" s="38"/>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2.75" customHeight="1">
      <c r="A835" s="38"/>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2.75" customHeight="1">
      <c r="A836" s="38"/>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2.75" customHeight="1">
      <c r="A837" s="38"/>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2.75" customHeight="1">
      <c r="A838" s="38"/>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2.75" customHeight="1">
      <c r="A839" s="38"/>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2.75" customHeight="1">
      <c r="A840" s="38"/>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2.75" customHeight="1">
      <c r="A841" s="38"/>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2.75" customHeight="1">
      <c r="A842" s="38"/>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2.75" customHeight="1">
      <c r="A843" s="38"/>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2.75" customHeight="1">
      <c r="A844" s="38"/>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2.75" customHeight="1">
      <c r="A845" s="38"/>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2.75" customHeight="1">
      <c r="A846" s="38"/>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2.75" customHeight="1">
      <c r="A847" s="38"/>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2.75" customHeight="1">
      <c r="A848" s="38"/>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2.75" customHeight="1">
      <c r="A849" s="38"/>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2.75" customHeight="1">
      <c r="A850" s="38"/>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2.75" customHeight="1">
      <c r="A851" s="38"/>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2.75" customHeight="1">
      <c r="A852" s="38"/>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2.75" customHeight="1">
      <c r="A853" s="38"/>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2.75" customHeight="1">
      <c r="A854" s="38"/>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2.75" customHeight="1">
      <c r="A855" s="38"/>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2.75" customHeight="1">
      <c r="A856" s="38"/>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2.75" customHeight="1">
      <c r="A857" s="38"/>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2.75" customHeight="1">
      <c r="A858" s="38"/>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2.75" customHeight="1">
      <c r="A859" s="38"/>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2.75" customHeight="1">
      <c r="A860" s="38"/>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2.75" customHeight="1">
      <c r="A861" s="38"/>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2.75" customHeight="1">
      <c r="A862" s="38"/>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2.75" customHeight="1">
      <c r="A863" s="38"/>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2.75" customHeight="1">
      <c r="A864" s="38"/>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2.75" customHeight="1">
      <c r="A865" s="38"/>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2.75" customHeight="1">
      <c r="A866" s="38"/>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2.75" customHeight="1">
      <c r="A867" s="38"/>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2.75" customHeight="1">
      <c r="A868" s="38"/>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2.75" customHeight="1">
      <c r="A869" s="38"/>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2.75" customHeight="1">
      <c r="A870" s="38"/>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2.75" customHeight="1">
      <c r="A871" s="38"/>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2.75" customHeight="1">
      <c r="A872" s="38"/>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2.75" customHeight="1">
      <c r="A873" s="38"/>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2.75" customHeight="1">
      <c r="A874" s="38"/>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2.75" customHeight="1">
      <c r="A875" s="38"/>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2.75" customHeight="1">
      <c r="A876" s="38"/>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2.75" customHeight="1">
      <c r="A877" s="38"/>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2.75" customHeight="1">
      <c r="A878" s="38"/>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2.75" customHeight="1">
      <c r="A879" s="38"/>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2.75" customHeight="1">
      <c r="A880" s="38"/>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2.75" customHeight="1">
      <c r="A881" s="38"/>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2.75" customHeight="1">
      <c r="A882" s="38"/>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2.75" customHeight="1">
      <c r="A883" s="38"/>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2.75" customHeight="1">
      <c r="A884" s="38"/>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2.75" customHeight="1">
      <c r="A885" s="38"/>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2.75" customHeight="1">
      <c r="A886" s="38"/>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2.75" customHeight="1">
      <c r="A887" s="38"/>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2.75" customHeight="1">
      <c r="A888" s="38"/>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2.75" customHeight="1">
      <c r="A889" s="38"/>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2.75" customHeight="1">
      <c r="A890" s="38"/>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2.75" customHeight="1">
      <c r="A891" s="38"/>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2.75" customHeight="1">
      <c r="A892" s="38"/>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2.75" customHeight="1">
      <c r="A893" s="38"/>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2.75" customHeight="1">
      <c r="A894" s="38"/>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2.75" customHeight="1">
      <c r="A895" s="38"/>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2.75" customHeight="1">
      <c r="A896" s="38"/>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2.75" customHeight="1">
      <c r="A897" s="38"/>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2.75" customHeight="1">
      <c r="A898" s="38"/>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2.75" customHeight="1">
      <c r="A899" s="38"/>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2.75" customHeight="1">
      <c r="A900" s="38"/>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2.75" customHeight="1">
      <c r="A901" s="38"/>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2.75" customHeight="1">
      <c r="A902" s="38"/>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2.75" customHeight="1">
      <c r="A903" s="38"/>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2.75" customHeight="1">
      <c r="A904" s="38"/>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2.75" customHeight="1">
      <c r="A905" s="38"/>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2.75" customHeight="1">
      <c r="A906" s="38"/>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2.75" customHeight="1">
      <c r="A907" s="38"/>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2.75" customHeight="1">
      <c r="A908" s="38"/>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2.75" customHeight="1">
      <c r="A909" s="38"/>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2.75" customHeight="1">
      <c r="A910" s="38"/>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2.75" customHeight="1">
      <c r="A911" s="38"/>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2.75" customHeight="1">
      <c r="A912" s="38"/>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2.75" customHeight="1">
      <c r="A913" s="38"/>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2.75" customHeight="1">
      <c r="A914" s="38"/>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2.75" customHeight="1">
      <c r="A915" s="38"/>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2.75" customHeight="1">
      <c r="A916" s="38"/>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2.75" customHeight="1">
      <c r="A917" s="38"/>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2.75" customHeight="1">
      <c r="A918" s="38"/>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2.75" customHeight="1">
      <c r="A919" s="38"/>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2.75" customHeight="1">
      <c r="A920" s="38"/>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2.75" customHeight="1">
      <c r="A921" s="38"/>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2.75" customHeight="1">
      <c r="A922" s="38"/>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2.75" customHeight="1">
      <c r="A923" s="38"/>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2.75" customHeight="1">
      <c r="A924" s="38"/>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2.75" customHeight="1">
      <c r="A925" s="38"/>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2.75" customHeight="1">
      <c r="A926" s="38"/>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2.75" customHeight="1">
      <c r="A927" s="38"/>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2.75" customHeight="1">
      <c r="A928" s="38"/>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2.75" customHeight="1">
      <c r="A929" s="38"/>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2.75" customHeight="1">
      <c r="A930" s="38"/>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2.75" customHeight="1">
      <c r="A931" s="38"/>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2.75" customHeight="1">
      <c r="A932" s="38"/>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2.75" customHeight="1">
      <c r="A933" s="38"/>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2.75" customHeight="1">
      <c r="A934" s="38"/>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2.75" customHeight="1">
      <c r="A935" s="38"/>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2.75" customHeight="1">
      <c r="A936" s="38"/>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2.75" customHeight="1">
      <c r="A937" s="38"/>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2.75" customHeight="1">
      <c r="A938" s="38"/>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2.75" customHeight="1">
      <c r="A939" s="38"/>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2.75" customHeight="1">
      <c r="A940" s="38"/>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2.75" customHeight="1">
      <c r="A941" s="38"/>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2.75" customHeight="1">
      <c r="A942" s="38"/>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2.75" customHeight="1">
      <c r="A943" s="38"/>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2.75" customHeight="1">
      <c r="A944" s="38"/>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2.75" customHeight="1">
      <c r="A945" s="38"/>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2.75" customHeight="1">
      <c r="A946" s="38"/>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2.75" customHeight="1">
      <c r="A947" s="38"/>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2.75" customHeight="1">
      <c r="A948" s="38"/>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2.75" customHeight="1">
      <c r="A949" s="38"/>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2.75" customHeight="1">
      <c r="A950" s="38"/>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2.75" customHeight="1">
      <c r="A951" s="38"/>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2.75" customHeight="1">
      <c r="A952" s="38"/>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2.75" customHeight="1">
      <c r="A953" s="38"/>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2.75" customHeight="1">
      <c r="A954" s="38"/>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2.75" customHeight="1">
      <c r="A955" s="38"/>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2.75" customHeight="1">
      <c r="A956" s="38"/>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2.75" customHeight="1">
      <c r="A957" s="38"/>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2.75" customHeight="1">
      <c r="A958" s="38"/>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2.75" customHeight="1">
      <c r="A959" s="38"/>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2.75" customHeight="1">
      <c r="A960" s="38"/>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2.75" customHeight="1">
      <c r="A961" s="38"/>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2.75" customHeight="1">
      <c r="A962" s="38"/>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2.75" customHeight="1">
      <c r="A963" s="38"/>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2.75" customHeight="1">
      <c r="A964" s="38"/>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2.75" customHeight="1">
      <c r="A965" s="38"/>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2.75" customHeight="1">
      <c r="A966" s="38"/>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2.75" customHeight="1">
      <c r="A967" s="38"/>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2.75" customHeight="1">
      <c r="A968" s="38"/>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2.75" customHeight="1">
      <c r="A969" s="38"/>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2.75" customHeight="1">
      <c r="A970" s="38"/>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9FD79638-68F0-44FE-AE9A-45F92FA36E56}"/>
    <hyperlink ref="A22" r:id="rId2" xr:uid="{FC18AB7C-5891-446A-BA68-65451D1A46FF}"/>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0DBA-520A-4668-9121-CC79152D998B}">
  <dimension ref="B1:E30"/>
  <sheetViews>
    <sheetView zoomScaleNormal="100" workbookViewId="0">
      <selection activeCell="B1" sqref="B1"/>
    </sheetView>
  </sheetViews>
  <sheetFormatPr defaultColWidth="8.42578125" defaultRowHeight="12"/>
  <cols>
    <col min="1" max="1" width="1.42578125" style="66" customWidth="1"/>
    <col min="2" max="2" width="9.42578125" style="66" customWidth="1"/>
    <col min="3" max="3" width="14.42578125" style="66" customWidth="1"/>
    <col min="4" max="4" width="45.5703125" style="66" customWidth="1"/>
    <col min="5" max="5" width="83.85546875" style="66" customWidth="1"/>
    <col min="6" max="6" width="3.5703125" style="66" customWidth="1"/>
    <col min="7" max="16384" width="8.42578125" style="66"/>
  </cols>
  <sheetData>
    <row r="1" spans="2:5" ht="12.75" thickBot="1"/>
    <row r="2" spans="2:5" s="67" customFormat="1" ht="12.75" thickBot="1">
      <c r="B2" s="139" t="s">
        <v>128</v>
      </c>
      <c r="C2" s="140"/>
      <c r="D2" s="140"/>
      <c r="E2" s="141"/>
    </row>
    <row r="3" spans="2:5" s="67" customFormat="1" ht="16.5" customHeight="1">
      <c r="B3" s="142" t="s">
        <v>213</v>
      </c>
      <c r="C3" s="143"/>
      <c r="D3" s="143"/>
      <c r="E3" s="144"/>
    </row>
    <row r="4" spans="2:5" s="67" customFormat="1" ht="16.5" customHeight="1">
      <c r="B4" s="145" t="s">
        <v>166</v>
      </c>
      <c r="C4" s="146"/>
      <c r="D4" s="146"/>
      <c r="E4" s="147"/>
    </row>
    <row r="5" spans="2:5" s="67" customFormat="1" ht="16.5" customHeight="1">
      <c r="B5" s="145" t="s">
        <v>167</v>
      </c>
      <c r="C5" s="146"/>
      <c r="D5" s="146"/>
      <c r="E5" s="147"/>
    </row>
    <row r="6" spans="2:5" s="67" customFormat="1" ht="16.5" customHeight="1">
      <c r="B6" s="145" t="s">
        <v>168</v>
      </c>
      <c r="C6" s="146"/>
      <c r="D6" s="146"/>
      <c r="E6" s="147"/>
    </row>
    <row r="7" spans="2:5" s="67" customFormat="1" ht="16.5" customHeight="1">
      <c r="B7" s="145" t="s">
        <v>169</v>
      </c>
      <c r="C7" s="146"/>
      <c r="D7" s="146"/>
      <c r="E7" s="147"/>
    </row>
    <row r="8" spans="2:5" s="67" customFormat="1" ht="16.5" customHeight="1">
      <c r="B8" s="145" t="s">
        <v>170</v>
      </c>
      <c r="C8" s="146"/>
      <c r="D8" s="146"/>
      <c r="E8" s="147"/>
    </row>
    <row r="9" spans="2:5" s="67" customFormat="1" ht="42.6" customHeight="1">
      <c r="B9" s="145" t="s">
        <v>205</v>
      </c>
      <c r="C9" s="146"/>
      <c r="D9" s="146"/>
      <c r="E9" s="147"/>
    </row>
    <row r="10" spans="2:5" s="67" customFormat="1" ht="28.5" customHeight="1">
      <c r="B10" s="145" t="s">
        <v>171</v>
      </c>
      <c r="C10" s="146"/>
      <c r="D10" s="146"/>
      <c r="E10" s="147"/>
    </row>
    <row r="11" spans="2:5" s="67" customFormat="1" ht="16.5" customHeight="1">
      <c r="B11" s="145" t="s">
        <v>172</v>
      </c>
      <c r="C11" s="146"/>
      <c r="D11" s="146"/>
      <c r="E11" s="147"/>
    </row>
    <row r="12" spans="2:5" s="67" customFormat="1" ht="16.5" customHeight="1">
      <c r="B12" s="145" t="s">
        <v>173</v>
      </c>
      <c r="C12" s="146"/>
      <c r="D12" s="146"/>
      <c r="E12" s="147"/>
    </row>
    <row r="13" spans="2:5" s="67" customFormat="1" ht="22.9" customHeight="1" thickBot="1">
      <c r="B13" s="148"/>
      <c r="C13" s="149"/>
      <c r="D13" s="149"/>
      <c r="E13" s="150"/>
    </row>
    <row r="14" spans="2:5" s="67" customFormat="1" ht="12.75" thickBot="1"/>
    <row r="15" spans="2:5" s="67" customFormat="1" ht="12.75" thickBot="1">
      <c r="B15" s="139" t="s">
        <v>129</v>
      </c>
      <c r="C15" s="140"/>
      <c r="D15" s="140"/>
      <c r="E15" s="141"/>
    </row>
    <row r="16" spans="2:5" s="67" customFormat="1" ht="30.6" customHeight="1">
      <c r="B16" s="131" t="s">
        <v>174</v>
      </c>
      <c r="C16" s="132"/>
      <c r="D16" s="132"/>
      <c r="E16" s="133"/>
    </row>
    <row r="17" spans="2:5" s="67" customFormat="1" ht="31.9" customHeight="1">
      <c r="B17" s="131" t="s">
        <v>175</v>
      </c>
      <c r="C17" s="132"/>
      <c r="D17" s="132"/>
      <c r="E17" s="133"/>
    </row>
    <row r="18" spans="2:5" s="67" customFormat="1" ht="30.6" customHeight="1">
      <c r="B18" s="131" t="s">
        <v>176</v>
      </c>
      <c r="C18" s="132"/>
      <c r="D18" s="132"/>
      <c r="E18" s="133"/>
    </row>
    <row r="19" spans="2:5" s="67" customFormat="1" ht="31.9" customHeight="1" thickBot="1">
      <c r="B19" s="134" t="s">
        <v>177</v>
      </c>
      <c r="C19" s="135"/>
      <c r="D19" s="135"/>
      <c r="E19" s="136"/>
    </row>
    <row r="20" spans="2:5" ht="12.75" thickBot="1"/>
    <row r="21" spans="2:5">
      <c r="B21" s="68"/>
      <c r="C21" s="137" t="s">
        <v>130</v>
      </c>
      <c r="D21" s="137"/>
      <c r="E21" s="138"/>
    </row>
    <row r="22" spans="2:5" ht="36">
      <c r="B22" s="90" t="s">
        <v>131</v>
      </c>
      <c r="C22" s="91" t="s">
        <v>132</v>
      </c>
      <c r="D22" s="92" t="s">
        <v>4</v>
      </c>
      <c r="E22" s="93" t="s">
        <v>178</v>
      </c>
    </row>
    <row r="23" spans="2:5" ht="156">
      <c r="B23" s="69" t="s">
        <v>12</v>
      </c>
      <c r="C23" s="71" t="s">
        <v>133</v>
      </c>
      <c r="D23" s="94" t="s">
        <v>179</v>
      </c>
      <c r="E23" s="95" t="s">
        <v>180</v>
      </c>
    </row>
    <row r="24" spans="2:5" ht="101.25" customHeight="1">
      <c r="B24" s="130" t="s">
        <v>13</v>
      </c>
      <c r="C24" s="71" t="s">
        <v>134</v>
      </c>
      <c r="D24" s="96" t="s">
        <v>181</v>
      </c>
      <c r="E24" s="95" t="s">
        <v>182</v>
      </c>
    </row>
    <row r="25" spans="2:5" ht="108">
      <c r="B25" s="130"/>
      <c r="C25" s="71" t="s">
        <v>135</v>
      </c>
      <c r="D25" s="96" t="s">
        <v>183</v>
      </c>
      <c r="E25" s="95" t="s">
        <v>184</v>
      </c>
    </row>
    <row r="26" spans="2:5" ht="84">
      <c r="B26" s="130" t="s">
        <v>136</v>
      </c>
      <c r="C26" s="71" t="s">
        <v>185</v>
      </c>
      <c r="D26" s="96" t="s">
        <v>186</v>
      </c>
      <c r="E26" s="95" t="s">
        <v>187</v>
      </c>
    </row>
    <row r="27" spans="2:5" ht="108">
      <c r="B27" s="130"/>
      <c r="C27" s="71" t="s">
        <v>188</v>
      </c>
      <c r="D27" s="96" t="s">
        <v>189</v>
      </c>
      <c r="E27" s="95" t="s">
        <v>190</v>
      </c>
    </row>
    <row r="28" spans="2:5" ht="96">
      <c r="B28" s="130"/>
      <c r="C28" s="71" t="s">
        <v>38</v>
      </c>
      <c r="D28" s="96" t="s">
        <v>191</v>
      </c>
      <c r="E28" s="95" t="s">
        <v>192</v>
      </c>
    </row>
    <row r="29" spans="2:5" ht="96">
      <c r="B29" s="69" t="s">
        <v>15</v>
      </c>
      <c r="C29" s="71" t="s">
        <v>137</v>
      </c>
      <c r="D29" s="96" t="s">
        <v>193</v>
      </c>
      <c r="E29" s="95" t="s">
        <v>194</v>
      </c>
    </row>
    <row r="30" spans="2:5" ht="120.75" thickBot="1">
      <c r="B30" s="70" t="s">
        <v>16</v>
      </c>
      <c r="C30" s="72" t="s">
        <v>40</v>
      </c>
      <c r="D30" s="97" t="s">
        <v>195</v>
      </c>
      <c r="E30" s="98" t="s">
        <v>196</v>
      </c>
    </row>
  </sheetData>
  <mergeCells count="19">
    <mergeCell ref="B15:E15"/>
    <mergeCell ref="B2:E2"/>
    <mergeCell ref="B3:E3"/>
    <mergeCell ref="B4:E4"/>
    <mergeCell ref="B5:E5"/>
    <mergeCell ref="B6:E6"/>
    <mergeCell ref="B7:E7"/>
    <mergeCell ref="B8:E8"/>
    <mergeCell ref="B9:E9"/>
    <mergeCell ref="B10:E10"/>
    <mergeCell ref="B11:E11"/>
    <mergeCell ref="B12:E13"/>
    <mergeCell ref="B26:B28"/>
    <mergeCell ref="B16:E16"/>
    <mergeCell ref="B17:E17"/>
    <mergeCell ref="B18:E18"/>
    <mergeCell ref="B19:E19"/>
    <mergeCell ref="C21:E21"/>
    <mergeCell ref="B24:B25"/>
  </mergeCells>
  <phoneticPr fontId="1"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opLeftCell="G1" zoomScale="80" zoomScaleNormal="80" workbookViewId="0">
      <pane ySplit="4" topLeftCell="A5" activePane="bottomLeft" state="frozen"/>
      <selection pane="bottomLeft" activeCell="G1" sqref="G1:G4"/>
    </sheetView>
  </sheetViews>
  <sheetFormatPr defaultColWidth="9" defaultRowHeight="15"/>
  <cols>
    <col min="1" max="1" width="22" style="2" customWidth="1"/>
    <col min="2" max="2" width="18" style="3" customWidth="1"/>
    <col min="3" max="3" width="28" style="3" customWidth="1"/>
    <col min="4" max="4" width="8" style="2" customWidth="1"/>
    <col min="5" max="5" width="55" style="2" customWidth="1"/>
    <col min="6" max="6" width="45" style="3" customWidth="1"/>
    <col min="7" max="9" width="45" style="2" customWidth="1"/>
    <col min="10" max="13" width="25.7109375" style="3" customWidth="1"/>
    <col min="14" max="15" width="28" style="2" customWidth="1"/>
    <col min="16" max="16384" width="9" style="2"/>
  </cols>
  <sheetData>
    <row r="1" spans="1:15" s="1" customFormat="1" ht="27.95" customHeight="1">
      <c r="A1" s="154" t="s">
        <v>0</v>
      </c>
      <c r="B1" s="154" t="s">
        <v>1</v>
      </c>
      <c r="C1" s="154" t="s">
        <v>2</v>
      </c>
      <c r="D1" s="154" t="s">
        <v>3</v>
      </c>
      <c r="E1" s="158" t="s">
        <v>4</v>
      </c>
      <c r="F1" s="158" t="s">
        <v>5</v>
      </c>
      <c r="G1" s="158" t="s">
        <v>6</v>
      </c>
      <c r="H1" s="158" t="s">
        <v>7</v>
      </c>
      <c r="I1" s="158" t="s">
        <v>8</v>
      </c>
      <c r="J1" s="155" t="s">
        <v>9</v>
      </c>
      <c r="K1" s="156"/>
      <c r="L1" s="156"/>
      <c r="M1" s="156"/>
      <c r="N1" s="154" t="s">
        <v>10</v>
      </c>
      <c r="O1" s="154" t="s">
        <v>11</v>
      </c>
    </row>
    <row r="2" spans="1:15" s="1" customFormat="1" ht="27.95" customHeight="1">
      <c r="A2" s="154"/>
      <c r="B2" s="154"/>
      <c r="C2" s="154"/>
      <c r="D2" s="154"/>
      <c r="E2" s="158"/>
      <c r="F2" s="158"/>
      <c r="G2" s="158"/>
      <c r="H2" s="158"/>
      <c r="I2" s="158"/>
      <c r="J2" s="154" t="s">
        <v>69</v>
      </c>
      <c r="K2" s="154"/>
      <c r="L2" s="154"/>
      <c r="M2" s="154"/>
      <c r="N2" s="154"/>
      <c r="O2" s="154"/>
    </row>
    <row r="3" spans="1:15" s="1" customFormat="1" ht="75.75" customHeight="1">
      <c r="A3" s="154"/>
      <c r="B3" s="154"/>
      <c r="C3" s="154"/>
      <c r="D3" s="154"/>
      <c r="E3" s="158"/>
      <c r="F3" s="158"/>
      <c r="G3" s="158"/>
      <c r="H3" s="158"/>
      <c r="I3" s="158"/>
      <c r="J3" s="13" t="s">
        <v>141</v>
      </c>
      <c r="K3" s="13" t="s">
        <v>142</v>
      </c>
      <c r="L3" s="13" t="s">
        <v>143</v>
      </c>
      <c r="M3" s="13" t="s">
        <v>144</v>
      </c>
      <c r="N3" s="154"/>
      <c r="O3" s="154"/>
    </row>
    <row r="4" spans="1:15" s="1" customFormat="1" ht="27.95" customHeight="1">
      <c r="A4" s="154"/>
      <c r="B4" s="154"/>
      <c r="C4" s="154"/>
      <c r="D4" s="154"/>
      <c r="E4" s="158"/>
      <c r="F4" s="158"/>
      <c r="G4" s="158"/>
      <c r="H4" s="158"/>
      <c r="I4" s="158"/>
      <c r="J4" s="14">
        <v>0.4</v>
      </c>
      <c r="K4" s="14">
        <v>0.3</v>
      </c>
      <c r="L4" s="14">
        <v>0.15</v>
      </c>
      <c r="M4" s="14">
        <v>0.15</v>
      </c>
      <c r="N4" s="154"/>
      <c r="O4" s="154"/>
    </row>
    <row r="5" spans="1:15" ht="157.5" customHeight="1">
      <c r="A5" s="157" t="s">
        <v>70</v>
      </c>
      <c r="B5" s="15" t="s">
        <v>12</v>
      </c>
      <c r="C5" s="100" t="s">
        <v>33</v>
      </c>
      <c r="D5" s="101">
        <v>0.1</v>
      </c>
      <c r="E5" s="102" t="s">
        <v>145</v>
      </c>
      <c r="F5" s="103" t="s">
        <v>41</v>
      </c>
      <c r="G5" s="104" t="s">
        <v>55</v>
      </c>
      <c r="H5" s="104" t="s">
        <v>57</v>
      </c>
      <c r="I5" s="104" t="s">
        <v>59</v>
      </c>
      <c r="J5" s="100" t="s">
        <v>23</v>
      </c>
      <c r="K5" s="100" t="s">
        <v>23</v>
      </c>
      <c r="L5" s="100" t="s">
        <v>23</v>
      </c>
      <c r="M5" s="100" t="s">
        <v>23</v>
      </c>
      <c r="N5" s="16"/>
      <c r="O5" s="16"/>
    </row>
    <row r="6" spans="1:15" ht="157.5" customHeight="1">
      <c r="A6" s="157"/>
      <c r="B6" s="151" t="s">
        <v>13</v>
      </c>
      <c r="C6" s="100" t="s">
        <v>34</v>
      </c>
      <c r="D6" s="101">
        <v>0.1</v>
      </c>
      <c r="E6" s="102" t="s">
        <v>146</v>
      </c>
      <c r="F6" s="103" t="s">
        <v>73</v>
      </c>
      <c r="G6" s="105" t="s">
        <v>42</v>
      </c>
      <c r="H6" s="105" t="s">
        <v>43</v>
      </c>
      <c r="I6" s="105" t="s">
        <v>44</v>
      </c>
      <c r="J6" s="100" t="s">
        <v>23</v>
      </c>
      <c r="K6" s="100" t="s">
        <v>23</v>
      </c>
      <c r="L6" s="100" t="s">
        <v>23</v>
      </c>
      <c r="M6" s="100" t="s">
        <v>23</v>
      </c>
      <c r="N6" s="16"/>
      <c r="O6" s="16"/>
    </row>
    <row r="7" spans="1:15" s="89" customFormat="1" ht="120" customHeight="1">
      <c r="A7" s="157"/>
      <c r="B7" s="153"/>
      <c r="C7" s="100" t="s">
        <v>158</v>
      </c>
      <c r="D7" s="101">
        <v>0.1</v>
      </c>
      <c r="E7" s="106" t="s">
        <v>160</v>
      </c>
      <c r="F7" s="106" t="s">
        <v>159</v>
      </c>
      <c r="G7" s="106" t="s">
        <v>45</v>
      </c>
      <c r="H7" s="106" t="s">
        <v>46</v>
      </c>
      <c r="I7" s="106" t="s">
        <v>47</v>
      </c>
      <c r="J7" s="100" t="s">
        <v>23</v>
      </c>
      <c r="K7" s="100" t="s">
        <v>23</v>
      </c>
      <c r="L7" s="100" t="s">
        <v>23</v>
      </c>
      <c r="M7" s="100" t="s">
        <v>23</v>
      </c>
      <c r="N7" s="88"/>
      <c r="O7" s="88"/>
    </row>
    <row r="8" spans="1:15" ht="165.75">
      <c r="A8" s="157"/>
      <c r="B8" s="151" t="s">
        <v>14</v>
      </c>
      <c r="C8" s="100" t="s">
        <v>155</v>
      </c>
      <c r="D8" s="101">
        <v>0.1</v>
      </c>
      <c r="E8" s="102" t="s">
        <v>206</v>
      </c>
      <c r="F8" s="103" t="s">
        <v>207</v>
      </c>
      <c r="G8" s="105" t="s">
        <v>45</v>
      </c>
      <c r="H8" s="105" t="s">
        <v>46</v>
      </c>
      <c r="I8" s="105" t="s">
        <v>47</v>
      </c>
      <c r="J8" s="100" t="s">
        <v>23</v>
      </c>
      <c r="K8" s="100" t="s">
        <v>23</v>
      </c>
      <c r="L8" s="100" t="s">
        <v>23</v>
      </c>
      <c r="M8" s="100" t="s">
        <v>23</v>
      </c>
      <c r="N8" s="16"/>
      <c r="O8" s="16"/>
    </row>
    <row r="9" spans="1:15" ht="120" customHeight="1">
      <c r="A9" s="157"/>
      <c r="B9" s="152"/>
      <c r="C9" s="100" t="s">
        <v>157</v>
      </c>
      <c r="D9" s="101">
        <v>0.1</v>
      </c>
      <c r="E9" s="102" t="s">
        <v>208</v>
      </c>
      <c r="F9" s="103" t="s">
        <v>209</v>
      </c>
      <c r="G9" s="105" t="s">
        <v>147</v>
      </c>
      <c r="H9" s="105" t="s">
        <v>148</v>
      </c>
      <c r="I9" s="105" t="s">
        <v>149</v>
      </c>
      <c r="J9" s="100" t="s">
        <v>23</v>
      </c>
      <c r="K9" s="100" t="s">
        <v>23</v>
      </c>
      <c r="L9" s="100" t="s">
        <v>23</v>
      </c>
      <c r="M9" s="100" t="s">
        <v>23</v>
      </c>
      <c r="N9" s="16"/>
      <c r="O9" s="16"/>
    </row>
    <row r="10" spans="1:15" ht="120" customHeight="1">
      <c r="A10" s="157"/>
      <c r="B10" s="152"/>
      <c r="C10" s="100" t="s">
        <v>156</v>
      </c>
      <c r="D10" s="101">
        <v>0.1</v>
      </c>
      <c r="E10" s="102" t="s">
        <v>165</v>
      </c>
      <c r="F10" s="107" t="s">
        <v>164</v>
      </c>
      <c r="G10" s="105" t="s">
        <v>71</v>
      </c>
      <c r="H10" s="105" t="s">
        <v>72</v>
      </c>
      <c r="I10" s="105" t="s">
        <v>48</v>
      </c>
      <c r="J10" s="100" t="s">
        <v>23</v>
      </c>
      <c r="K10" s="100" t="s">
        <v>23</v>
      </c>
      <c r="L10" s="100" t="s">
        <v>23</v>
      </c>
      <c r="M10" s="100" t="s">
        <v>23</v>
      </c>
      <c r="N10" s="16"/>
      <c r="O10" s="16"/>
    </row>
    <row r="11" spans="1:15" ht="120" customHeight="1">
      <c r="A11" s="157"/>
      <c r="B11" s="153"/>
      <c r="C11" s="100" t="s">
        <v>38</v>
      </c>
      <c r="D11" s="101">
        <v>0.1</v>
      </c>
      <c r="E11" s="102" t="s">
        <v>150</v>
      </c>
      <c r="F11" s="103" t="s">
        <v>151</v>
      </c>
      <c r="G11" s="105" t="s">
        <v>49</v>
      </c>
      <c r="H11" s="105" t="s">
        <v>50</v>
      </c>
      <c r="I11" s="105" t="s">
        <v>51</v>
      </c>
      <c r="J11" s="100" t="s">
        <v>23</v>
      </c>
      <c r="K11" s="100" t="s">
        <v>23</v>
      </c>
      <c r="L11" s="100" t="s">
        <v>23</v>
      </c>
      <c r="M11" s="100" t="s">
        <v>23</v>
      </c>
      <c r="N11" s="16"/>
      <c r="O11" s="16"/>
    </row>
    <row r="12" spans="1:15" ht="120" customHeight="1">
      <c r="A12" s="157"/>
      <c r="B12" s="15" t="s">
        <v>15</v>
      </c>
      <c r="C12" s="15" t="s">
        <v>39</v>
      </c>
      <c r="D12" s="20">
        <v>0.15</v>
      </c>
      <c r="E12" s="16" t="s">
        <v>152</v>
      </c>
      <c r="F12" s="85" t="s">
        <v>153</v>
      </c>
      <c r="G12" s="86" t="s">
        <v>52</v>
      </c>
      <c r="H12" s="86" t="s">
        <v>53</v>
      </c>
      <c r="I12" s="86" t="s">
        <v>54</v>
      </c>
      <c r="J12" s="15" t="s">
        <v>23</v>
      </c>
      <c r="K12" s="15" t="s">
        <v>23</v>
      </c>
      <c r="L12" s="15" t="s">
        <v>23</v>
      </c>
      <c r="M12" s="15" t="s">
        <v>23</v>
      </c>
      <c r="N12" s="16"/>
      <c r="O12" s="16"/>
    </row>
    <row r="13" spans="1:15" ht="120" customHeight="1">
      <c r="A13" s="157"/>
      <c r="B13" s="17" t="s">
        <v>16</v>
      </c>
      <c r="C13" s="17" t="s">
        <v>40</v>
      </c>
      <c r="D13" s="20">
        <v>0.15</v>
      </c>
      <c r="E13" s="18" t="s">
        <v>154</v>
      </c>
      <c r="F13" s="87" t="s">
        <v>74</v>
      </c>
      <c r="G13" s="86" t="s">
        <v>56</v>
      </c>
      <c r="H13" s="86" t="s">
        <v>58</v>
      </c>
      <c r="I13" s="86"/>
      <c r="J13" s="15" t="s">
        <v>23</v>
      </c>
      <c r="K13" s="15" t="s">
        <v>23</v>
      </c>
      <c r="L13" s="15" t="s">
        <v>23</v>
      </c>
      <c r="M13" s="15" t="s">
        <v>23</v>
      </c>
      <c r="N13" s="16"/>
      <c r="O13" s="16"/>
    </row>
  </sheetData>
  <mergeCells count="16">
    <mergeCell ref="B8:B11"/>
    <mergeCell ref="J2:M2"/>
    <mergeCell ref="J1:M1"/>
    <mergeCell ref="A5:A13"/>
    <mergeCell ref="O1:O4"/>
    <mergeCell ref="A1:A4"/>
    <mergeCell ref="C1:C4"/>
    <mergeCell ref="B1:B4"/>
    <mergeCell ref="G1:G4"/>
    <mergeCell ref="E1:E4"/>
    <mergeCell ref="I1:I4"/>
    <mergeCell ref="N1:N4"/>
    <mergeCell ref="D1:D4"/>
    <mergeCell ref="F1:F4"/>
    <mergeCell ref="H1:H4"/>
    <mergeCell ref="B6:B7"/>
  </mergeCells>
  <phoneticPr fontId="1" type="noConversion"/>
  <dataValidations count="2">
    <dataValidation type="list" allowBlank="1" showInputMessage="1" showErrorMessage="1" sqref="J5:M12" xr:uid="{6A3862C3-07F6-475D-8481-F86A68245A97}">
      <formula1>"A, B, C, D"</formula1>
    </dataValidation>
    <dataValidation type="list" allowBlank="1" showInputMessage="1" showErrorMessage="1" sqref="J13:M13" xr:uid="{D89AD6AB-9835-4ED6-BE0F-2A85241E5D51}">
      <formula1>"A, B, C"</formula1>
    </dataValidation>
  </dataValidations>
  <pageMargins left="0.75" right="0.75" top="1" bottom="1" header="0.5" footer="0.5"/>
  <headerFooter>
    <oddHeader>&amp;L&amp;"Aptos"&amp;11&amp;KFF0000 LGUplus-InternalUseOnly(사내한)/2026-07-23T08:59:06/kimchangjun@lguplus.co.kr&amp;1#_x000D_</oddHeader>
    <oddFooter>&amp;R_x000D_&amp;1#&amp;"Aptos"&amp;11&amp;KFF0000 LGUplus-InternalUseOnly(사내한)/2026-07-23T08:59:06/kimchangjun@lguplus.co.kr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5D3F3-EB37-409F-B316-1AE81052DBC4}">
  <dimension ref="A1:Z15"/>
  <sheetViews>
    <sheetView showGridLines="0" topLeftCell="C1" zoomScale="85" zoomScaleNormal="85" workbookViewId="0">
      <selection activeCell="C1" sqref="C1:C3"/>
    </sheetView>
  </sheetViews>
  <sheetFormatPr defaultColWidth="9" defaultRowHeight="15"/>
  <cols>
    <col min="1" max="1" width="12.140625" style="4" customWidth="1"/>
    <col min="2" max="2" width="9" style="4"/>
    <col min="3" max="3" width="16" style="4" customWidth="1"/>
    <col min="4" max="4" width="9" style="4"/>
    <col min="5" max="5" width="40.85546875" style="4" customWidth="1"/>
    <col min="6" max="25" width="9" style="4"/>
    <col min="26" max="26" width="13.28515625" style="4" customWidth="1"/>
    <col min="27" max="16384" width="9" style="4"/>
  </cols>
  <sheetData>
    <row r="1" spans="1:26" ht="16.5">
      <c r="A1" s="179" t="s">
        <v>60</v>
      </c>
      <c r="B1" s="179" t="s">
        <v>61</v>
      </c>
      <c r="C1" s="179" t="s">
        <v>62</v>
      </c>
      <c r="D1" s="179" t="s">
        <v>63</v>
      </c>
      <c r="E1" s="179" t="s">
        <v>64</v>
      </c>
      <c r="F1" s="189" t="s">
        <v>140</v>
      </c>
      <c r="G1" s="190"/>
      <c r="H1" s="190"/>
      <c r="I1" s="190"/>
      <c r="J1" s="190"/>
      <c r="K1" s="190"/>
      <c r="L1" s="190"/>
      <c r="M1" s="190"/>
      <c r="N1" s="190"/>
      <c r="O1" s="190"/>
      <c r="P1" s="190"/>
      <c r="Q1" s="190"/>
      <c r="R1" s="190"/>
      <c r="S1" s="190"/>
      <c r="T1" s="190"/>
      <c r="U1" s="190"/>
      <c r="V1" s="190"/>
      <c r="W1" s="190"/>
      <c r="X1" s="190"/>
      <c r="Y1" s="190"/>
      <c r="Z1" s="191"/>
    </row>
    <row r="2" spans="1:26" ht="16.5" customHeight="1">
      <c r="A2" s="179"/>
      <c r="B2" s="179"/>
      <c r="C2" s="179"/>
      <c r="D2" s="179"/>
      <c r="E2" s="179"/>
      <c r="F2" s="193" t="s">
        <v>17</v>
      </c>
      <c r="G2" s="194"/>
      <c r="H2" s="194"/>
      <c r="I2" s="195"/>
      <c r="J2" s="159" t="str">
        <f>Questionnaire!J3</f>
        <v>Device &amp; Hardware Failure</v>
      </c>
      <c r="K2" s="160"/>
      <c r="L2" s="161"/>
      <c r="M2" s="64">
        <f>Questionnaire!J4</f>
        <v>0.4</v>
      </c>
      <c r="N2" s="162" t="str">
        <f>Questionnaire!K3</f>
        <v>Optical Access Degradation</v>
      </c>
      <c r="O2" s="163"/>
      <c r="P2" s="164"/>
      <c r="Q2" s="78">
        <f>Questionnaire!K4</f>
        <v>0.3</v>
      </c>
      <c r="R2" s="165" t="str">
        <f>Questionnaire!L3</f>
        <v>Connectivity Failure</v>
      </c>
      <c r="S2" s="166"/>
      <c r="T2" s="167"/>
      <c r="U2" s="80">
        <f>Questionnaire!L4</f>
        <v>0.15</v>
      </c>
      <c r="V2" s="168" t="str">
        <f>Questionnaire!M3</f>
        <v>Service State Abnormal</v>
      </c>
      <c r="W2" s="169"/>
      <c r="X2" s="170"/>
      <c r="Y2" s="65">
        <f>Questionnaire!M4</f>
        <v>0.15</v>
      </c>
      <c r="Z2" s="192" t="s">
        <v>18</v>
      </c>
    </row>
    <row r="3" spans="1:26" ht="38.25">
      <c r="A3" s="179"/>
      <c r="B3" s="179"/>
      <c r="C3" s="179"/>
      <c r="D3" s="179"/>
      <c r="E3" s="179"/>
      <c r="F3" s="76" t="s">
        <v>65</v>
      </c>
      <c r="G3" s="76" t="s">
        <v>66</v>
      </c>
      <c r="H3" s="76" t="s">
        <v>67</v>
      </c>
      <c r="I3" s="76" t="s">
        <v>68</v>
      </c>
      <c r="J3" s="171" t="s">
        <v>19</v>
      </c>
      <c r="K3" s="172"/>
      <c r="L3" s="5" t="s">
        <v>20</v>
      </c>
      <c r="M3" s="5" t="s">
        <v>21</v>
      </c>
      <c r="N3" s="173" t="s">
        <v>19</v>
      </c>
      <c r="O3" s="174"/>
      <c r="P3" s="63" t="s">
        <v>20</v>
      </c>
      <c r="Q3" s="63" t="s">
        <v>21</v>
      </c>
      <c r="R3" s="175" t="s">
        <v>19</v>
      </c>
      <c r="S3" s="176"/>
      <c r="T3" s="81" t="s">
        <v>20</v>
      </c>
      <c r="U3" s="81" t="s">
        <v>21</v>
      </c>
      <c r="V3" s="177" t="s">
        <v>19</v>
      </c>
      <c r="W3" s="178"/>
      <c r="X3" s="83" t="s">
        <v>20</v>
      </c>
      <c r="Y3" s="83" t="s">
        <v>21</v>
      </c>
      <c r="Z3" s="192"/>
    </row>
    <row r="4" spans="1:26" ht="55.5" customHeight="1">
      <c r="A4" s="182" t="s">
        <v>70</v>
      </c>
      <c r="B4" s="7" t="s">
        <v>12</v>
      </c>
      <c r="C4" s="19" t="s">
        <v>139</v>
      </c>
      <c r="D4" s="20">
        <v>0.1</v>
      </c>
      <c r="E4" s="8" t="s">
        <v>22</v>
      </c>
      <c r="F4" s="9">
        <v>4</v>
      </c>
      <c r="G4" s="9">
        <v>3</v>
      </c>
      <c r="H4" s="9">
        <v>2</v>
      </c>
      <c r="I4" s="9">
        <v>1</v>
      </c>
      <c r="J4" s="77" t="str">
        <f>Questionnaire!J5</f>
        <v>A</v>
      </c>
      <c r="K4" s="77">
        <f>IF(J4="A",$F4,IF(J4="B",$G4, IF(J4="C",$H4, IF(J4="D",$I4))))</f>
        <v>4</v>
      </c>
      <c r="L4" s="77">
        <f>K4</f>
        <v>4</v>
      </c>
      <c r="M4" s="183">
        <f>SUMPRODUCT(L4:L12,$D$4:$D$12)</f>
        <v>4</v>
      </c>
      <c r="N4" s="79" t="str">
        <f>Questionnaire!K5</f>
        <v>A</v>
      </c>
      <c r="O4" s="79">
        <f>IF(N4="A",$F4,IF(N4="B",$G4, IF(N4="C",$H4, IF(N4="D",$I4))))</f>
        <v>4</v>
      </c>
      <c r="P4" s="79">
        <f>O4</f>
        <v>4</v>
      </c>
      <c r="Q4" s="184">
        <f>SUMPRODUCT(P4:P12,$D$4:$D$12)</f>
        <v>4</v>
      </c>
      <c r="R4" s="82" t="str">
        <f>Questionnaire!L5</f>
        <v>A</v>
      </c>
      <c r="S4" s="82">
        <f>IF(R4="A",$F4,IF(R4="B",$G4, IF(R4="C",$H4, IF(R4="D",$I4))))</f>
        <v>4</v>
      </c>
      <c r="T4" s="82">
        <f>S4</f>
        <v>4</v>
      </c>
      <c r="U4" s="185">
        <f>SUMPRODUCT(T4:T12,$D$4:$D$12)</f>
        <v>4</v>
      </c>
      <c r="V4" s="84" t="str">
        <f>Questionnaire!M5</f>
        <v>A</v>
      </c>
      <c r="W4" s="84">
        <f>IF(V4="A",$F4,IF(V4="B",$G4, IF(V4="C",$H4, IF(V4="D",$I4))))</f>
        <v>4</v>
      </c>
      <c r="X4" s="84">
        <f>W4</f>
        <v>4</v>
      </c>
      <c r="Y4" s="186">
        <f>SUMPRODUCT(X4:X12,$D$4:$D$12)</f>
        <v>4</v>
      </c>
      <c r="Z4" s="181">
        <f>(M2*M4+Q2*Q4+U2*U4+Y2*Y4)/(M2+Q2+U2+Y2)</f>
        <v>4</v>
      </c>
    </row>
    <row r="5" spans="1:26" ht="55.5" customHeight="1">
      <c r="A5" s="182"/>
      <c r="B5" s="187" t="s">
        <v>13</v>
      </c>
      <c r="C5" s="19" t="s">
        <v>162</v>
      </c>
      <c r="D5" s="20">
        <v>0.1</v>
      </c>
      <c r="E5" s="8" t="s">
        <v>24</v>
      </c>
      <c r="F5" s="9">
        <v>3</v>
      </c>
      <c r="G5" s="9">
        <v>2</v>
      </c>
      <c r="H5" s="9">
        <v>1</v>
      </c>
      <c r="I5" s="9">
        <v>0</v>
      </c>
      <c r="J5" s="77" t="str">
        <f>Questionnaire!J6</f>
        <v>A</v>
      </c>
      <c r="K5" s="77">
        <f t="shared" ref="K5:K12" si="0">IF(J5="A",$F5,IF(J5="B",$G5, IF(J5="C",$H5, IF(J5="D",$I5))))</f>
        <v>3</v>
      </c>
      <c r="L5" s="77">
        <f>IF(AND(K5=3,AVERAGE(K$4,K$6,K$7,K$8,K$9,K$10,K$11)&gt;3),AVERAGE(K$4,K$6,K$7,K$8,K$9,K$10,K$11),K5)</f>
        <v>4</v>
      </c>
      <c r="M5" s="183"/>
      <c r="N5" s="79" t="str">
        <f>Questionnaire!K6</f>
        <v>A</v>
      </c>
      <c r="O5" s="79">
        <f t="shared" ref="O5:O12" si="1">IF(N5="A",$F5,IF(N5="B",$G5, IF(N5="C",$H5, IF(N5="D",$I5))))</f>
        <v>3</v>
      </c>
      <c r="P5" s="79">
        <f>IF(AND(O5=3,AVERAGE(O$4,O$6,O$7,O$8,O$9,O$10,O$11)&gt;3),AVERAGE(O$4,O$6,O$7,O$8,O$9,O$10,O$11),O5)</f>
        <v>4</v>
      </c>
      <c r="Q5" s="184"/>
      <c r="R5" s="82" t="str">
        <f>Questionnaire!L6</f>
        <v>A</v>
      </c>
      <c r="S5" s="82">
        <f t="shared" ref="S5:S12" si="2">IF(R5="A",$F5,IF(R5="B",$G5, IF(R5="C",$H5, IF(R5="D",$I5))))</f>
        <v>3</v>
      </c>
      <c r="T5" s="82">
        <f>IF(AND(S5=3,AVERAGE(S$4,S$6,S$7,S$8,S$9,S$10,S$11)&gt;3),AVERAGE(S$4,S$6,S$7,S$8,S$9,S$10,S$11),S5)</f>
        <v>4</v>
      </c>
      <c r="U5" s="185"/>
      <c r="V5" s="84" t="str">
        <f>Questionnaire!M6</f>
        <v>A</v>
      </c>
      <c r="W5" s="84">
        <f t="shared" ref="W5:W12" si="3">IF(V5="A",$F5,IF(V5="B",$G5, IF(V5="C",$H5, IF(V5="D",$I5))))</f>
        <v>3</v>
      </c>
      <c r="X5" s="84">
        <f>IF(AND(W5=3,AVERAGE(W$4,W$6,W$7,W$8,W$9,W$10,W$11)&gt;3),AVERAGE(W$4,W$6,W$7,W$8,W$9,W$10,W$11),W5)</f>
        <v>4</v>
      </c>
      <c r="Y5" s="186"/>
      <c r="Z5" s="181"/>
    </row>
    <row r="6" spans="1:26" ht="55.5" customHeight="1">
      <c r="A6" s="182"/>
      <c r="B6" s="188"/>
      <c r="C6" s="19" t="s">
        <v>161</v>
      </c>
      <c r="D6" s="20">
        <v>0.1</v>
      </c>
      <c r="E6" s="8" t="s">
        <v>24</v>
      </c>
      <c r="F6" s="9">
        <v>4</v>
      </c>
      <c r="G6" s="9">
        <v>3</v>
      </c>
      <c r="H6" s="9">
        <v>2</v>
      </c>
      <c r="I6" s="9">
        <v>1</v>
      </c>
      <c r="J6" s="77" t="str">
        <f>Questionnaire!J7</f>
        <v>A</v>
      </c>
      <c r="K6" s="77">
        <f t="shared" si="0"/>
        <v>4</v>
      </c>
      <c r="L6" s="77">
        <f t="shared" ref="L6:L11" si="4">K6</f>
        <v>4</v>
      </c>
      <c r="M6" s="183"/>
      <c r="N6" s="79" t="str">
        <f>Questionnaire!K7</f>
        <v>A</v>
      </c>
      <c r="O6" s="79">
        <f t="shared" si="1"/>
        <v>4</v>
      </c>
      <c r="P6" s="79">
        <f t="shared" ref="P6:P11" si="5">O6</f>
        <v>4</v>
      </c>
      <c r="Q6" s="184"/>
      <c r="R6" s="82" t="str">
        <f>Questionnaire!L7</f>
        <v>A</v>
      </c>
      <c r="S6" s="82">
        <f t="shared" si="2"/>
        <v>4</v>
      </c>
      <c r="T6" s="82">
        <f t="shared" ref="T6:T11" si="6">S6</f>
        <v>4</v>
      </c>
      <c r="U6" s="185"/>
      <c r="V6" s="84" t="str">
        <f>Questionnaire!M7</f>
        <v>A</v>
      </c>
      <c r="W6" s="84">
        <f t="shared" si="3"/>
        <v>4</v>
      </c>
      <c r="X6" s="84">
        <f t="shared" ref="X6:X11" si="7">W6</f>
        <v>4</v>
      </c>
      <c r="Y6" s="186"/>
      <c r="Z6" s="181"/>
    </row>
    <row r="7" spans="1:26" ht="55.5" customHeight="1">
      <c r="A7" s="182"/>
      <c r="B7" s="180" t="s">
        <v>25</v>
      </c>
      <c r="C7" s="19" t="s">
        <v>35</v>
      </c>
      <c r="D7" s="20">
        <v>0.1</v>
      </c>
      <c r="E7" s="8" t="s">
        <v>26</v>
      </c>
      <c r="F7" s="9">
        <v>4</v>
      </c>
      <c r="G7" s="9">
        <v>3</v>
      </c>
      <c r="H7" s="9">
        <v>2</v>
      </c>
      <c r="I7" s="9">
        <v>1</v>
      </c>
      <c r="J7" s="77" t="str">
        <f>Questionnaire!J8</f>
        <v>A</v>
      </c>
      <c r="K7" s="77">
        <f t="shared" si="0"/>
        <v>4</v>
      </c>
      <c r="L7" s="77">
        <f t="shared" si="4"/>
        <v>4</v>
      </c>
      <c r="M7" s="183"/>
      <c r="N7" s="79" t="str">
        <f>Questionnaire!K8</f>
        <v>A</v>
      </c>
      <c r="O7" s="79">
        <f t="shared" si="1"/>
        <v>4</v>
      </c>
      <c r="P7" s="79">
        <f t="shared" si="5"/>
        <v>4</v>
      </c>
      <c r="Q7" s="184"/>
      <c r="R7" s="82" t="str">
        <f>Questionnaire!L8</f>
        <v>A</v>
      </c>
      <c r="S7" s="82">
        <f t="shared" si="2"/>
        <v>4</v>
      </c>
      <c r="T7" s="82">
        <f t="shared" si="6"/>
        <v>4</v>
      </c>
      <c r="U7" s="185"/>
      <c r="V7" s="84" t="str">
        <f>Questionnaire!M8</f>
        <v>A</v>
      </c>
      <c r="W7" s="84">
        <f t="shared" si="3"/>
        <v>4</v>
      </c>
      <c r="X7" s="84">
        <f t="shared" si="7"/>
        <v>4</v>
      </c>
      <c r="Y7" s="186"/>
      <c r="Z7" s="181"/>
    </row>
    <row r="8" spans="1:26" ht="55.5" customHeight="1">
      <c r="A8" s="182"/>
      <c r="B8" s="180"/>
      <c r="C8" s="19" t="s">
        <v>36</v>
      </c>
      <c r="D8" s="20">
        <v>0.1</v>
      </c>
      <c r="E8" s="6" t="s">
        <v>27</v>
      </c>
      <c r="F8" s="9">
        <v>4</v>
      </c>
      <c r="G8" s="9">
        <v>3</v>
      </c>
      <c r="H8" s="9">
        <v>2</v>
      </c>
      <c r="I8" s="9">
        <v>1</v>
      </c>
      <c r="J8" s="77" t="str">
        <f>Questionnaire!J9</f>
        <v>A</v>
      </c>
      <c r="K8" s="77">
        <f t="shared" si="0"/>
        <v>4</v>
      </c>
      <c r="L8" s="77">
        <f t="shared" si="4"/>
        <v>4</v>
      </c>
      <c r="M8" s="183"/>
      <c r="N8" s="79" t="str">
        <f>Questionnaire!K9</f>
        <v>A</v>
      </c>
      <c r="O8" s="79">
        <f t="shared" si="1"/>
        <v>4</v>
      </c>
      <c r="P8" s="79">
        <f t="shared" si="5"/>
        <v>4</v>
      </c>
      <c r="Q8" s="184"/>
      <c r="R8" s="82" t="str">
        <f>Questionnaire!L9</f>
        <v>A</v>
      </c>
      <c r="S8" s="82">
        <f t="shared" si="2"/>
        <v>4</v>
      </c>
      <c r="T8" s="82">
        <f t="shared" si="6"/>
        <v>4</v>
      </c>
      <c r="U8" s="185"/>
      <c r="V8" s="84" t="str">
        <f>Questionnaire!M9</f>
        <v>A</v>
      </c>
      <c r="W8" s="84">
        <f t="shared" si="3"/>
        <v>4</v>
      </c>
      <c r="X8" s="84">
        <f t="shared" si="7"/>
        <v>4</v>
      </c>
      <c r="Y8" s="186"/>
      <c r="Z8" s="181"/>
    </row>
    <row r="9" spans="1:26" ht="55.5" customHeight="1">
      <c r="A9" s="182"/>
      <c r="B9" s="180"/>
      <c r="C9" s="19" t="s">
        <v>37</v>
      </c>
      <c r="D9" s="20">
        <v>0.1</v>
      </c>
      <c r="E9" s="6" t="s">
        <v>28</v>
      </c>
      <c r="F9" s="9">
        <v>4</v>
      </c>
      <c r="G9" s="9">
        <v>3</v>
      </c>
      <c r="H9" s="9">
        <v>2</v>
      </c>
      <c r="I9" s="9">
        <v>1</v>
      </c>
      <c r="J9" s="77" t="str">
        <f>Questionnaire!J10</f>
        <v>A</v>
      </c>
      <c r="K9" s="77">
        <f t="shared" si="0"/>
        <v>4</v>
      </c>
      <c r="L9" s="77">
        <f t="shared" si="4"/>
        <v>4</v>
      </c>
      <c r="M9" s="183"/>
      <c r="N9" s="79" t="str">
        <f>Questionnaire!K10</f>
        <v>A</v>
      </c>
      <c r="O9" s="79">
        <f t="shared" si="1"/>
        <v>4</v>
      </c>
      <c r="P9" s="79">
        <f t="shared" si="5"/>
        <v>4</v>
      </c>
      <c r="Q9" s="184"/>
      <c r="R9" s="82" t="str">
        <f>Questionnaire!L10</f>
        <v>A</v>
      </c>
      <c r="S9" s="82">
        <f t="shared" si="2"/>
        <v>4</v>
      </c>
      <c r="T9" s="82">
        <f t="shared" si="6"/>
        <v>4</v>
      </c>
      <c r="U9" s="185"/>
      <c r="V9" s="84" t="str">
        <f>Questionnaire!M10</f>
        <v>A</v>
      </c>
      <c r="W9" s="84">
        <f t="shared" si="3"/>
        <v>4</v>
      </c>
      <c r="X9" s="84">
        <f t="shared" si="7"/>
        <v>4</v>
      </c>
      <c r="Y9" s="186"/>
      <c r="Z9" s="181"/>
    </row>
    <row r="10" spans="1:26" ht="55.5" customHeight="1">
      <c r="A10" s="182"/>
      <c r="B10" s="180"/>
      <c r="C10" s="19" t="s">
        <v>38</v>
      </c>
      <c r="D10" s="20">
        <v>0.1</v>
      </c>
      <c r="E10" s="6" t="s">
        <v>29</v>
      </c>
      <c r="F10" s="9">
        <v>4</v>
      </c>
      <c r="G10" s="9">
        <v>3</v>
      </c>
      <c r="H10" s="9">
        <v>2</v>
      </c>
      <c r="I10" s="9">
        <v>1</v>
      </c>
      <c r="J10" s="77" t="str">
        <f>Questionnaire!J11</f>
        <v>A</v>
      </c>
      <c r="K10" s="77">
        <f t="shared" si="0"/>
        <v>4</v>
      </c>
      <c r="L10" s="77">
        <f t="shared" si="4"/>
        <v>4</v>
      </c>
      <c r="M10" s="183"/>
      <c r="N10" s="79" t="str">
        <f>Questionnaire!K11</f>
        <v>A</v>
      </c>
      <c r="O10" s="79">
        <f t="shared" si="1"/>
        <v>4</v>
      </c>
      <c r="P10" s="79">
        <f t="shared" si="5"/>
        <v>4</v>
      </c>
      <c r="Q10" s="184"/>
      <c r="R10" s="82" t="str">
        <f>Questionnaire!L11</f>
        <v>A</v>
      </c>
      <c r="S10" s="82">
        <f t="shared" si="2"/>
        <v>4</v>
      </c>
      <c r="T10" s="82">
        <f t="shared" si="6"/>
        <v>4</v>
      </c>
      <c r="U10" s="185"/>
      <c r="V10" s="84" t="str">
        <f>Questionnaire!M11</f>
        <v>A</v>
      </c>
      <c r="W10" s="84">
        <f t="shared" si="3"/>
        <v>4</v>
      </c>
      <c r="X10" s="84">
        <f t="shared" si="7"/>
        <v>4</v>
      </c>
      <c r="Y10" s="186"/>
      <c r="Z10" s="181"/>
    </row>
    <row r="11" spans="1:26" ht="55.5" customHeight="1">
      <c r="A11" s="182"/>
      <c r="B11" s="10" t="s">
        <v>15</v>
      </c>
      <c r="C11" s="19" t="s">
        <v>39</v>
      </c>
      <c r="D11" s="20">
        <v>0.15</v>
      </c>
      <c r="E11" s="6" t="s">
        <v>30</v>
      </c>
      <c r="F11" s="9">
        <v>4</v>
      </c>
      <c r="G11" s="9">
        <v>3</v>
      </c>
      <c r="H11" s="9">
        <v>2</v>
      </c>
      <c r="I11" s="21">
        <v>1</v>
      </c>
      <c r="J11" s="77" t="str">
        <f>Questionnaire!J12</f>
        <v>A</v>
      </c>
      <c r="K11" s="77">
        <f t="shared" si="0"/>
        <v>4</v>
      </c>
      <c r="L11" s="77">
        <f t="shared" si="4"/>
        <v>4</v>
      </c>
      <c r="M11" s="183"/>
      <c r="N11" s="79" t="str">
        <f>Questionnaire!K12</f>
        <v>A</v>
      </c>
      <c r="O11" s="79">
        <f t="shared" si="1"/>
        <v>4</v>
      </c>
      <c r="P11" s="79">
        <f t="shared" si="5"/>
        <v>4</v>
      </c>
      <c r="Q11" s="184"/>
      <c r="R11" s="82" t="str">
        <f>Questionnaire!L12</f>
        <v>A</v>
      </c>
      <c r="S11" s="82">
        <f t="shared" si="2"/>
        <v>4</v>
      </c>
      <c r="T11" s="82">
        <f t="shared" si="6"/>
        <v>4</v>
      </c>
      <c r="U11" s="185"/>
      <c r="V11" s="84" t="str">
        <f>Questionnaire!M12</f>
        <v>A</v>
      </c>
      <c r="W11" s="84">
        <f t="shared" si="3"/>
        <v>4</v>
      </c>
      <c r="X11" s="84">
        <f t="shared" si="7"/>
        <v>4</v>
      </c>
      <c r="Y11" s="186"/>
      <c r="Z11" s="181"/>
    </row>
    <row r="12" spans="1:26" ht="55.5" customHeight="1">
      <c r="A12" s="182"/>
      <c r="B12" s="11" t="s">
        <v>16</v>
      </c>
      <c r="C12" s="19" t="s">
        <v>40</v>
      </c>
      <c r="D12" s="20">
        <v>0.15</v>
      </c>
      <c r="E12" s="6" t="s">
        <v>31</v>
      </c>
      <c r="F12" s="9">
        <v>2</v>
      </c>
      <c r="G12" s="9">
        <v>1</v>
      </c>
      <c r="H12" s="9">
        <v>0</v>
      </c>
      <c r="I12" s="21">
        <v>0</v>
      </c>
      <c r="J12" s="77" t="str">
        <f>Questionnaire!J13</f>
        <v>A</v>
      </c>
      <c r="K12" s="77">
        <f t="shared" si="0"/>
        <v>2</v>
      </c>
      <c r="L12" s="77">
        <f>IF(AND(K12=2,AVERAGE(K$4,K$6,K$7,K$8,K$9,K$10,K$11)&gt;2),AVERAGE(K$4,K$6,K$7,K$8,K$9,K$10,K$11),K12)</f>
        <v>4</v>
      </c>
      <c r="M12" s="183"/>
      <c r="N12" s="79" t="str">
        <f>Questionnaire!K13</f>
        <v>A</v>
      </c>
      <c r="O12" s="79">
        <f t="shared" si="1"/>
        <v>2</v>
      </c>
      <c r="P12" s="79">
        <f>IF(AND(O12=2,AVERAGE(O$4,O$6,O$7,O$8,O$9,O$10,O$11)&gt;2),AVERAGE(O$4,O$6,O$7,O$8,O$9,O$10,O$11),O12)</f>
        <v>4</v>
      </c>
      <c r="Q12" s="184"/>
      <c r="R12" s="82" t="str">
        <f>Questionnaire!L13</f>
        <v>A</v>
      </c>
      <c r="S12" s="82">
        <f t="shared" si="2"/>
        <v>2</v>
      </c>
      <c r="T12" s="82">
        <f>IF(AND(S12=2,AVERAGE(S$4,S$6,S$7,S$8,S$9,S$10,S$11)&gt;2),AVERAGE(S$4,S$6,S$7,S$8,S$9,S$10,S$11),S12)</f>
        <v>4</v>
      </c>
      <c r="U12" s="185"/>
      <c r="V12" s="84" t="str">
        <f>Questionnaire!M13</f>
        <v>A</v>
      </c>
      <c r="W12" s="84">
        <f t="shared" si="3"/>
        <v>2</v>
      </c>
      <c r="X12" s="84">
        <f>IF(AND(W12=2,AVERAGE(W$4,W$6,W$7,W$8,W$9,W$10,W$11)&gt;2),AVERAGE(W$4,W$6,W$7,W$8,W$9,W$10,W$11),W12)</f>
        <v>4</v>
      </c>
      <c r="Y12" s="186"/>
      <c r="Z12" s="181"/>
    </row>
    <row r="15" spans="1:26">
      <c r="B15" s="12" t="s">
        <v>32</v>
      </c>
    </row>
  </sheetData>
  <sheetProtection formatCells="0" insertHyperlinks="0" autoFilter="0"/>
  <mergeCells count="24">
    <mergeCell ref="A1:A3"/>
    <mergeCell ref="B1:B3"/>
    <mergeCell ref="B7:B10"/>
    <mergeCell ref="Z4:Z12"/>
    <mergeCell ref="A4:A12"/>
    <mergeCell ref="M4:M12"/>
    <mergeCell ref="Q4:Q12"/>
    <mergeCell ref="U4:U12"/>
    <mergeCell ref="Y4:Y12"/>
    <mergeCell ref="B5:B6"/>
    <mergeCell ref="C1:C3"/>
    <mergeCell ref="D1:D3"/>
    <mergeCell ref="E1:E3"/>
    <mergeCell ref="F1:Z1"/>
    <mergeCell ref="Z2:Z3"/>
    <mergeCell ref="F2:I2"/>
    <mergeCell ref="J2:L2"/>
    <mergeCell ref="N2:P2"/>
    <mergeCell ref="R2:T2"/>
    <mergeCell ref="V2:X2"/>
    <mergeCell ref="J3:K3"/>
    <mergeCell ref="N3:O3"/>
    <mergeCell ref="R3:S3"/>
    <mergeCell ref="V3:W3"/>
  </mergeCells>
  <phoneticPr fontId="1" type="noConversion"/>
  <pageMargins left="0.7" right="0.7" top="0.75" bottom="0.75" header="0.3" footer="0.3"/>
  <pageSetup paperSize="9" orientation="portrait" horizontalDpi="300" verticalDpi="300" r:id="rId1"/>
  <headerFooter>
    <oddHeader>&amp;L&amp;"Aptos"&amp;11&amp;KFF0000 LGUplus-InternalUseOnly(사내한)/2026-07-23T08:59:06/kimchangjun@lguplus.co.kr&amp;1#_x000D_</oddHeader>
    <oddFooter>&amp;R_x000D_&amp;1#&amp;"Aptos"&amp;11&amp;KFF0000 LGUplus-InternalUseOnly(사내한)/2026-07-23T08:59:06/kimchangjun@lguplus.co.kr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01EB-8C23-4224-ADE1-26F73150AAFF}">
  <dimension ref="A1:I17"/>
  <sheetViews>
    <sheetView zoomScaleNormal="100" workbookViewId="0">
      <selection sqref="A1:B2"/>
    </sheetView>
  </sheetViews>
  <sheetFormatPr defaultColWidth="8.7109375" defaultRowHeight="15"/>
  <cols>
    <col min="1" max="1" width="18" style="4" customWidth="1"/>
    <col min="2" max="2" width="24" style="4" customWidth="1"/>
    <col min="3" max="6" width="18" style="4" customWidth="1"/>
    <col min="7" max="16384" width="8.7109375" style="4"/>
  </cols>
  <sheetData>
    <row r="1" spans="1:9" ht="14.25" customHeight="1">
      <c r="A1" s="200" t="s">
        <v>112</v>
      </c>
      <c r="B1" s="201"/>
      <c r="C1" s="206" t="s">
        <v>113</v>
      </c>
      <c r="D1" s="207"/>
      <c r="E1" s="207"/>
      <c r="F1" s="208"/>
      <c r="G1" s="58"/>
      <c r="H1" s="58"/>
      <c r="I1" s="58"/>
    </row>
    <row r="2" spans="1:9" ht="38.25" customHeight="1">
      <c r="A2" s="202"/>
      <c r="B2" s="203"/>
      <c r="C2" s="62" t="str">
        <f>Questionnaire!J3</f>
        <v>Device &amp; Hardware Failure</v>
      </c>
      <c r="D2" s="62" t="str">
        <f>Questionnaire!K3</f>
        <v>Optical Access Degradation</v>
      </c>
      <c r="E2" s="62" t="str">
        <f>Questionnaire!L3</f>
        <v>Connectivity Failure</v>
      </c>
      <c r="F2" s="62" t="str">
        <f>Questionnaire!M3</f>
        <v>Service State Abnormal</v>
      </c>
      <c r="G2" s="58"/>
      <c r="H2" s="58"/>
      <c r="I2" s="58"/>
    </row>
    <row r="3" spans="1:9" ht="37.9" customHeight="1">
      <c r="A3" s="204" t="s">
        <v>114</v>
      </c>
      <c r="B3" s="204"/>
      <c r="C3" s="59">
        <f>Questionnaire!J4</f>
        <v>0.4</v>
      </c>
      <c r="D3" s="59">
        <f>Questionnaire!K4</f>
        <v>0.3</v>
      </c>
      <c r="E3" s="59">
        <f>Questionnaire!L4</f>
        <v>0.15</v>
      </c>
      <c r="F3" s="59">
        <f>Questionnaire!M4</f>
        <v>0.15</v>
      </c>
      <c r="G3" s="58"/>
      <c r="H3" s="58"/>
      <c r="I3" s="58"/>
    </row>
    <row r="4" spans="1:9" ht="63.75">
      <c r="A4" s="22" t="s">
        <v>123</v>
      </c>
      <c r="B4" s="60" t="str">
        <f>Questionnaire!C5</f>
        <v xml:space="preserve">Intent Translation &amp; Fulfillment
</v>
      </c>
      <c r="C4" s="23" t="str">
        <f>IF(Questionnaire!J5="A", "S","P")</f>
        <v>S</v>
      </c>
      <c r="D4" s="23" t="str">
        <f>IF(Questionnaire!K5="A", "S","P")</f>
        <v>S</v>
      </c>
      <c r="E4" s="23" t="str">
        <f>IF(Questionnaire!L5="A", "S","P")</f>
        <v>S</v>
      </c>
      <c r="F4" s="23" t="str">
        <f>IF(Questionnaire!M5="A", "S","P")</f>
        <v>S</v>
      </c>
      <c r="G4" s="58"/>
      <c r="H4" s="58"/>
      <c r="I4" s="58"/>
    </row>
    <row r="5" spans="1:9" ht="25.5">
      <c r="A5" s="198" t="s">
        <v>115</v>
      </c>
      <c r="B5" s="60" t="s">
        <v>163</v>
      </c>
      <c r="C5" s="23" t="str">
        <f>IF(Questionnaire!J6="A", "S","P")</f>
        <v>S</v>
      </c>
      <c r="D5" s="23" t="str">
        <f>IF(Questionnaire!K6="A", "S","P")</f>
        <v>S</v>
      </c>
      <c r="E5" s="23" t="str">
        <f>IF(Questionnaire!L6="A", "S","P")</f>
        <v>S</v>
      </c>
      <c r="F5" s="23" t="str">
        <f>IF(Questionnaire!M6="A", "S","P")</f>
        <v>S</v>
      </c>
      <c r="G5" s="58"/>
      <c r="H5" s="58"/>
      <c r="I5" s="58"/>
    </row>
    <row r="6" spans="1:9" ht="29.45" customHeight="1">
      <c r="A6" s="199"/>
      <c r="B6" s="60" t="str">
        <f>Questionnaire!C7</f>
        <v xml:space="preserve">Fault Prediction
</v>
      </c>
      <c r="C6" s="23" t="str">
        <f>IF(Questionnaire!J7="A", "S","P")</f>
        <v>S</v>
      </c>
      <c r="D6" s="23" t="str">
        <f>IF(Questionnaire!K7="A", "S","P")</f>
        <v>S</v>
      </c>
      <c r="E6" s="23" t="str">
        <f>IF(Questionnaire!L7="A", "S","P")</f>
        <v>S</v>
      </c>
      <c r="F6" s="23" t="str">
        <f>IF(Questionnaire!M7="A", "S","P")</f>
        <v>S</v>
      </c>
      <c r="G6" s="58"/>
      <c r="H6" s="58"/>
      <c r="I6" s="58"/>
    </row>
    <row r="7" spans="1:9" ht="25.5" customHeight="1">
      <c r="A7" s="198" t="s">
        <v>25</v>
      </c>
      <c r="B7" s="60" t="str">
        <f>Questionnaire!C8</f>
        <v>Fault Identification ,Risk identification, impact analysis</v>
      </c>
      <c r="C7" s="23" t="str">
        <f>IF(Questionnaire!J8="A", "S","P")</f>
        <v>S</v>
      </c>
      <c r="D7" s="23" t="str">
        <f>IF(Questionnaire!K8="A", "S","P")</f>
        <v>S</v>
      </c>
      <c r="E7" s="23" t="str">
        <f>IF(Questionnaire!L8="A", "S","P")</f>
        <v>S</v>
      </c>
      <c r="F7" s="23" t="str">
        <f>IF(Questionnaire!M8="A", "S","P")</f>
        <v>S</v>
      </c>
      <c r="G7" s="58"/>
      <c r="H7" s="58"/>
      <c r="I7" s="58"/>
    </row>
    <row r="8" spans="1:9" ht="25.5" customHeight="1">
      <c r="A8" s="205"/>
      <c r="B8" s="60" t="str">
        <f>Questionnaire!C9</f>
        <v>Fault Demarcation</v>
      </c>
      <c r="C8" s="23" t="str">
        <f>IF(Questionnaire!J9="A", "S","P")</f>
        <v>S</v>
      </c>
      <c r="D8" s="23" t="str">
        <f>IF(Questionnaire!K9="A", "S","P")</f>
        <v>S</v>
      </c>
      <c r="E8" s="23" t="str">
        <f>IF(Questionnaire!L9="A", "S","P")</f>
        <v>S</v>
      </c>
      <c r="F8" s="23" t="str">
        <f>IF(Questionnaire!M9="A", "S","P")</f>
        <v>S</v>
      </c>
      <c r="G8" s="58"/>
      <c r="H8" s="58"/>
      <c r="I8" s="58"/>
    </row>
    <row r="9" spans="1:9" ht="25.5">
      <c r="A9" s="205"/>
      <c r="B9" s="60" t="str">
        <f>Questionnaire!C10</f>
        <v>Fault Locating and Root Cause Analysis</v>
      </c>
      <c r="C9" s="23" t="str">
        <f>IF(Questionnaire!J10="A", "S","P")</f>
        <v>S</v>
      </c>
      <c r="D9" s="23" t="str">
        <f>IF(Questionnaire!K10="A", "S","P")</f>
        <v>S</v>
      </c>
      <c r="E9" s="23" t="str">
        <f>IF(Questionnaire!L10="A", "S","P")</f>
        <v>S</v>
      </c>
      <c r="F9" s="23" t="str">
        <f>IF(Questionnaire!M10="A", "S","P")</f>
        <v>S</v>
      </c>
      <c r="G9" s="58"/>
      <c r="H9" s="58"/>
      <c r="I9" s="58"/>
    </row>
    <row r="10" spans="1:9" ht="15.75" customHeight="1">
      <c r="A10" s="199"/>
      <c r="B10" s="60" t="str">
        <f>Questionnaire!C11</f>
        <v>Solution Generation</v>
      </c>
      <c r="C10" s="23" t="str">
        <f>IF(Questionnaire!J11="A", "S","P")</f>
        <v>S</v>
      </c>
      <c r="D10" s="23" t="str">
        <f>IF(Questionnaire!K11="A", "S","P")</f>
        <v>S</v>
      </c>
      <c r="E10" s="23" t="str">
        <f>IF(Questionnaire!L11="A", "S","P")</f>
        <v>S</v>
      </c>
      <c r="F10" s="23" t="str">
        <f>IF(Questionnaire!M11="A", "S","P")</f>
        <v>S</v>
      </c>
      <c r="G10" s="58"/>
      <c r="H10" s="58"/>
      <c r="I10" s="58"/>
    </row>
    <row r="11" spans="1:9" ht="42.95" customHeight="1">
      <c r="A11" s="24" t="s">
        <v>116</v>
      </c>
      <c r="B11" s="60" t="str">
        <f>Questionnaire!C12</f>
        <v xml:space="preserve">Solution Evaluation &amp; Decision Making
</v>
      </c>
      <c r="C11" s="23" t="str">
        <f>IF(Questionnaire!J12="A", "S","P")</f>
        <v>S</v>
      </c>
      <c r="D11" s="23" t="str">
        <f>IF(Questionnaire!K12="A", "S","P")</f>
        <v>S</v>
      </c>
      <c r="E11" s="23" t="str">
        <f>IF(Questionnaire!L12="A", "S","P")</f>
        <v>S</v>
      </c>
      <c r="F11" s="23" t="str">
        <f>IF(Questionnaire!M12="A", "S","P")</f>
        <v>S</v>
      </c>
      <c r="G11" s="58"/>
      <c r="H11" s="58"/>
      <c r="I11" s="58"/>
    </row>
    <row r="12" spans="1:9" ht="15.75">
      <c r="A12" s="24" t="s">
        <v>117</v>
      </c>
      <c r="B12" s="60" t="str">
        <f>Questionnaire!C13</f>
        <v>Solution Implementation</v>
      </c>
      <c r="C12" s="23" t="str">
        <f>IF(Questionnaire!J13="A", "S","P")</f>
        <v>S</v>
      </c>
      <c r="D12" s="23" t="str">
        <f>IF(Questionnaire!K13="A", "S","P")</f>
        <v>S</v>
      </c>
      <c r="E12" s="23" t="str">
        <f>IF(Questionnaire!L13="A", "S","P")</f>
        <v>S</v>
      </c>
      <c r="F12" s="23" t="str">
        <f>IF(Questionnaire!M13="A", "S","P")</f>
        <v>S</v>
      </c>
      <c r="G12" s="58"/>
      <c r="H12" s="58"/>
      <c r="I12" s="58"/>
    </row>
    <row r="13" spans="1:9" ht="15.75">
      <c r="A13" s="204" t="s">
        <v>118</v>
      </c>
      <c r="B13" s="204"/>
      <c r="C13" s="61" t="str">
        <f t="shared" ref="C13:F13" si="0">IF(COUNTIF(C6:C12, "")&gt;0, "N",IF(COUNTIF(C6:C12, "P")=0,"Y","N"))</f>
        <v>Y</v>
      </c>
      <c r="D13" s="61" t="str">
        <f t="shared" si="0"/>
        <v>Y</v>
      </c>
      <c r="E13" s="61" t="str">
        <f t="shared" si="0"/>
        <v>Y</v>
      </c>
      <c r="F13" s="61" t="str">
        <f t="shared" si="0"/>
        <v>Y</v>
      </c>
      <c r="G13" s="58"/>
      <c r="H13" s="58"/>
      <c r="I13" s="58"/>
    </row>
    <row r="14" spans="1:9" ht="24.6" customHeight="1">
      <c r="A14" s="196" t="s">
        <v>119</v>
      </c>
      <c r="B14" s="197"/>
      <c r="C14" s="197"/>
      <c r="D14" s="197"/>
      <c r="E14" s="197"/>
      <c r="F14" s="25">
        <f>SUMIFS(A3:F3, A13:F13, "Y")</f>
        <v>1</v>
      </c>
      <c r="G14" s="58"/>
      <c r="H14" s="58"/>
      <c r="I14" s="58"/>
    </row>
    <row r="15" spans="1:9">
      <c r="A15" s="58"/>
      <c r="B15" s="58"/>
      <c r="C15" s="58"/>
      <c r="D15" s="58"/>
      <c r="E15" s="58"/>
      <c r="F15" s="58"/>
      <c r="G15" s="58"/>
      <c r="H15" s="58"/>
      <c r="I15" s="58"/>
    </row>
    <row r="16" spans="1:9">
      <c r="A16" s="26" t="s">
        <v>120</v>
      </c>
      <c r="B16" s="26" t="s">
        <v>121</v>
      </c>
      <c r="C16" s="26" t="s">
        <v>122</v>
      </c>
      <c r="D16" s="58"/>
      <c r="E16" s="58"/>
      <c r="F16" s="58"/>
      <c r="G16" s="58"/>
      <c r="H16" s="58"/>
      <c r="I16" s="58"/>
    </row>
    <row r="17" spans="1:9">
      <c r="A17" s="58"/>
      <c r="B17" s="58"/>
      <c r="C17" s="58"/>
      <c r="D17" s="58"/>
      <c r="E17" s="58"/>
      <c r="F17" s="58"/>
      <c r="G17" s="58"/>
      <c r="H17" s="58"/>
      <c r="I17" s="58"/>
    </row>
  </sheetData>
  <mergeCells count="7">
    <mergeCell ref="A14:E14"/>
    <mergeCell ref="A5:A6"/>
    <mergeCell ref="A1:B2"/>
    <mergeCell ref="A3:B3"/>
    <mergeCell ref="A7:A10"/>
    <mergeCell ref="A13:B13"/>
    <mergeCell ref="C1:F1"/>
  </mergeCells>
  <phoneticPr fontId="1" type="noConversion"/>
  <pageMargins left="0.7" right="0.7" top="0.75" bottom="0.75" header="0.3" footer="0.3"/>
  <pageSetup paperSize="9" orientation="portrait" horizontalDpi="300" verticalDpi="300" r:id="rId1"/>
  <headerFooter>
    <oddHeader>&amp;L&amp;"Aptos"&amp;11&amp;KFF0000 LGUplus-InternalUseOnly(사내한)/2026-07-23T08:59:06/kimchangjun@lguplus.co.kr&amp;1#_x000D_</oddHeader>
    <oddFooter>&amp;R_x000D_&amp;1#&amp;"Aptos"&amp;11&amp;KFF0000 LGUplus-InternalUseOnly(사내한)/2026-07-23T08:59:06/kimchangjun@lguplus.co.kr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BC29-BD10-4468-BB66-6D692D03E54E}">
  <dimension ref="A1:D1016"/>
  <sheetViews>
    <sheetView zoomScaleNormal="100" workbookViewId="0"/>
  </sheetViews>
  <sheetFormatPr defaultColWidth="12.28515625" defaultRowHeight="15" customHeight="1"/>
  <cols>
    <col min="1" max="1" width="27.140625" style="31" customWidth="1"/>
    <col min="2" max="2" width="14.28515625" style="31" customWidth="1"/>
    <col min="3" max="3" width="21.5703125" style="31" customWidth="1"/>
    <col min="4" max="4" width="19.140625" style="31" customWidth="1"/>
    <col min="5" max="26" width="7.28515625" style="31" customWidth="1"/>
    <col min="27" max="16384" width="12.28515625" style="31"/>
  </cols>
  <sheetData>
    <row r="1" spans="1:4" s="110" customFormat="1" ht="15" customHeight="1"/>
    <row r="6" spans="1:4" ht="46.5" customHeight="1">
      <c r="A6" s="209" t="s">
        <v>89</v>
      </c>
      <c r="B6" s="210"/>
      <c r="C6" s="210"/>
      <c r="D6" s="210"/>
    </row>
    <row r="7" spans="1:4" ht="24.6" customHeight="1">
      <c r="A7" s="111" t="s">
        <v>90</v>
      </c>
      <c r="B7" s="112"/>
      <c r="C7" s="112"/>
      <c r="D7" s="112"/>
    </row>
    <row r="8" spans="1:4" ht="14.1" customHeight="1">
      <c r="A8" s="211" t="s">
        <v>91</v>
      </c>
      <c r="B8" s="212"/>
      <c r="C8" s="212"/>
      <c r="D8" s="212"/>
    </row>
    <row r="9" spans="1:4" s="44" customFormat="1" ht="33" customHeight="1">
      <c r="A9" s="113" t="s">
        <v>92</v>
      </c>
      <c r="B9" s="113" t="s">
        <v>93</v>
      </c>
      <c r="C9" s="113" t="s">
        <v>94</v>
      </c>
      <c r="D9" s="113" t="s">
        <v>218</v>
      </c>
    </row>
    <row r="10" spans="1:4" s="44" customFormat="1" ht="24" customHeight="1">
      <c r="A10" s="114" t="s">
        <v>223</v>
      </c>
      <c r="B10" s="115">
        <v>46233</v>
      </c>
      <c r="C10" s="114" t="s">
        <v>224</v>
      </c>
      <c r="D10" s="114" t="s">
        <v>225</v>
      </c>
    </row>
    <row r="11" spans="1:4" s="44" customFormat="1" ht="14.1" customHeight="1">
      <c r="A11" s="116"/>
      <c r="B11" s="117"/>
      <c r="C11" s="116"/>
      <c r="D11" s="116"/>
    </row>
    <row r="12" spans="1:4" s="44" customFormat="1" ht="14.1" customHeight="1">
      <c r="A12" s="116"/>
      <c r="B12" s="117"/>
      <c r="C12" s="116"/>
      <c r="D12" s="116"/>
    </row>
    <row r="13" spans="1:4" s="44" customFormat="1" ht="14.1" customHeight="1">
      <c r="A13" s="211" t="s">
        <v>95</v>
      </c>
      <c r="B13" s="213"/>
      <c r="C13" s="213"/>
      <c r="D13" s="213"/>
    </row>
    <row r="14" spans="1:4" s="44" customFormat="1" ht="33.950000000000003" customHeight="1">
      <c r="A14" s="118" t="s">
        <v>96</v>
      </c>
      <c r="B14" s="118" t="s">
        <v>93</v>
      </c>
      <c r="C14" s="118" t="s">
        <v>94</v>
      </c>
      <c r="D14" s="118" t="s">
        <v>218</v>
      </c>
    </row>
    <row r="15" spans="1:4" s="44" customFormat="1" ht="21" customHeight="1">
      <c r="A15" s="119" t="s">
        <v>219</v>
      </c>
      <c r="B15" s="115">
        <v>46233</v>
      </c>
      <c r="C15" s="114" t="s">
        <v>224</v>
      </c>
      <c r="D15" s="114" t="s">
        <v>225</v>
      </c>
    </row>
    <row r="16" spans="1:4" s="218" customFormat="1" ht="31.5" customHeight="1">
      <c r="A16" s="216" t="s">
        <v>219</v>
      </c>
      <c r="B16" s="217">
        <v>46272</v>
      </c>
      <c r="C16" s="215" t="s">
        <v>227</v>
      </c>
      <c r="D16" s="215" t="s">
        <v>228</v>
      </c>
    </row>
    <row r="17" spans="1:4" s="44" customFormat="1" ht="14.1" customHeight="1">
      <c r="A17" s="116"/>
      <c r="B17" s="116"/>
      <c r="C17" s="116"/>
      <c r="D17" s="116"/>
    </row>
    <row r="18" spans="1:4" s="44" customFormat="1" ht="12.75" customHeight="1">
      <c r="A18" s="116"/>
      <c r="B18" s="116"/>
      <c r="C18" s="116"/>
      <c r="D18" s="116"/>
    </row>
    <row r="19" spans="1:4" ht="22.5" customHeight="1">
      <c r="A19" s="111"/>
      <c r="B19" s="112"/>
      <c r="C19" s="112"/>
      <c r="D19" s="112"/>
    </row>
    <row r="20" spans="1:4" ht="12.75" customHeight="1">
      <c r="A20" s="112"/>
      <c r="B20" s="112"/>
      <c r="C20" s="112"/>
      <c r="D20" s="112"/>
    </row>
    <row r="21" spans="1:4" ht="20.100000000000001" customHeight="1">
      <c r="A21" s="49"/>
      <c r="B21" s="120"/>
      <c r="C21" s="120"/>
      <c r="D21" s="112"/>
    </row>
    <row r="22" spans="1:4" ht="12.75" customHeight="1">
      <c r="A22" s="121"/>
      <c r="B22" s="121"/>
      <c r="C22" s="121"/>
      <c r="D22" s="112"/>
    </row>
    <row r="23" spans="1:4" ht="12.75" customHeight="1">
      <c r="A23" s="122"/>
      <c r="B23" s="122"/>
      <c r="C23" s="122"/>
      <c r="D23" s="112"/>
    </row>
    <row r="24" spans="1:4" ht="12.75" customHeight="1">
      <c r="A24" s="122"/>
      <c r="B24" s="122"/>
      <c r="C24" s="122"/>
      <c r="D24" s="112"/>
    </row>
    <row r="25" spans="1:4" ht="12.75" customHeight="1">
      <c r="A25" s="122"/>
      <c r="B25" s="122"/>
      <c r="C25" s="122"/>
      <c r="D25" s="112"/>
    </row>
    <row r="26" spans="1:4" ht="12.75" customHeight="1">
      <c r="A26" s="122"/>
      <c r="B26" s="122"/>
      <c r="C26" s="122"/>
      <c r="D26" s="112"/>
    </row>
    <row r="27" spans="1:4" ht="12.75" customHeight="1">
      <c r="A27" s="122"/>
      <c r="B27" s="122"/>
      <c r="C27" s="122"/>
      <c r="D27" s="112"/>
    </row>
    <row r="28" spans="1:4" ht="12.75" customHeight="1">
      <c r="A28" s="122"/>
      <c r="B28" s="122"/>
      <c r="C28" s="122"/>
      <c r="D28" s="112"/>
    </row>
    <row r="29" spans="1:4" ht="12.75" customHeight="1">
      <c r="A29" s="122"/>
      <c r="B29" s="122"/>
      <c r="C29" s="122"/>
      <c r="D29" s="112"/>
    </row>
    <row r="30" spans="1:4" ht="12.75" customHeight="1">
      <c r="A30" s="122"/>
      <c r="B30" s="122"/>
      <c r="C30" s="122"/>
      <c r="D30" s="112"/>
    </row>
    <row r="31" spans="1:4" ht="12.75" customHeight="1">
      <c r="A31" s="122"/>
      <c r="B31" s="122"/>
      <c r="C31" s="122"/>
      <c r="D31" s="112"/>
    </row>
    <row r="32" spans="1:4" ht="12.75" customHeight="1">
      <c r="A32" s="122"/>
      <c r="B32" s="122"/>
      <c r="C32" s="122"/>
      <c r="D32" s="112"/>
    </row>
    <row r="33" spans="1:4" ht="12.75" customHeight="1">
      <c r="A33" s="122"/>
      <c r="B33" s="122"/>
      <c r="C33" s="122"/>
      <c r="D33" s="112"/>
    </row>
    <row r="34" spans="1:4" ht="12.75" customHeight="1">
      <c r="A34" s="122"/>
      <c r="B34" s="122"/>
      <c r="C34" s="122"/>
      <c r="D34" s="112"/>
    </row>
    <row r="35" spans="1:4" ht="12.75" customHeight="1">
      <c r="A35" s="122"/>
      <c r="B35" s="122"/>
      <c r="C35" s="122"/>
      <c r="D35" s="112"/>
    </row>
    <row r="36" spans="1:4" ht="12.75" customHeight="1">
      <c r="A36" s="122"/>
      <c r="B36" s="122"/>
      <c r="C36" s="122"/>
      <c r="D36" s="112"/>
    </row>
    <row r="37" spans="1:4" ht="12.75" customHeight="1">
      <c r="A37" s="112"/>
      <c r="B37" s="112"/>
      <c r="C37" s="112"/>
      <c r="D37" s="112"/>
    </row>
    <row r="38" spans="1:4" ht="12.75" customHeight="1">
      <c r="A38" s="112"/>
      <c r="B38" s="112"/>
      <c r="C38" s="112"/>
      <c r="D38" s="112"/>
    </row>
    <row r="39" spans="1:4" ht="12.75" customHeight="1">
      <c r="A39" s="37" t="s">
        <v>217</v>
      </c>
      <c r="B39" s="112"/>
      <c r="C39" s="112"/>
      <c r="D39" s="112"/>
    </row>
    <row r="40" spans="1:4" ht="12.75" customHeight="1">
      <c r="A40" s="112"/>
      <c r="B40" s="112"/>
      <c r="C40" s="112"/>
      <c r="D40" s="112"/>
    </row>
    <row r="41" spans="1:4" ht="12.75" customHeight="1">
      <c r="A41" s="112"/>
      <c r="B41" s="112"/>
      <c r="C41" s="112"/>
      <c r="D41" s="112"/>
    </row>
    <row r="42" spans="1:4" ht="12.75" customHeight="1">
      <c r="B42" s="112"/>
      <c r="C42" s="112"/>
      <c r="D42" s="112"/>
    </row>
    <row r="43" spans="1:4" ht="12.75" customHeight="1">
      <c r="A43" s="112"/>
      <c r="B43" s="112"/>
      <c r="C43" s="112"/>
      <c r="D43" s="112"/>
    </row>
    <row r="44" spans="1:4" ht="12.75" customHeight="1">
      <c r="A44" s="112"/>
      <c r="B44" s="112"/>
      <c r="C44" s="112"/>
      <c r="D44" s="112"/>
    </row>
    <row r="45" spans="1:4" ht="12.75" customHeight="1">
      <c r="A45" s="112"/>
      <c r="B45" s="112"/>
      <c r="C45" s="112"/>
      <c r="D45" s="112"/>
    </row>
    <row r="46" spans="1:4" ht="12.75" customHeight="1">
      <c r="A46" s="112"/>
      <c r="B46" s="112"/>
      <c r="C46" s="112"/>
      <c r="D46" s="112"/>
    </row>
    <row r="47" spans="1:4" ht="12.75" customHeight="1">
      <c r="A47" s="112"/>
      <c r="B47" s="112"/>
      <c r="C47" s="112"/>
      <c r="D47" s="112"/>
    </row>
    <row r="48" spans="1:4" ht="12.75" customHeight="1">
      <c r="A48" s="112"/>
      <c r="B48" s="112"/>
      <c r="C48" s="112"/>
      <c r="D48" s="112"/>
    </row>
    <row r="49" spans="1:4" ht="12.75" customHeight="1">
      <c r="A49" s="112"/>
      <c r="B49" s="112"/>
      <c r="C49" s="112"/>
      <c r="D49" s="112"/>
    </row>
    <row r="50" spans="1:4" ht="12.75" customHeight="1">
      <c r="A50" s="112"/>
      <c r="B50" s="112"/>
      <c r="C50" s="112"/>
      <c r="D50" s="112"/>
    </row>
    <row r="51" spans="1:4" ht="12.75" customHeight="1">
      <c r="A51" s="112"/>
      <c r="B51" s="112"/>
      <c r="C51" s="112"/>
      <c r="D51" s="112"/>
    </row>
    <row r="52" spans="1:4" ht="12.75" customHeight="1">
      <c r="A52" s="112"/>
      <c r="B52" s="112"/>
      <c r="C52" s="112"/>
      <c r="D52" s="112"/>
    </row>
    <row r="53" spans="1:4" ht="12.75" customHeight="1">
      <c r="A53" s="112"/>
      <c r="B53" s="112"/>
      <c r="C53" s="112"/>
      <c r="D53" s="112"/>
    </row>
    <row r="54" spans="1:4" ht="12.75" customHeight="1">
      <c r="A54" s="112"/>
      <c r="B54" s="112"/>
      <c r="C54" s="112"/>
      <c r="D54" s="112"/>
    </row>
    <row r="55" spans="1:4" ht="12.75" customHeight="1">
      <c r="A55" s="112"/>
      <c r="B55" s="112"/>
      <c r="C55" s="112"/>
      <c r="D55" s="112"/>
    </row>
    <row r="56" spans="1:4" ht="12.75" customHeight="1">
      <c r="A56" s="112"/>
      <c r="B56" s="112"/>
      <c r="C56" s="112"/>
      <c r="D56" s="112"/>
    </row>
    <row r="57" spans="1:4" ht="12.75" customHeight="1">
      <c r="A57" s="112"/>
      <c r="B57" s="112"/>
      <c r="C57" s="112"/>
      <c r="D57" s="112"/>
    </row>
    <row r="58" spans="1:4" ht="12.75" customHeight="1">
      <c r="A58" s="112"/>
      <c r="B58" s="112"/>
      <c r="C58" s="112"/>
      <c r="D58" s="112"/>
    </row>
    <row r="59" spans="1:4" ht="12.75" customHeight="1">
      <c r="A59" s="112"/>
      <c r="B59" s="112"/>
      <c r="C59" s="112"/>
      <c r="D59" s="112"/>
    </row>
    <row r="60" spans="1:4" ht="12.75" customHeight="1">
      <c r="A60" s="112"/>
      <c r="B60" s="112"/>
      <c r="C60" s="112"/>
      <c r="D60" s="112"/>
    </row>
    <row r="61" spans="1:4" ht="12.75" customHeight="1">
      <c r="A61" s="112"/>
      <c r="B61" s="112"/>
      <c r="C61" s="112"/>
      <c r="D61" s="112"/>
    </row>
    <row r="62" spans="1:4" ht="12.75" customHeight="1">
      <c r="A62" s="112"/>
      <c r="B62" s="112"/>
      <c r="C62" s="112"/>
      <c r="D62" s="112"/>
    </row>
    <row r="63" spans="1:4" ht="12.75" customHeight="1">
      <c r="A63" s="112"/>
      <c r="B63" s="112"/>
      <c r="C63" s="112"/>
      <c r="D63" s="112"/>
    </row>
    <row r="64" spans="1:4" ht="12.75" customHeight="1">
      <c r="A64" s="112"/>
      <c r="B64" s="112"/>
      <c r="C64" s="112"/>
      <c r="D64" s="112"/>
    </row>
    <row r="65" spans="1:4" ht="12.75" customHeight="1">
      <c r="A65" s="112"/>
      <c r="B65" s="112"/>
      <c r="C65" s="112"/>
      <c r="D65" s="112"/>
    </row>
    <row r="66" spans="1:4" ht="12.75" customHeight="1">
      <c r="A66" s="112"/>
      <c r="B66" s="112"/>
      <c r="C66" s="112"/>
      <c r="D66" s="112"/>
    </row>
    <row r="67" spans="1:4" ht="12.75" customHeight="1">
      <c r="A67" s="112"/>
      <c r="B67" s="112"/>
      <c r="C67" s="112"/>
      <c r="D67" s="112"/>
    </row>
    <row r="68" spans="1:4" ht="12.75" customHeight="1">
      <c r="A68" s="112"/>
      <c r="B68" s="112"/>
      <c r="C68" s="112"/>
      <c r="D68" s="112"/>
    </row>
    <row r="69" spans="1:4" ht="12.75" customHeight="1">
      <c r="A69" s="112"/>
      <c r="B69" s="112"/>
      <c r="C69" s="112"/>
      <c r="D69" s="112"/>
    </row>
    <row r="70" spans="1:4" ht="12.75" customHeight="1">
      <c r="A70" s="112"/>
      <c r="B70" s="112"/>
      <c r="C70" s="112"/>
      <c r="D70" s="112"/>
    </row>
    <row r="71" spans="1:4" ht="12.75" customHeight="1">
      <c r="A71" s="112"/>
      <c r="B71" s="112"/>
      <c r="C71" s="112"/>
      <c r="D71" s="112"/>
    </row>
    <row r="72" spans="1:4" ht="12.75" customHeight="1">
      <c r="A72" s="112"/>
      <c r="B72" s="112"/>
      <c r="C72" s="112"/>
      <c r="D72" s="112"/>
    </row>
    <row r="73" spans="1:4" ht="12.75" customHeight="1">
      <c r="A73" s="112"/>
      <c r="B73" s="112"/>
      <c r="C73" s="112"/>
      <c r="D73" s="112"/>
    </row>
    <row r="74" spans="1:4" ht="12.75" customHeight="1">
      <c r="A74" s="112"/>
      <c r="B74" s="112"/>
      <c r="C74" s="112"/>
      <c r="D74" s="112"/>
    </row>
    <row r="75" spans="1:4" ht="12.75" customHeight="1">
      <c r="A75" s="112"/>
      <c r="B75" s="112"/>
      <c r="C75" s="112"/>
      <c r="D75" s="112"/>
    </row>
    <row r="76" spans="1:4" ht="12.75" customHeight="1">
      <c r="A76" s="112"/>
      <c r="B76" s="112"/>
      <c r="C76" s="112"/>
      <c r="D76" s="112"/>
    </row>
    <row r="77" spans="1:4" ht="12.75" customHeight="1">
      <c r="A77" s="112"/>
      <c r="B77" s="112"/>
      <c r="C77" s="112"/>
      <c r="D77" s="112"/>
    </row>
    <row r="78" spans="1:4" ht="12.75" customHeight="1">
      <c r="A78" s="112"/>
      <c r="B78" s="112"/>
      <c r="C78" s="112"/>
      <c r="D78" s="112"/>
    </row>
    <row r="79" spans="1:4" ht="12.75" customHeight="1">
      <c r="A79" s="112"/>
      <c r="B79" s="112"/>
      <c r="C79" s="112"/>
      <c r="D79" s="112"/>
    </row>
    <row r="80" spans="1:4" ht="12.75" customHeight="1">
      <c r="A80" s="112"/>
      <c r="B80" s="112"/>
      <c r="C80" s="112"/>
      <c r="D80" s="112"/>
    </row>
    <row r="81" spans="1:4" ht="12.75" customHeight="1">
      <c r="A81" s="112"/>
      <c r="B81" s="112"/>
      <c r="C81" s="112"/>
      <c r="D81" s="112"/>
    </row>
    <row r="82" spans="1:4" ht="12.75" customHeight="1">
      <c r="A82" s="112"/>
      <c r="B82" s="112"/>
      <c r="C82" s="112"/>
      <c r="D82" s="112"/>
    </row>
    <row r="83" spans="1:4" ht="12.75" customHeight="1">
      <c r="A83" s="112"/>
      <c r="B83" s="112"/>
      <c r="C83" s="112"/>
      <c r="D83" s="112"/>
    </row>
    <row r="84" spans="1:4" ht="12.75" customHeight="1">
      <c r="A84" s="112"/>
      <c r="B84" s="112"/>
      <c r="C84" s="112"/>
      <c r="D84" s="112"/>
    </row>
    <row r="85" spans="1:4" ht="12.75" customHeight="1">
      <c r="A85" s="112"/>
      <c r="B85" s="112"/>
      <c r="C85" s="112"/>
      <c r="D85" s="112"/>
    </row>
    <row r="86" spans="1:4" ht="12.75" customHeight="1">
      <c r="A86" s="112"/>
      <c r="B86" s="112"/>
      <c r="C86" s="112"/>
      <c r="D86" s="112"/>
    </row>
    <row r="87" spans="1:4" ht="12.75" customHeight="1">
      <c r="A87" s="112"/>
      <c r="B87" s="112"/>
      <c r="C87" s="112"/>
      <c r="D87" s="112"/>
    </row>
    <row r="88" spans="1:4" ht="12.75" customHeight="1">
      <c r="A88" s="112"/>
      <c r="B88" s="112"/>
      <c r="C88" s="112"/>
      <c r="D88" s="112"/>
    </row>
    <row r="89" spans="1:4" ht="12.75" customHeight="1">
      <c r="A89" s="112"/>
      <c r="B89" s="112"/>
      <c r="C89" s="112"/>
      <c r="D89" s="112"/>
    </row>
    <row r="90" spans="1:4" ht="12.75" customHeight="1">
      <c r="A90" s="112"/>
      <c r="B90" s="112"/>
      <c r="C90" s="112"/>
      <c r="D90" s="112"/>
    </row>
    <row r="91" spans="1:4" ht="12.75" customHeight="1">
      <c r="A91" s="112"/>
      <c r="B91" s="112"/>
      <c r="C91" s="112"/>
      <c r="D91" s="112"/>
    </row>
    <row r="92" spans="1:4" ht="12.75" customHeight="1">
      <c r="A92" s="112"/>
      <c r="B92" s="112"/>
      <c r="C92" s="112"/>
      <c r="D92" s="112"/>
    </row>
    <row r="93" spans="1:4" ht="12.75" customHeight="1">
      <c r="A93" s="112"/>
      <c r="B93" s="112"/>
      <c r="C93" s="112"/>
      <c r="D93" s="112"/>
    </row>
    <row r="94" spans="1:4" ht="12.75" customHeight="1">
      <c r="A94" s="112"/>
      <c r="B94" s="112"/>
      <c r="C94" s="112"/>
      <c r="D94" s="112"/>
    </row>
    <row r="95" spans="1:4" ht="12.75" customHeight="1">
      <c r="A95" s="112"/>
      <c r="B95" s="112"/>
      <c r="C95" s="112"/>
      <c r="D95" s="112"/>
    </row>
    <row r="96" spans="1:4" ht="12.75" customHeight="1">
      <c r="A96" s="112"/>
      <c r="B96" s="112"/>
      <c r="C96" s="112"/>
      <c r="D96" s="112"/>
    </row>
    <row r="97" spans="1:4" ht="12.75" customHeight="1">
      <c r="A97" s="112"/>
      <c r="B97" s="112"/>
      <c r="C97" s="112"/>
      <c r="D97" s="112"/>
    </row>
    <row r="98" spans="1:4" ht="12.75" customHeight="1">
      <c r="A98" s="112"/>
      <c r="B98" s="112"/>
      <c r="C98" s="112"/>
      <c r="D98" s="112"/>
    </row>
    <row r="99" spans="1:4" ht="12.75" customHeight="1">
      <c r="A99" s="112"/>
      <c r="B99" s="112"/>
      <c r="C99" s="112"/>
      <c r="D99" s="112"/>
    </row>
    <row r="100" spans="1:4" ht="12.75" customHeight="1">
      <c r="A100" s="112"/>
      <c r="B100" s="112"/>
      <c r="C100" s="112"/>
      <c r="D100" s="112"/>
    </row>
    <row r="101" spans="1:4" ht="12.75" customHeight="1">
      <c r="A101" s="112"/>
      <c r="B101" s="112"/>
      <c r="C101" s="112"/>
      <c r="D101" s="112"/>
    </row>
    <row r="102" spans="1:4" ht="12.75" customHeight="1">
      <c r="A102" s="112"/>
      <c r="B102" s="112"/>
      <c r="C102" s="112"/>
      <c r="D102" s="112"/>
    </row>
    <row r="103" spans="1:4" ht="12.75" customHeight="1">
      <c r="A103" s="112"/>
      <c r="B103" s="112"/>
      <c r="C103" s="112"/>
      <c r="D103" s="112"/>
    </row>
    <row r="104" spans="1:4" ht="12.75" customHeight="1">
      <c r="A104" s="112"/>
      <c r="B104" s="112"/>
      <c r="C104" s="112"/>
      <c r="D104" s="112"/>
    </row>
    <row r="105" spans="1:4" ht="12.75" customHeight="1">
      <c r="A105" s="112"/>
      <c r="B105" s="112"/>
      <c r="C105" s="112"/>
      <c r="D105" s="112"/>
    </row>
    <row r="106" spans="1:4" ht="12.75" customHeight="1">
      <c r="A106" s="112"/>
      <c r="B106" s="112"/>
      <c r="C106" s="112"/>
      <c r="D106" s="112"/>
    </row>
    <row r="107" spans="1:4" ht="12.75" customHeight="1">
      <c r="A107" s="112"/>
      <c r="B107" s="112"/>
      <c r="C107" s="112"/>
      <c r="D107" s="112"/>
    </row>
    <row r="108" spans="1:4" ht="12.75" customHeight="1">
      <c r="A108" s="112"/>
      <c r="B108" s="112"/>
      <c r="C108" s="112"/>
      <c r="D108" s="112"/>
    </row>
    <row r="109" spans="1:4" ht="12.75" customHeight="1">
      <c r="A109" s="112"/>
      <c r="B109" s="112"/>
      <c r="C109" s="112"/>
      <c r="D109" s="112"/>
    </row>
    <row r="110" spans="1:4" ht="12.75" customHeight="1">
      <c r="A110" s="112"/>
      <c r="B110" s="112"/>
      <c r="C110" s="112"/>
      <c r="D110" s="112"/>
    </row>
    <row r="111" spans="1:4" ht="12.75" customHeight="1">
      <c r="A111" s="112"/>
      <c r="B111" s="112"/>
      <c r="C111" s="112"/>
      <c r="D111" s="112"/>
    </row>
    <row r="112" spans="1:4" ht="12.75" customHeight="1">
      <c r="A112" s="112"/>
      <c r="B112" s="112"/>
      <c r="C112" s="112"/>
      <c r="D112" s="112"/>
    </row>
    <row r="113" spans="1:4" ht="12.75" customHeight="1">
      <c r="A113" s="112"/>
      <c r="B113" s="112"/>
      <c r="C113" s="112"/>
      <c r="D113" s="112"/>
    </row>
    <row r="114" spans="1:4" ht="12.75" customHeight="1">
      <c r="A114" s="112"/>
      <c r="B114" s="112"/>
      <c r="C114" s="112"/>
      <c r="D114" s="112"/>
    </row>
    <row r="115" spans="1:4" ht="12.75" customHeight="1">
      <c r="A115" s="112"/>
      <c r="B115" s="112"/>
      <c r="C115" s="112"/>
      <c r="D115" s="112"/>
    </row>
    <row r="116" spans="1:4" ht="12.75" customHeight="1">
      <c r="A116" s="112"/>
      <c r="B116" s="112"/>
      <c r="C116" s="112"/>
      <c r="D116" s="112"/>
    </row>
    <row r="117" spans="1:4" ht="12.75" customHeight="1">
      <c r="A117" s="112"/>
      <c r="B117" s="112"/>
      <c r="C117" s="112"/>
      <c r="D117" s="112"/>
    </row>
    <row r="118" spans="1:4" ht="12.75" customHeight="1">
      <c r="A118" s="112"/>
      <c r="B118" s="112"/>
      <c r="C118" s="112"/>
      <c r="D118" s="112"/>
    </row>
    <row r="119" spans="1:4" ht="12.75" customHeight="1">
      <c r="A119" s="112"/>
      <c r="B119" s="112"/>
      <c r="C119" s="112"/>
      <c r="D119" s="112"/>
    </row>
    <row r="120" spans="1:4" ht="12.75" customHeight="1">
      <c r="A120" s="112"/>
      <c r="B120" s="112"/>
      <c r="C120" s="112"/>
      <c r="D120" s="112"/>
    </row>
    <row r="121" spans="1:4" ht="12.75" customHeight="1">
      <c r="A121" s="112"/>
      <c r="B121" s="112"/>
      <c r="C121" s="112"/>
      <c r="D121" s="112"/>
    </row>
    <row r="122" spans="1:4" ht="12.75" customHeight="1">
      <c r="A122" s="112"/>
      <c r="B122" s="112"/>
      <c r="C122" s="112"/>
      <c r="D122" s="112"/>
    </row>
    <row r="123" spans="1:4" ht="12.75" customHeight="1">
      <c r="A123" s="112"/>
      <c r="B123" s="112"/>
      <c r="C123" s="112"/>
      <c r="D123" s="112"/>
    </row>
    <row r="124" spans="1:4" ht="12.75" customHeight="1">
      <c r="A124" s="112"/>
      <c r="B124" s="112"/>
      <c r="C124" s="112"/>
      <c r="D124" s="112"/>
    </row>
    <row r="125" spans="1:4" ht="12.75" customHeight="1">
      <c r="A125" s="112"/>
      <c r="B125" s="112"/>
      <c r="C125" s="112"/>
      <c r="D125" s="112"/>
    </row>
    <row r="126" spans="1:4" ht="12.75" customHeight="1">
      <c r="A126" s="112"/>
      <c r="B126" s="112"/>
      <c r="C126" s="112"/>
      <c r="D126" s="112"/>
    </row>
    <row r="127" spans="1:4" ht="12.75" customHeight="1">
      <c r="A127" s="112"/>
      <c r="B127" s="112"/>
      <c r="C127" s="112"/>
      <c r="D127" s="112"/>
    </row>
    <row r="128" spans="1:4" ht="12.75" customHeight="1">
      <c r="A128" s="112"/>
      <c r="B128" s="112"/>
      <c r="C128" s="112"/>
      <c r="D128" s="112"/>
    </row>
    <row r="129" spans="1:4" ht="12.75" customHeight="1">
      <c r="A129" s="112"/>
      <c r="B129" s="112"/>
      <c r="C129" s="112"/>
      <c r="D129" s="112"/>
    </row>
    <row r="130" spans="1:4" ht="12.75" customHeight="1">
      <c r="A130" s="112"/>
      <c r="B130" s="112"/>
      <c r="C130" s="112"/>
      <c r="D130" s="112"/>
    </row>
    <row r="131" spans="1:4" ht="12.75" customHeight="1">
      <c r="A131" s="112"/>
      <c r="B131" s="112"/>
      <c r="C131" s="112"/>
      <c r="D131" s="112"/>
    </row>
    <row r="132" spans="1:4" ht="12.75" customHeight="1">
      <c r="A132" s="112"/>
      <c r="B132" s="112"/>
      <c r="C132" s="112"/>
      <c r="D132" s="112"/>
    </row>
    <row r="133" spans="1:4" ht="12.75" customHeight="1">
      <c r="A133" s="112"/>
      <c r="B133" s="112"/>
      <c r="C133" s="112"/>
      <c r="D133" s="112"/>
    </row>
    <row r="134" spans="1:4" ht="12.75" customHeight="1">
      <c r="A134" s="112"/>
      <c r="B134" s="112"/>
      <c r="C134" s="112"/>
      <c r="D134" s="112"/>
    </row>
    <row r="135" spans="1:4" ht="12.75" customHeight="1">
      <c r="A135" s="112"/>
      <c r="B135" s="112"/>
      <c r="C135" s="112"/>
      <c r="D135" s="112"/>
    </row>
    <row r="136" spans="1:4" ht="12.75" customHeight="1">
      <c r="A136" s="112"/>
      <c r="B136" s="112"/>
      <c r="C136" s="112"/>
      <c r="D136" s="112"/>
    </row>
    <row r="137" spans="1:4" ht="12.75" customHeight="1">
      <c r="A137" s="112"/>
      <c r="B137" s="112"/>
      <c r="C137" s="112"/>
      <c r="D137" s="112"/>
    </row>
    <row r="138" spans="1:4" ht="12.75" customHeight="1">
      <c r="A138" s="112"/>
      <c r="B138" s="112"/>
      <c r="C138" s="112"/>
      <c r="D138" s="112"/>
    </row>
    <row r="139" spans="1:4" ht="12.75" customHeight="1">
      <c r="A139" s="112"/>
      <c r="B139" s="112"/>
      <c r="C139" s="112"/>
      <c r="D139" s="112"/>
    </row>
    <row r="140" spans="1:4" ht="12.75" customHeight="1">
      <c r="A140" s="112"/>
      <c r="B140" s="112"/>
      <c r="C140" s="112"/>
      <c r="D140" s="112"/>
    </row>
    <row r="141" spans="1:4" ht="12.75" customHeight="1">
      <c r="A141" s="112"/>
      <c r="B141" s="112"/>
      <c r="C141" s="112"/>
      <c r="D141" s="112"/>
    </row>
    <row r="142" spans="1:4" ht="12.75" customHeight="1">
      <c r="A142" s="112"/>
      <c r="B142" s="112"/>
      <c r="C142" s="112"/>
      <c r="D142" s="112"/>
    </row>
    <row r="143" spans="1:4" ht="12.75" customHeight="1">
      <c r="A143" s="112"/>
      <c r="B143" s="112"/>
      <c r="C143" s="112"/>
      <c r="D143" s="112"/>
    </row>
    <row r="144" spans="1:4" ht="12.75" customHeight="1">
      <c r="A144" s="112"/>
      <c r="B144" s="112"/>
      <c r="C144" s="112"/>
      <c r="D144" s="112"/>
    </row>
    <row r="145" spans="1:4" ht="12.75" customHeight="1">
      <c r="A145" s="112"/>
      <c r="B145" s="112"/>
      <c r="C145" s="112"/>
      <c r="D145" s="112"/>
    </row>
    <row r="146" spans="1:4" ht="12.75" customHeight="1">
      <c r="A146" s="112"/>
      <c r="B146" s="112"/>
      <c r="C146" s="112"/>
      <c r="D146" s="112"/>
    </row>
    <row r="147" spans="1:4" ht="12.75" customHeight="1">
      <c r="A147" s="112"/>
      <c r="B147" s="112"/>
      <c r="C147" s="112"/>
      <c r="D147" s="112"/>
    </row>
    <row r="148" spans="1:4" ht="12.75" customHeight="1">
      <c r="A148" s="112"/>
      <c r="B148" s="112"/>
      <c r="C148" s="112"/>
      <c r="D148" s="112"/>
    </row>
    <row r="149" spans="1:4" ht="12.75" customHeight="1">
      <c r="A149" s="112"/>
      <c r="B149" s="112"/>
      <c r="C149" s="112"/>
      <c r="D149" s="112"/>
    </row>
    <row r="150" spans="1:4" ht="12.75" customHeight="1">
      <c r="A150" s="112"/>
      <c r="B150" s="112"/>
      <c r="C150" s="112"/>
      <c r="D150" s="112"/>
    </row>
    <row r="151" spans="1:4" ht="12.75" customHeight="1">
      <c r="A151" s="112"/>
      <c r="B151" s="112"/>
      <c r="C151" s="112"/>
      <c r="D151" s="112"/>
    </row>
    <row r="152" spans="1:4" ht="12.75" customHeight="1">
      <c r="A152" s="112"/>
      <c r="B152" s="112"/>
      <c r="C152" s="112"/>
      <c r="D152" s="112"/>
    </row>
    <row r="153" spans="1:4" ht="12.75" customHeight="1">
      <c r="A153" s="112"/>
      <c r="B153" s="112"/>
      <c r="C153" s="112"/>
      <c r="D153" s="112"/>
    </row>
    <row r="154" spans="1:4" ht="12.75" customHeight="1">
      <c r="A154" s="112"/>
      <c r="B154" s="112"/>
      <c r="C154" s="112"/>
      <c r="D154" s="112"/>
    </row>
    <row r="155" spans="1:4" ht="12.75" customHeight="1">
      <c r="A155" s="112"/>
      <c r="B155" s="112"/>
      <c r="C155" s="112"/>
      <c r="D155" s="112"/>
    </row>
    <row r="156" spans="1:4" ht="12.75" customHeight="1">
      <c r="A156" s="112"/>
      <c r="B156" s="112"/>
      <c r="C156" s="112"/>
      <c r="D156" s="112"/>
    </row>
    <row r="157" spans="1:4" ht="12.75" customHeight="1">
      <c r="A157" s="112"/>
      <c r="B157" s="112"/>
      <c r="C157" s="112"/>
      <c r="D157" s="112"/>
    </row>
    <row r="158" spans="1:4" ht="12.75" customHeight="1">
      <c r="A158" s="112"/>
      <c r="B158" s="112"/>
      <c r="C158" s="112"/>
      <c r="D158" s="112"/>
    </row>
    <row r="159" spans="1:4" ht="12.75" customHeight="1">
      <c r="A159" s="112"/>
      <c r="B159" s="112"/>
      <c r="C159" s="112"/>
      <c r="D159" s="112"/>
    </row>
    <row r="160" spans="1:4" ht="12.75" customHeight="1">
      <c r="A160" s="112"/>
      <c r="B160" s="112"/>
      <c r="C160" s="112"/>
      <c r="D160" s="112"/>
    </row>
    <row r="161" spans="1:4" ht="12.75" customHeight="1">
      <c r="A161" s="112"/>
      <c r="B161" s="112"/>
      <c r="C161" s="112"/>
      <c r="D161" s="112"/>
    </row>
    <row r="162" spans="1:4" ht="12.75" customHeight="1">
      <c r="A162" s="112"/>
      <c r="B162" s="112"/>
      <c r="C162" s="112"/>
      <c r="D162" s="112"/>
    </row>
    <row r="163" spans="1:4" ht="12.75" customHeight="1">
      <c r="A163" s="112"/>
      <c r="B163" s="112"/>
      <c r="C163" s="112"/>
      <c r="D163" s="112"/>
    </row>
    <row r="164" spans="1:4" ht="12.75" customHeight="1">
      <c r="A164" s="112"/>
      <c r="B164" s="112"/>
      <c r="C164" s="112"/>
      <c r="D164" s="112"/>
    </row>
    <row r="165" spans="1:4" ht="12.75" customHeight="1">
      <c r="A165" s="112"/>
      <c r="B165" s="112"/>
      <c r="C165" s="112"/>
      <c r="D165" s="112"/>
    </row>
    <row r="166" spans="1:4" ht="12.75" customHeight="1">
      <c r="A166" s="112"/>
      <c r="B166" s="112"/>
      <c r="C166" s="112"/>
      <c r="D166" s="112"/>
    </row>
    <row r="167" spans="1:4" ht="12.75" customHeight="1">
      <c r="A167" s="112"/>
      <c r="B167" s="112"/>
      <c r="C167" s="112"/>
      <c r="D167" s="112"/>
    </row>
    <row r="168" spans="1:4" ht="12.75" customHeight="1">
      <c r="A168" s="112"/>
      <c r="B168" s="112"/>
      <c r="C168" s="112"/>
      <c r="D168" s="112"/>
    </row>
    <row r="169" spans="1:4" ht="12.75" customHeight="1">
      <c r="A169" s="112"/>
      <c r="B169" s="112"/>
      <c r="C169" s="112"/>
      <c r="D169" s="112"/>
    </row>
    <row r="170" spans="1:4" ht="12.75" customHeight="1">
      <c r="A170" s="112"/>
      <c r="B170" s="112"/>
      <c r="C170" s="112"/>
      <c r="D170" s="112"/>
    </row>
    <row r="171" spans="1:4" ht="12.75" customHeight="1">
      <c r="A171" s="112"/>
      <c r="B171" s="112"/>
      <c r="C171" s="112"/>
      <c r="D171" s="112"/>
    </row>
    <row r="172" spans="1:4" ht="12.75" customHeight="1">
      <c r="A172" s="112"/>
      <c r="B172" s="112"/>
      <c r="C172" s="112"/>
      <c r="D172" s="112"/>
    </row>
    <row r="173" spans="1:4" ht="12.75" customHeight="1">
      <c r="A173" s="112"/>
      <c r="B173" s="112"/>
      <c r="C173" s="112"/>
      <c r="D173" s="112"/>
    </row>
    <row r="174" spans="1:4" ht="12.75" customHeight="1">
      <c r="A174" s="112"/>
      <c r="B174" s="112"/>
      <c r="C174" s="112"/>
      <c r="D174" s="112"/>
    </row>
    <row r="175" spans="1:4" ht="12.75" customHeight="1">
      <c r="A175" s="112"/>
      <c r="B175" s="112"/>
      <c r="C175" s="112"/>
      <c r="D175" s="112"/>
    </row>
    <row r="176" spans="1:4" ht="12.75" customHeight="1">
      <c r="A176" s="112"/>
      <c r="B176" s="112"/>
      <c r="C176" s="112"/>
      <c r="D176" s="112"/>
    </row>
    <row r="177" spans="1:4" ht="12.75" customHeight="1">
      <c r="A177" s="112"/>
      <c r="B177" s="112"/>
      <c r="C177" s="112"/>
      <c r="D177" s="112"/>
    </row>
    <row r="178" spans="1:4" ht="12.75" customHeight="1">
      <c r="A178" s="112"/>
      <c r="B178" s="112"/>
      <c r="C178" s="112"/>
      <c r="D178" s="112"/>
    </row>
    <row r="179" spans="1:4" ht="12.75" customHeight="1">
      <c r="A179" s="112"/>
      <c r="B179" s="112"/>
      <c r="C179" s="112"/>
      <c r="D179" s="112"/>
    </row>
    <row r="180" spans="1:4" ht="12.75" customHeight="1">
      <c r="A180" s="112"/>
      <c r="B180" s="112"/>
      <c r="C180" s="112"/>
      <c r="D180" s="112"/>
    </row>
    <row r="181" spans="1:4" ht="12.75" customHeight="1">
      <c r="A181" s="112"/>
      <c r="B181" s="112"/>
      <c r="C181" s="112"/>
      <c r="D181" s="112"/>
    </row>
    <row r="182" spans="1:4" ht="12.75" customHeight="1">
      <c r="A182" s="112"/>
      <c r="B182" s="112"/>
      <c r="C182" s="112"/>
      <c r="D182" s="112"/>
    </row>
    <row r="183" spans="1:4" ht="12.75" customHeight="1">
      <c r="A183" s="112"/>
      <c r="B183" s="112"/>
      <c r="C183" s="112"/>
      <c r="D183" s="112"/>
    </row>
    <row r="184" spans="1:4" ht="12.75" customHeight="1">
      <c r="A184" s="112"/>
      <c r="B184" s="112"/>
      <c r="C184" s="112"/>
      <c r="D184" s="112"/>
    </row>
    <row r="185" spans="1:4" ht="12.75" customHeight="1">
      <c r="A185" s="112"/>
      <c r="B185" s="112"/>
      <c r="C185" s="112"/>
      <c r="D185" s="112"/>
    </row>
    <row r="186" spans="1:4" ht="12.75" customHeight="1">
      <c r="A186" s="112"/>
      <c r="B186" s="112"/>
      <c r="C186" s="112"/>
      <c r="D186" s="112"/>
    </row>
    <row r="187" spans="1:4" ht="12.75" customHeight="1">
      <c r="A187" s="112"/>
      <c r="B187" s="112"/>
      <c r="C187" s="112"/>
      <c r="D187" s="112"/>
    </row>
    <row r="188" spans="1:4" ht="12.75" customHeight="1">
      <c r="A188" s="112"/>
      <c r="B188" s="112"/>
      <c r="C188" s="112"/>
      <c r="D188" s="112"/>
    </row>
    <row r="189" spans="1:4" ht="12.75" customHeight="1">
      <c r="A189" s="112"/>
      <c r="B189" s="112"/>
      <c r="C189" s="112"/>
      <c r="D189" s="112"/>
    </row>
    <row r="190" spans="1:4" ht="12.75" customHeight="1">
      <c r="A190" s="112"/>
      <c r="B190" s="112"/>
      <c r="C190" s="112"/>
      <c r="D190" s="112"/>
    </row>
    <row r="191" spans="1:4" ht="12.75" customHeight="1">
      <c r="A191" s="112"/>
      <c r="B191" s="112"/>
      <c r="C191" s="112"/>
      <c r="D191" s="112"/>
    </row>
    <row r="192" spans="1:4" ht="12.75" customHeight="1">
      <c r="A192" s="112"/>
      <c r="B192" s="112"/>
      <c r="C192" s="112"/>
      <c r="D192" s="112"/>
    </row>
    <row r="193" spans="1:4" ht="12.75" customHeight="1">
      <c r="A193" s="112"/>
      <c r="B193" s="112"/>
      <c r="C193" s="112"/>
      <c r="D193" s="112"/>
    </row>
    <row r="194" spans="1:4" ht="12.75" customHeight="1">
      <c r="A194" s="112"/>
      <c r="B194" s="112"/>
      <c r="C194" s="112"/>
      <c r="D194" s="112"/>
    </row>
    <row r="195" spans="1:4" ht="12.75" customHeight="1">
      <c r="A195" s="112"/>
      <c r="B195" s="112"/>
      <c r="C195" s="112"/>
      <c r="D195" s="112"/>
    </row>
    <row r="196" spans="1:4" ht="12.75" customHeight="1">
      <c r="A196" s="112"/>
      <c r="B196" s="112"/>
      <c r="C196" s="112"/>
      <c r="D196" s="112"/>
    </row>
    <row r="197" spans="1:4" ht="12.75" customHeight="1">
      <c r="A197" s="112"/>
      <c r="B197" s="112"/>
      <c r="C197" s="112"/>
      <c r="D197" s="112"/>
    </row>
    <row r="198" spans="1:4" ht="12.75" customHeight="1">
      <c r="A198" s="112"/>
      <c r="B198" s="112"/>
      <c r="C198" s="112"/>
      <c r="D198" s="112"/>
    </row>
    <row r="199" spans="1:4" ht="12.75" customHeight="1">
      <c r="A199" s="112"/>
      <c r="B199" s="112"/>
      <c r="C199" s="112"/>
      <c r="D199" s="112"/>
    </row>
    <row r="200" spans="1:4" ht="12.75" customHeight="1">
      <c r="A200" s="112"/>
      <c r="B200" s="112"/>
      <c r="C200" s="112"/>
      <c r="D200" s="112"/>
    </row>
    <row r="201" spans="1:4" ht="12.75" customHeight="1">
      <c r="A201" s="112"/>
      <c r="B201" s="112"/>
      <c r="C201" s="112"/>
      <c r="D201" s="112"/>
    </row>
    <row r="202" spans="1:4" ht="12.75" customHeight="1">
      <c r="A202" s="112"/>
      <c r="B202" s="112"/>
      <c r="C202" s="112"/>
      <c r="D202" s="112"/>
    </row>
    <row r="203" spans="1:4" ht="12.75" customHeight="1">
      <c r="A203" s="112"/>
      <c r="B203" s="112"/>
      <c r="C203" s="112"/>
      <c r="D203" s="112"/>
    </row>
    <row r="204" spans="1:4" ht="12.75" customHeight="1">
      <c r="A204" s="112"/>
      <c r="B204" s="112"/>
      <c r="C204" s="112"/>
      <c r="D204" s="112"/>
    </row>
    <row r="205" spans="1:4" ht="12.75" customHeight="1">
      <c r="A205" s="112"/>
      <c r="B205" s="112"/>
      <c r="C205" s="112"/>
      <c r="D205" s="112"/>
    </row>
    <row r="206" spans="1:4" ht="12.75" customHeight="1">
      <c r="A206" s="112"/>
      <c r="B206" s="112"/>
      <c r="C206" s="112"/>
      <c r="D206" s="112"/>
    </row>
    <row r="207" spans="1:4" ht="12.75" customHeight="1">
      <c r="A207" s="112"/>
      <c r="B207" s="112"/>
      <c r="C207" s="112"/>
      <c r="D207" s="112"/>
    </row>
    <row r="208" spans="1:4" ht="12.75" customHeight="1">
      <c r="A208" s="112"/>
      <c r="B208" s="112"/>
      <c r="C208" s="112"/>
      <c r="D208" s="112"/>
    </row>
    <row r="209" spans="1:4" ht="12.75" customHeight="1">
      <c r="A209" s="112"/>
      <c r="B209" s="112"/>
      <c r="C209" s="112"/>
      <c r="D209" s="112"/>
    </row>
    <row r="210" spans="1:4" ht="12.75" customHeight="1">
      <c r="A210" s="112"/>
      <c r="B210" s="112"/>
      <c r="C210" s="112"/>
      <c r="D210" s="112"/>
    </row>
    <row r="211" spans="1:4" ht="12.75" customHeight="1">
      <c r="A211" s="112"/>
      <c r="B211" s="112"/>
      <c r="C211" s="112"/>
      <c r="D211" s="112"/>
    </row>
    <row r="212" spans="1:4" ht="12.75" customHeight="1">
      <c r="A212" s="112"/>
      <c r="B212" s="112"/>
      <c r="C212" s="112"/>
      <c r="D212" s="112"/>
    </row>
    <row r="213" spans="1:4" ht="12.75" customHeight="1">
      <c r="A213" s="112"/>
      <c r="B213" s="112"/>
      <c r="C213" s="112"/>
      <c r="D213" s="112"/>
    </row>
    <row r="214" spans="1:4" ht="12.75" customHeight="1">
      <c r="A214" s="112"/>
      <c r="B214" s="112"/>
      <c r="C214" s="112"/>
      <c r="D214" s="112"/>
    </row>
    <row r="215" spans="1:4" ht="12.75" customHeight="1">
      <c r="A215" s="112"/>
      <c r="B215" s="112"/>
      <c r="C215" s="112"/>
      <c r="D215" s="112"/>
    </row>
    <row r="216" spans="1:4" ht="12.75" customHeight="1">
      <c r="A216" s="112"/>
      <c r="B216" s="112"/>
      <c r="C216" s="112"/>
      <c r="D216" s="112"/>
    </row>
    <row r="217" spans="1:4" ht="12.75" customHeight="1">
      <c r="A217" s="112"/>
      <c r="B217" s="112"/>
      <c r="C217" s="112"/>
      <c r="D217" s="112"/>
    </row>
    <row r="218" spans="1:4" ht="12.75" customHeight="1">
      <c r="A218" s="112"/>
      <c r="B218" s="112"/>
      <c r="C218" s="112"/>
      <c r="D218" s="112"/>
    </row>
    <row r="219" spans="1:4" ht="12.75" customHeight="1">
      <c r="A219" s="112"/>
      <c r="B219" s="112"/>
      <c r="C219" s="112"/>
      <c r="D219" s="112"/>
    </row>
    <row r="220" spans="1:4" ht="12.75" customHeight="1">
      <c r="A220" s="112"/>
      <c r="B220" s="112"/>
      <c r="C220" s="112"/>
      <c r="D220" s="112"/>
    </row>
    <row r="221" spans="1:4" ht="12.75" customHeight="1">
      <c r="A221" s="112"/>
      <c r="B221" s="112"/>
      <c r="C221" s="112"/>
      <c r="D221" s="112"/>
    </row>
    <row r="222" spans="1:4" ht="12.75" customHeight="1">
      <c r="A222" s="112"/>
      <c r="B222" s="112"/>
      <c r="C222" s="112"/>
      <c r="D222" s="112"/>
    </row>
    <row r="223" spans="1:4" ht="12.75" customHeight="1">
      <c r="A223" s="112"/>
      <c r="B223" s="112"/>
      <c r="C223" s="112"/>
      <c r="D223" s="112"/>
    </row>
    <row r="224" spans="1:4" ht="12.75" customHeight="1">
      <c r="A224" s="112"/>
      <c r="B224" s="112"/>
      <c r="C224" s="112"/>
      <c r="D224" s="112"/>
    </row>
    <row r="225" spans="1:4" ht="12.75" customHeight="1">
      <c r="A225" s="112"/>
      <c r="B225" s="112"/>
      <c r="C225" s="112"/>
      <c r="D225" s="112"/>
    </row>
    <row r="226" spans="1:4" ht="12.75" customHeight="1">
      <c r="A226" s="112"/>
      <c r="B226" s="112"/>
      <c r="C226" s="112"/>
      <c r="D226" s="112"/>
    </row>
    <row r="227" spans="1:4" ht="12.75" customHeight="1">
      <c r="A227" s="112"/>
      <c r="B227" s="112"/>
      <c r="C227" s="112"/>
      <c r="D227" s="112"/>
    </row>
    <row r="228" spans="1:4" ht="12.75" customHeight="1">
      <c r="A228" s="112"/>
      <c r="B228" s="112"/>
      <c r="C228" s="112"/>
      <c r="D228" s="112"/>
    </row>
    <row r="229" spans="1:4" ht="12.75" customHeight="1">
      <c r="A229" s="112"/>
      <c r="B229" s="112"/>
      <c r="C229" s="112"/>
      <c r="D229" s="112"/>
    </row>
    <row r="230" spans="1:4" ht="12.75" customHeight="1">
      <c r="A230" s="112"/>
      <c r="B230" s="112"/>
      <c r="C230" s="112"/>
      <c r="D230" s="112"/>
    </row>
    <row r="231" spans="1:4" ht="12.75" customHeight="1">
      <c r="A231" s="112"/>
      <c r="B231" s="112"/>
      <c r="C231" s="112"/>
      <c r="D231" s="112"/>
    </row>
    <row r="232" spans="1:4" ht="12.75" customHeight="1">
      <c r="A232" s="112"/>
      <c r="B232" s="112"/>
      <c r="C232" s="112"/>
      <c r="D232" s="112"/>
    </row>
    <row r="233" spans="1:4" ht="12.75" customHeight="1">
      <c r="A233" s="112"/>
      <c r="B233" s="112"/>
      <c r="C233" s="112"/>
      <c r="D233" s="112"/>
    </row>
    <row r="234" spans="1:4" ht="12.75" customHeight="1">
      <c r="A234" s="112"/>
      <c r="B234" s="112"/>
      <c r="C234" s="112"/>
      <c r="D234" s="112"/>
    </row>
    <row r="235" spans="1:4" ht="12.75" customHeight="1">
      <c r="A235" s="112"/>
      <c r="B235" s="112"/>
      <c r="C235" s="112"/>
      <c r="D235" s="112"/>
    </row>
    <row r="236" spans="1:4" ht="12.75" customHeight="1">
      <c r="A236" s="112"/>
      <c r="B236" s="112"/>
      <c r="C236" s="112"/>
      <c r="D236" s="112"/>
    </row>
    <row r="237" spans="1:4" ht="12.75" customHeight="1">
      <c r="A237" s="112"/>
      <c r="B237" s="112"/>
      <c r="C237" s="112"/>
      <c r="D237" s="112"/>
    </row>
    <row r="238" spans="1:4" ht="12.75" customHeight="1">
      <c r="A238" s="112"/>
      <c r="B238" s="112"/>
      <c r="C238" s="112"/>
      <c r="D238" s="112"/>
    </row>
    <row r="239" spans="1:4" ht="12.75" customHeight="1">
      <c r="A239" s="112"/>
      <c r="B239" s="112"/>
      <c r="C239" s="112"/>
      <c r="D239" s="112"/>
    </row>
    <row r="240" spans="1:4" ht="12.75" customHeight="1">
      <c r="A240" s="112"/>
      <c r="B240" s="112"/>
      <c r="C240" s="112"/>
      <c r="D240" s="112"/>
    </row>
    <row r="241" spans="1:4" ht="12.75" customHeight="1">
      <c r="A241" s="112"/>
      <c r="B241" s="112"/>
      <c r="C241" s="112"/>
      <c r="D241" s="112"/>
    </row>
    <row r="242" spans="1:4" ht="12.75" customHeight="1">
      <c r="A242" s="112"/>
      <c r="B242" s="112"/>
      <c r="C242" s="112"/>
      <c r="D242" s="112"/>
    </row>
    <row r="243" spans="1:4" ht="12.75" customHeight="1">
      <c r="A243" s="112"/>
      <c r="B243" s="112"/>
      <c r="C243" s="112"/>
      <c r="D243" s="112"/>
    </row>
    <row r="244" spans="1:4" ht="12.75" customHeight="1">
      <c r="A244" s="112"/>
      <c r="B244" s="112"/>
      <c r="C244" s="112"/>
      <c r="D244" s="112"/>
    </row>
    <row r="245" spans="1:4" ht="12.75" customHeight="1">
      <c r="A245" s="112"/>
      <c r="B245" s="112"/>
      <c r="C245" s="112"/>
      <c r="D245" s="112"/>
    </row>
    <row r="246" spans="1:4" ht="12.75" customHeight="1">
      <c r="A246" s="112"/>
      <c r="B246" s="112"/>
      <c r="C246" s="112"/>
      <c r="D246" s="112"/>
    </row>
    <row r="247" spans="1:4" ht="12.75" customHeight="1">
      <c r="A247" s="112"/>
      <c r="B247" s="112"/>
      <c r="C247" s="112"/>
      <c r="D247" s="112"/>
    </row>
    <row r="248" spans="1:4" ht="12.75" customHeight="1">
      <c r="A248" s="112"/>
      <c r="B248" s="112"/>
      <c r="C248" s="112"/>
      <c r="D248" s="112"/>
    </row>
    <row r="249" spans="1:4" ht="12.75" customHeight="1">
      <c r="A249" s="112"/>
      <c r="B249" s="112"/>
      <c r="C249" s="112"/>
      <c r="D249" s="112"/>
    </row>
    <row r="250" spans="1:4" ht="12.75" customHeight="1">
      <c r="A250" s="112"/>
      <c r="B250" s="112"/>
      <c r="C250" s="112"/>
      <c r="D250" s="112"/>
    </row>
    <row r="251" spans="1:4" ht="12.75" customHeight="1">
      <c r="A251" s="112"/>
      <c r="B251" s="112"/>
      <c r="C251" s="112"/>
      <c r="D251" s="112"/>
    </row>
    <row r="252" spans="1:4" ht="12.75" customHeight="1">
      <c r="A252" s="112"/>
      <c r="B252" s="112"/>
      <c r="C252" s="112"/>
      <c r="D252" s="112"/>
    </row>
    <row r="253" spans="1:4" ht="12.75" customHeight="1">
      <c r="A253" s="112"/>
      <c r="B253" s="112"/>
      <c r="C253" s="112"/>
      <c r="D253" s="112"/>
    </row>
    <row r="254" spans="1:4" ht="12.75" customHeight="1">
      <c r="A254" s="112"/>
      <c r="B254" s="112"/>
      <c r="C254" s="112"/>
      <c r="D254" s="112"/>
    </row>
    <row r="255" spans="1:4" ht="12.75" customHeight="1">
      <c r="A255" s="112"/>
      <c r="B255" s="112"/>
      <c r="C255" s="112"/>
      <c r="D255" s="112"/>
    </row>
    <row r="256" spans="1:4" ht="12.75" customHeight="1">
      <c r="A256" s="112"/>
      <c r="B256" s="112"/>
      <c r="C256" s="112"/>
      <c r="D256" s="112"/>
    </row>
    <row r="257" spans="1:4" ht="12.75" customHeight="1">
      <c r="A257" s="112"/>
      <c r="B257" s="112"/>
      <c r="C257" s="112"/>
      <c r="D257" s="112"/>
    </row>
    <row r="258" spans="1:4" ht="12.75" customHeight="1">
      <c r="A258" s="112"/>
      <c r="B258" s="112"/>
      <c r="C258" s="112"/>
      <c r="D258" s="112"/>
    </row>
    <row r="259" spans="1:4" ht="12.75" customHeight="1">
      <c r="A259" s="112"/>
      <c r="B259" s="112"/>
      <c r="C259" s="112"/>
      <c r="D259" s="112"/>
    </row>
    <row r="260" spans="1:4" ht="12.75" customHeight="1">
      <c r="A260" s="112"/>
      <c r="B260" s="112"/>
      <c r="C260" s="112"/>
      <c r="D260" s="112"/>
    </row>
    <row r="261" spans="1:4" ht="12.75" customHeight="1">
      <c r="A261" s="112"/>
      <c r="B261" s="112"/>
      <c r="C261" s="112"/>
      <c r="D261" s="112"/>
    </row>
    <row r="262" spans="1:4" ht="12.75" customHeight="1">
      <c r="A262" s="112"/>
      <c r="B262" s="112"/>
      <c r="C262" s="112"/>
      <c r="D262" s="112"/>
    </row>
    <row r="263" spans="1:4" ht="12.75" customHeight="1">
      <c r="A263" s="112"/>
      <c r="B263" s="112"/>
      <c r="C263" s="112"/>
      <c r="D263" s="112"/>
    </row>
    <row r="264" spans="1:4" ht="12.75" customHeight="1">
      <c r="A264" s="112"/>
      <c r="B264" s="112"/>
      <c r="C264" s="112"/>
      <c r="D264" s="112"/>
    </row>
    <row r="265" spans="1:4" ht="12.75" customHeight="1">
      <c r="A265" s="112"/>
      <c r="B265" s="112"/>
      <c r="C265" s="112"/>
      <c r="D265" s="112"/>
    </row>
    <row r="266" spans="1:4" ht="12.75" customHeight="1">
      <c r="A266" s="112"/>
      <c r="B266" s="112"/>
      <c r="C266" s="112"/>
      <c r="D266" s="112"/>
    </row>
    <row r="267" spans="1:4" ht="12.75" customHeight="1">
      <c r="A267" s="112"/>
      <c r="B267" s="112"/>
      <c r="C267" s="112"/>
      <c r="D267" s="112"/>
    </row>
    <row r="268" spans="1:4" ht="12.75" customHeight="1">
      <c r="A268" s="112"/>
      <c r="B268" s="112"/>
      <c r="C268" s="112"/>
      <c r="D268" s="112"/>
    </row>
    <row r="269" spans="1:4" ht="12.75" customHeight="1">
      <c r="A269" s="112"/>
      <c r="B269" s="112"/>
      <c r="C269" s="112"/>
      <c r="D269" s="112"/>
    </row>
    <row r="270" spans="1:4" ht="12.75" customHeight="1">
      <c r="A270" s="112"/>
      <c r="B270" s="112"/>
      <c r="C270" s="112"/>
      <c r="D270" s="112"/>
    </row>
    <row r="271" spans="1:4" ht="12.75" customHeight="1">
      <c r="A271" s="112"/>
      <c r="B271" s="112"/>
      <c r="C271" s="112"/>
      <c r="D271" s="112"/>
    </row>
    <row r="272" spans="1:4" ht="12.75" customHeight="1">
      <c r="A272" s="112"/>
      <c r="B272" s="112"/>
      <c r="C272" s="112"/>
      <c r="D272" s="112"/>
    </row>
    <row r="273" spans="1:4" ht="12.75" customHeight="1">
      <c r="A273" s="112"/>
      <c r="B273" s="112"/>
      <c r="C273" s="112"/>
      <c r="D273" s="112"/>
    </row>
    <row r="274" spans="1:4" ht="12.75" customHeight="1">
      <c r="A274" s="112"/>
      <c r="B274" s="112"/>
      <c r="C274" s="112"/>
      <c r="D274" s="112"/>
    </row>
    <row r="275" spans="1:4" ht="12.75" customHeight="1">
      <c r="A275" s="112"/>
      <c r="B275" s="112"/>
      <c r="C275" s="112"/>
      <c r="D275" s="112"/>
    </row>
    <row r="276" spans="1:4" ht="12.75" customHeight="1">
      <c r="A276" s="112"/>
      <c r="B276" s="112"/>
      <c r="C276" s="112"/>
      <c r="D276" s="112"/>
    </row>
    <row r="277" spans="1:4" ht="12.75" customHeight="1">
      <c r="A277" s="112"/>
      <c r="B277" s="112"/>
      <c r="C277" s="112"/>
      <c r="D277" s="112"/>
    </row>
    <row r="278" spans="1:4" ht="12.75" customHeight="1">
      <c r="A278" s="112"/>
      <c r="B278" s="112"/>
      <c r="C278" s="112"/>
      <c r="D278" s="112"/>
    </row>
    <row r="279" spans="1:4" ht="12.75" customHeight="1">
      <c r="A279" s="112"/>
      <c r="B279" s="112"/>
      <c r="C279" s="112"/>
      <c r="D279" s="112"/>
    </row>
    <row r="280" spans="1:4" ht="12.75" customHeight="1">
      <c r="A280" s="112"/>
      <c r="B280" s="112"/>
      <c r="C280" s="112"/>
      <c r="D280" s="112"/>
    </row>
    <row r="281" spans="1:4" ht="12.75" customHeight="1">
      <c r="A281" s="112"/>
      <c r="B281" s="112"/>
      <c r="C281" s="112"/>
      <c r="D281" s="112"/>
    </row>
    <row r="282" spans="1:4" ht="12.75" customHeight="1">
      <c r="A282" s="112"/>
      <c r="B282" s="112"/>
      <c r="C282" s="112"/>
      <c r="D282" s="112"/>
    </row>
    <row r="283" spans="1:4" ht="12.75" customHeight="1">
      <c r="A283" s="112"/>
      <c r="B283" s="112"/>
      <c r="C283" s="112"/>
      <c r="D283" s="112"/>
    </row>
    <row r="284" spans="1:4" ht="12.75" customHeight="1">
      <c r="A284" s="112"/>
      <c r="B284" s="112"/>
      <c r="C284" s="112"/>
      <c r="D284" s="112"/>
    </row>
    <row r="285" spans="1:4" ht="12.75" customHeight="1">
      <c r="A285" s="112"/>
      <c r="B285" s="112"/>
      <c r="C285" s="112"/>
      <c r="D285" s="112"/>
    </row>
    <row r="286" spans="1:4" ht="12.75" customHeight="1">
      <c r="A286" s="112"/>
      <c r="B286" s="112"/>
      <c r="C286" s="112"/>
      <c r="D286" s="112"/>
    </row>
    <row r="287" spans="1:4" ht="12.75" customHeight="1">
      <c r="A287" s="112"/>
      <c r="B287" s="112"/>
      <c r="C287" s="112"/>
      <c r="D287" s="112"/>
    </row>
    <row r="288" spans="1:4" ht="12.75" customHeight="1">
      <c r="A288" s="112"/>
      <c r="B288" s="112"/>
      <c r="C288" s="112"/>
      <c r="D288" s="112"/>
    </row>
    <row r="289" spans="1:4" ht="12.75" customHeight="1">
      <c r="A289" s="112"/>
      <c r="B289" s="112"/>
      <c r="C289" s="112"/>
      <c r="D289" s="112"/>
    </row>
    <row r="290" spans="1:4" ht="12.75" customHeight="1">
      <c r="A290" s="112"/>
      <c r="B290" s="112"/>
      <c r="C290" s="112"/>
      <c r="D290" s="112"/>
    </row>
    <row r="291" spans="1:4" ht="12.75" customHeight="1">
      <c r="A291" s="112"/>
      <c r="B291" s="112"/>
      <c r="C291" s="112"/>
      <c r="D291" s="112"/>
    </row>
    <row r="292" spans="1:4" ht="12.75" customHeight="1">
      <c r="A292" s="112"/>
      <c r="B292" s="112"/>
      <c r="C292" s="112"/>
      <c r="D292" s="112"/>
    </row>
    <row r="293" spans="1:4" ht="12.75" customHeight="1">
      <c r="A293" s="112"/>
      <c r="B293" s="112"/>
      <c r="C293" s="112"/>
      <c r="D293" s="112"/>
    </row>
    <row r="294" spans="1:4" ht="12.75" customHeight="1">
      <c r="A294" s="112"/>
      <c r="B294" s="112"/>
      <c r="C294" s="112"/>
      <c r="D294" s="112"/>
    </row>
    <row r="295" spans="1:4" ht="12.75" customHeight="1">
      <c r="A295" s="112"/>
      <c r="B295" s="112"/>
      <c r="C295" s="112"/>
      <c r="D295" s="112"/>
    </row>
    <row r="296" spans="1:4" ht="12.75" customHeight="1">
      <c r="A296" s="112"/>
      <c r="B296" s="112"/>
      <c r="C296" s="112"/>
      <c r="D296" s="112"/>
    </row>
    <row r="297" spans="1:4" ht="12.75" customHeight="1">
      <c r="A297" s="112"/>
      <c r="B297" s="112"/>
      <c r="C297" s="112"/>
      <c r="D297" s="112"/>
    </row>
    <row r="298" spans="1:4" ht="12.75" customHeight="1">
      <c r="A298" s="112"/>
      <c r="B298" s="112"/>
      <c r="C298" s="112"/>
      <c r="D298" s="112"/>
    </row>
    <row r="299" spans="1:4" ht="12.75" customHeight="1">
      <c r="A299" s="112"/>
      <c r="B299" s="112"/>
      <c r="C299" s="112"/>
      <c r="D299" s="112"/>
    </row>
    <row r="300" spans="1:4" ht="12.75" customHeight="1">
      <c r="A300" s="112"/>
      <c r="B300" s="112"/>
      <c r="C300" s="112"/>
      <c r="D300" s="112"/>
    </row>
    <row r="301" spans="1:4" ht="12.75" customHeight="1">
      <c r="A301" s="112"/>
      <c r="B301" s="112"/>
      <c r="C301" s="112"/>
      <c r="D301" s="112"/>
    </row>
    <row r="302" spans="1:4" ht="12.75" customHeight="1">
      <c r="A302" s="112"/>
      <c r="B302" s="112"/>
      <c r="C302" s="112"/>
      <c r="D302" s="112"/>
    </row>
    <row r="303" spans="1:4" ht="12.75" customHeight="1">
      <c r="A303" s="112"/>
      <c r="B303" s="112"/>
      <c r="C303" s="112"/>
      <c r="D303" s="112"/>
    </row>
    <row r="304" spans="1:4" ht="12.75" customHeight="1">
      <c r="A304" s="112"/>
      <c r="B304" s="112"/>
      <c r="C304" s="112"/>
      <c r="D304" s="112"/>
    </row>
    <row r="305" spans="1:4" ht="12.75" customHeight="1">
      <c r="A305" s="112"/>
      <c r="B305" s="112"/>
      <c r="C305" s="112"/>
      <c r="D305" s="112"/>
    </row>
    <row r="306" spans="1:4" ht="12.75" customHeight="1">
      <c r="A306" s="112"/>
      <c r="B306" s="112"/>
      <c r="C306" s="112"/>
      <c r="D306" s="112"/>
    </row>
    <row r="307" spans="1:4" ht="12.75" customHeight="1">
      <c r="A307" s="112"/>
      <c r="B307" s="112"/>
      <c r="C307" s="112"/>
      <c r="D307" s="112"/>
    </row>
    <row r="308" spans="1:4" ht="12.75" customHeight="1">
      <c r="A308" s="112"/>
      <c r="B308" s="112"/>
      <c r="C308" s="112"/>
      <c r="D308" s="112"/>
    </row>
    <row r="309" spans="1:4" ht="12.75" customHeight="1">
      <c r="A309" s="112"/>
      <c r="B309" s="112"/>
      <c r="C309" s="112"/>
      <c r="D309" s="112"/>
    </row>
    <row r="310" spans="1:4" ht="12.75" customHeight="1">
      <c r="A310" s="112"/>
      <c r="B310" s="112"/>
      <c r="C310" s="112"/>
      <c r="D310" s="112"/>
    </row>
    <row r="311" spans="1:4" ht="12.75" customHeight="1">
      <c r="A311" s="112"/>
      <c r="B311" s="112"/>
      <c r="C311" s="112"/>
      <c r="D311" s="112"/>
    </row>
    <row r="312" spans="1:4" ht="12.75" customHeight="1">
      <c r="A312" s="112"/>
      <c r="B312" s="112"/>
      <c r="C312" s="112"/>
      <c r="D312" s="112"/>
    </row>
    <row r="313" spans="1:4" ht="12.75" customHeight="1">
      <c r="A313" s="112"/>
      <c r="B313" s="112"/>
      <c r="C313" s="112"/>
      <c r="D313" s="112"/>
    </row>
    <row r="314" spans="1:4" ht="12.75" customHeight="1">
      <c r="A314" s="112"/>
      <c r="B314" s="112"/>
      <c r="C314" s="112"/>
      <c r="D314" s="112"/>
    </row>
    <row r="315" spans="1:4" ht="12.75" customHeight="1">
      <c r="A315" s="112"/>
      <c r="B315" s="112"/>
      <c r="C315" s="112"/>
      <c r="D315" s="112"/>
    </row>
    <row r="316" spans="1:4" ht="12.75" customHeight="1">
      <c r="A316" s="112"/>
      <c r="B316" s="112"/>
      <c r="C316" s="112"/>
      <c r="D316" s="112"/>
    </row>
    <row r="317" spans="1:4" ht="12.75" customHeight="1">
      <c r="A317" s="112"/>
      <c r="B317" s="112"/>
      <c r="C317" s="112"/>
      <c r="D317" s="112"/>
    </row>
    <row r="318" spans="1:4" ht="12.75" customHeight="1">
      <c r="A318" s="112"/>
      <c r="B318" s="112"/>
      <c r="C318" s="112"/>
      <c r="D318" s="112"/>
    </row>
    <row r="319" spans="1:4" ht="12.75" customHeight="1">
      <c r="A319" s="112"/>
      <c r="B319" s="112"/>
      <c r="C319" s="112"/>
      <c r="D319" s="112"/>
    </row>
    <row r="320" spans="1:4" ht="12.75" customHeight="1">
      <c r="A320" s="112"/>
      <c r="B320" s="112"/>
      <c r="C320" s="112"/>
      <c r="D320" s="112"/>
    </row>
    <row r="321" spans="1:4" ht="12.75" customHeight="1">
      <c r="A321" s="112"/>
      <c r="B321" s="112"/>
      <c r="C321" s="112"/>
      <c r="D321" s="112"/>
    </row>
    <row r="322" spans="1:4" ht="12.75" customHeight="1">
      <c r="A322" s="112"/>
      <c r="B322" s="112"/>
      <c r="C322" s="112"/>
      <c r="D322" s="112"/>
    </row>
    <row r="323" spans="1:4" ht="12.75" customHeight="1">
      <c r="A323" s="112"/>
      <c r="B323" s="112"/>
      <c r="C323" s="112"/>
      <c r="D323" s="112"/>
    </row>
    <row r="324" spans="1:4" ht="12.75" customHeight="1">
      <c r="A324" s="112"/>
      <c r="B324" s="112"/>
      <c r="C324" s="112"/>
      <c r="D324" s="112"/>
    </row>
    <row r="325" spans="1:4" ht="12.75" customHeight="1">
      <c r="A325" s="112"/>
      <c r="B325" s="112"/>
      <c r="C325" s="112"/>
      <c r="D325" s="112"/>
    </row>
    <row r="326" spans="1:4" ht="12.75" customHeight="1">
      <c r="A326" s="112"/>
      <c r="B326" s="112"/>
      <c r="C326" s="112"/>
      <c r="D326" s="112"/>
    </row>
    <row r="327" spans="1:4" ht="12.75" customHeight="1">
      <c r="A327" s="112"/>
      <c r="B327" s="112"/>
      <c r="C327" s="112"/>
      <c r="D327" s="112"/>
    </row>
    <row r="328" spans="1:4" ht="12.75" customHeight="1">
      <c r="A328" s="112"/>
      <c r="B328" s="112"/>
      <c r="C328" s="112"/>
      <c r="D328" s="112"/>
    </row>
    <row r="329" spans="1:4" ht="12.75" customHeight="1">
      <c r="A329" s="112"/>
      <c r="B329" s="112"/>
      <c r="C329" s="112"/>
      <c r="D329" s="112"/>
    </row>
    <row r="330" spans="1:4" ht="12.75" customHeight="1">
      <c r="A330" s="112"/>
      <c r="B330" s="112"/>
      <c r="C330" s="112"/>
      <c r="D330" s="112"/>
    </row>
    <row r="331" spans="1:4" ht="12.75" customHeight="1">
      <c r="A331" s="112"/>
      <c r="B331" s="112"/>
      <c r="C331" s="112"/>
      <c r="D331" s="112"/>
    </row>
    <row r="332" spans="1:4" ht="12.75" customHeight="1">
      <c r="A332" s="112"/>
      <c r="B332" s="112"/>
      <c r="C332" s="112"/>
      <c r="D332" s="112"/>
    </row>
    <row r="333" spans="1:4" ht="12.75" customHeight="1">
      <c r="A333" s="112"/>
      <c r="B333" s="112"/>
      <c r="C333" s="112"/>
      <c r="D333" s="112"/>
    </row>
    <row r="334" spans="1:4" ht="12.75" customHeight="1">
      <c r="A334" s="112"/>
      <c r="B334" s="112"/>
      <c r="C334" s="112"/>
      <c r="D334" s="112"/>
    </row>
    <row r="335" spans="1:4" ht="12.75" customHeight="1">
      <c r="A335" s="112"/>
      <c r="B335" s="112"/>
      <c r="C335" s="112"/>
      <c r="D335" s="112"/>
    </row>
    <row r="336" spans="1:4" ht="12.75" customHeight="1">
      <c r="A336" s="112"/>
      <c r="B336" s="112"/>
      <c r="C336" s="112"/>
      <c r="D336" s="112"/>
    </row>
    <row r="337" spans="1:4" ht="12.75" customHeight="1">
      <c r="A337" s="112"/>
      <c r="B337" s="112"/>
      <c r="C337" s="112"/>
      <c r="D337" s="112"/>
    </row>
    <row r="338" spans="1:4" ht="12.75" customHeight="1">
      <c r="A338" s="112"/>
      <c r="B338" s="112"/>
      <c r="C338" s="112"/>
      <c r="D338" s="112"/>
    </row>
    <row r="339" spans="1:4" ht="12.75" customHeight="1">
      <c r="A339" s="112"/>
      <c r="B339" s="112"/>
      <c r="C339" s="112"/>
      <c r="D339" s="112"/>
    </row>
    <row r="340" spans="1:4" ht="12.75" customHeight="1">
      <c r="A340" s="112"/>
      <c r="B340" s="112"/>
      <c r="C340" s="112"/>
      <c r="D340" s="112"/>
    </row>
    <row r="341" spans="1:4" ht="12.75" customHeight="1">
      <c r="A341" s="112"/>
      <c r="B341" s="112"/>
      <c r="C341" s="112"/>
      <c r="D341" s="112"/>
    </row>
    <row r="342" spans="1:4" ht="12.75" customHeight="1">
      <c r="A342" s="112"/>
      <c r="B342" s="112"/>
      <c r="C342" s="112"/>
      <c r="D342" s="112"/>
    </row>
    <row r="343" spans="1:4" ht="12.75" customHeight="1">
      <c r="A343" s="112"/>
      <c r="B343" s="112"/>
      <c r="C343" s="112"/>
      <c r="D343" s="112"/>
    </row>
    <row r="344" spans="1:4" ht="12.75" customHeight="1">
      <c r="A344" s="112"/>
      <c r="B344" s="112"/>
      <c r="C344" s="112"/>
      <c r="D344" s="112"/>
    </row>
    <row r="345" spans="1:4" ht="12.75" customHeight="1">
      <c r="A345" s="112"/>
      <c r="B345" s="112"/>
      <c r="C345" s="112"/>
      <c r="D345" s="112"/>
    </row>
    <row r="346" spans="1:4" ht="12.75" customHeight="1">
      <c r="A346" s="112"/>
      <c r="B346" s="112"/>
      <c r="C346" s="112"/>
      <c r="D346" s="112"/>
    </row>
    <row r="347" spans="1:4" ht="12.75" customHeight="1">
      <c r="A347" s="112"/>
      <c r="B347" s="112"/>
      <c r="C347" s="112"/>
      <c r="D347" s="112"/>
    </row>
    <row r="348" spans="1:4" ht="12.75" customHeight="1">
      <c r="A348" s="112"/>
      <c r="B348" s="112"/>
      <c r="C348" s="112"/>
      <c r="D348" s="112"/>
    </row>
    <row r="349" spans="1:4" ht="12.75" customHeight="1">
      <c r="A349" s="112"/>
      <c r="B349" s="112"/>
      <c r="C349" s="112"/>
      <c r="D349" s="112"/>
    </row>
    <row r="350" spans="1:4" ht="12.75" customHeight="1">
      <c r="A350" s="112"/>
      <c r="B350" s="112"/>
      <c r="C350" s="112"/>
      <c r="D350" s="112"/>
    </row>
    <row r="351" spans="1:4" ht="12.75" customHeight="1">
      <c r="A351" s="112"/>
      <c r="B351" s="112"/>
      <c r="C351" s="112"/>
      <c r="D351" s="112"/>
    </row>
    <row r="352" spans="1:4" ht="12.75" customHeight="1">
      <c r="A352" s="112"/>
      <c r="B352" s="112"/>
      <c r="C352" s="112"/>
      <c r="D352" s="112"/>
    </row>
    <row r="353" spans="1:4" ht="12.75" customHeight="1">
      <c r="A353" s="112"/>
      <c r="B353" s="112"/>
      <c r="C353" s="112"/>
      <c r="D353" s="112"/>
    </row>
    <row r="354" spans="1:4" ht="12.75" customHeight="1">
      <c r="A354" s="112"/>
      <c r="B354" s="112"/>
      <c r="C354" s="112"/>
      <c r="D354" s="112"/>
    </row>
    <row r="355" spans="1:4" ht="12.75" customHeight="1">
      <c r="A355" s="112"/>
      <c r="B355" s="112"/>
      <c r="C355" s="112"/>
      <c r="D355" s="112"/>
    </row>
    <row r="356" spans="1:4" ht="12.75" customHeight="1">
      <c r="A356" s="112"/>
      <c r="B356" s="112"/>
      <c r="C356" s="112"/>
      <c r="D356" s="112"/>
    </row>
    <row r="357" spans="1:4" ht="12.75" customHeight="1">
      <c r="A357" s="112"/>
      <c r="B357" s="112"/>
      <c r="C357" s="112"/>
      <c r="D357" s="112"/>
    </row>
    <row r="358" spans="1:4" ht="12.75" customHeight="1">
      <c r="A358" s="112"/>
      <c r="B358" s="112"/>
      <c r="C358" s="112"/>
      <c r="D358" s="112"/>
    </row>
    <row r="359" spans="1:4" ht="12.75" customHeight="1">
      <c r="A359" s="112"/>
      <c r="B359" s="112"/>
      <c r="C359" s="112"/>
      <c r="D359" s="112"/>
    </row>
    <row r="360" spans="1:4" ht="12.75" customHeight="1">
      <c r="A360" s="112"/>
      <c r="B360" s="112"/>
      <c r="C360" s="112"/>
      <c r="D360" s="112"/>
    </row>
    <row r="361" spans="1:4" ht="12.75" customHeight="1">
      <c r="A361" s="112"/>
      <c r="B361" s="112"/>
      <c r="C361" s="112"/>
      <c r="D361" s="112"/>
    </row>
    <row r="362" spans="1:4" ht="12.75" customHeight="1">
      <c r="A362" s="112"/>
      <c r="B362" s="112"/>
      <c r="C362" s="112"/>
      <c r="D362" s="112"/>
    </row>
    <row r="363" spans="1:4" ht="12.75" customHeight="1">
      <c r="A363" s="112"/>
      <c r="B363" s="112"/>
      <c r="C363" s="112"/>
      <c r="D363" s="112"/>
    </row>
    <row r="364" spans="1:4" ht="12.75" customHeight="1">
      <c r="A364" s="112"/>
      <c r="B364" s="112"/>
      <c r="C364" s="112"/>
      <c r="D364" s="112"/>
    </row>
    <row r="365" spans="1:4" ht="12.75" customHeight="1">
      <c r="A365" s="112"/>
      <c r="B365" s="112"/>
      <c r="C365" s="112"/>
      <c r="D365" s="112"/>
    </row>
    <row r="366" spans="1:4" ht="12.75" customHeight="1">
      <c r="A366" s="112"/>
      <c r="B366" s="112"/>
      <c r="C366" s="112"/>
      <c r="D366" s="112"/>
    </row>
    <row r="367" spans="1:4" ht="12.75" customHeight="1">
      <c r="A367" s="112"/>
      <c r="B367" s="112"/>
      <c r="C367" s="112"/>
      <c r="D367" s="112"/>
    </row>
    <row r="368" spans="1:4" ht="12.75" customHeight="1">
      <c r="A368" s="112"/>
      <c r="B368" s="112"/>
      <c r="C368" s="112"/>
      <c r="D368" s="112"/>
    </row>
    <row r="369" spans="1:4" ht="12.75" customHeight="1">
      <c r="A369" s="112"/>
      <c r="B369" s="112"/>
      <c r="C369" s="112"/>
      <c r="D369" s="112"/>
    </row>
    <row r="370" spans="1:4" ht="12.75" customHeight="1">
      <c r="A370" s="112"/>
      <c r="B370" s="112"/>
      <c r="C370" s="112"/>
      <c r="D370" s="112"/>
    </row>
    <row r="371" spans="1:4" ht="12.75" customHeight="1">
      <c r="A371" s="112"/>
      <c r="B371" s="112"/>
      <c r="C371" s="112"/>
      <c r="D371" s="112"/>
    </row>
    <row r="372" spans="1:4" ht="12.75" customHeight="1">
      <c r="A372" s="112"/>
      <c r="B372" s="112"/>
      <c r="C372" s="112"/>
      <c r="D372" s="112"/>
    </row>
    <row r="373" spans="1:4" ht="12.75" customHeight="1">
      <c r="A373" s="112"/>
      <c r="B373" s="112"/>
      <c r="C373" s="112"/>
      <c r="D373" s="112"/>
    </row>
    <row r="374" spans="1:4" ht="12.75" customHeight="1">
      <c r="A374" s="112"/>
      <c r="B374" s="112"/>
      <c r="C374" s="112"/>
      <c r="D374" s="112"/>
    </row>
    <row r="375" spans="1:4" ht="12.75" customHeight="1">
      <c r="A375" s="112"/>
      <c r="B375" s="112"/>
      <c r="C375" s="112"/>
      <c r="D375" s="112"/>
    </row>
    <row r="376" spans="1:4" ht="12.75" customHeight="1">
      <c r="A376" s="112"/>
      <c r="B376" s="112"/>
      <c r="C376" s="112"/>
      <c r="D376" s="112"/>
    </row>
    <row r="377" spans="1:4" ht="12.75" customHeight="1">
      <c r="A377" s="112"/>
      <c r="B377" s="112"/>
      <c r="C377" s="112"/>
      <c r="D377" s="112"/>
    </row>
    <row r="378" spans="1:4" ht="12.75" customHeight="1">
      <c r="A378" s="112"/>
      <c r="B378" s="112"/>
      <c r="C378" s="112"/>
      <c r="D378" s="112"/>
    </row>
    <row r="379" spans="1:4" ht="12.75" customHeight="1">
      <c r="A379" s="112"/>
      <c r="B379" s="112"/>
      <c r="C379" s="112"/>
      <c r="D379" s="112"/>
    </row>
    <row r="380" spans="1:4" ht="12.75" customHeight="1">
      <c r="A380" s="112"/>
      <c r="B380" s="112"/>
      <c r="C380" s="112"/>
      <c r="D380" s="112"/>
    </row>
    <row r="381" spans="1:4" ht="12.75" customHeight="1">
      <c r="A381" s="112"/>
      <c r="B381" s="112"/>
      <c r="C381" s="112"/>
      <c r="D381" s="112"/>
    </row>
    <row r="382" spans="1:4" ht="12.75" customHeight="1">
      <c r="A382" s="112"/>
      <c r="B382" s="112"/>
      <c r="C382" s="112"/>
      <c r="D382" s="112"/>
    </row>
    <row r="383" spans="1:4" ht="12.75" customHeight="1">
      <c r="A383" s="112"/>
      <c r="B383" s="112"/>
      <c r="C383" s="112"/>
      <c r="D383" s="112"/>
    </row>
    <row r="384" spans="1:4" ht="12.75" customHeight="1">
      <c r="A384" s="112"/>
      <c r="B384" s="112"/>
      <c r="C384" s="112"/>
      <c r="D384" s="112"/>
    </row>
    <row r="385" spans="1:4" ht="12.75" customHeight="1">
      <c r="A385" s="112"/>
      <c r="B385" s="112"/>
      <c r="C385" s="112"/>
      <c r="D385" s="112"/>
    </row>
    <row r="386" spans="1:4" ht="12.75" customHeight="1">
      <c r="A386" s="112"/>
      <c r="B386" s="112"/>
      <c r="C386" s="112"/>
      <c r="D386" s="112"/>
    </row>
    <row r="387" spans="1:4" ht="12.75" customHeight="1">
      <c r="A387" s="112"/>
      <c r="B387" s="112"/>
      <c r="C387" s="112"/>
      <c r="D387" s="112"/>
    </row>
    <row r="388" spans="1:4" ht="12.75" customHeight="1">
      <c r="A388" s="112"/>
      <c r="B388" s="112"/>
      <c r="C388" s="112"/>
      <c r="D388" s="112"/>
    </row>
    <row r="389" spans="1:4" ht="12.75" customHeight="1">
      <c r="A389" s="112"/>
      <c r="B389" s="112"/>
      <c r="C389" s="112"/>
      <c r="D389" s="112"/>
    </row>
    <row r="390" spans="1:4" ht="12.75" customHeight="1">
      <c r="A390" s="112"/>
      <c r="B390" s="112"/>
      <c r="C390" s="112"/>
      <c r="D390" s="112"/>
    </row>
    <row r="391" spans="1:4" ht="12.75" customHeight="1">
      <c r="A391" s="112"/>
      <c r="B391" s="112"/>
      <c r="C391" s="112"/>
      <c r="D391" s="112"/>
    </row>
    <row r="392" spans="1:4" ht="12.75" customHeight="1">
      <c r="A392" s="112"/>
      <c r="B392" s="112"/>
      <c r="C392" s="112"/>
      <c r="D392" s="112"/>
    </row>
    <row r="393" spans="1:4" ht="12.75" customHeight="1">
      <c r="A393" s="112"/>
      <c r="B393" s="112"/>
      <c r="C393" s="112"/>
      <c r="D393" s="112"/>
    </row>
    <row r="394" spans="1:4" ht="12.75" customHeight="1">
      <c r="A394" s="112"/>
      <c r="B394" s="112"/>
      <c r="C394" s="112"/>
      <c r="D394" s="112"/>
    </row>
    <row r="395" spans="1:4" ht="12.75" customHeight="1">
      <c r="A395" s="112"/>
      <c r="B395" s="112"/>
      <c r="C395" s="112"/>
      <c r="D395" s="112"/>
    </row>
    <row r="396" spans="1:4" ht="12.75" customHeight="1">
      <c r="A396" s="112"/>
      <c r="B396" s="112"/>
      <c r="C396" s="112"/>
      <c r="D396" s="112"/>
    </row>
    <row r="397" spans="1:4" ht="12.75" customHeight="1">
      <c r="A397" s="112"/>
      <c r="B397" s="112"/>
      <c r="C397" s="112"/>
      <c r="D397" s="112"/>
    </row>
    <row r="398" spans="1:4" ht="12.75" customHeight="1">
      <c r="A398" s="112"/>
      <c r="B398" s="112"/>
      <c r="C398" s="112"/>
      <c r="D398" s="112"/>
    </row>
    <row r="399" spans="1:4" ht="12.75" customHeight="1">
      <c r="A399" s="112"/>
      <c r="B399" s="112"/>
      <c r="C399" s="112"/>
      <c r="D399" s="112"/>
    </row>
    <row r="400" spans="1:4" ht="12.75" customHeight="1">
      <c r="A400" s="112"/>
      <c r="B400" s="112"/>
      <c r="C400" s="112"/>
      <c r="D400" s="112"/>
    </row>
    <row r="401" spans="1:4" ht="12.75" customHeight="1">
      <c r="A401" s="112"/>
      <c r="B401" s="112"/>
      <c r="C401" s="112"/>
      <c r="D401" s="112"/>
    </row>
    <row r="402" spans="1:4" ht="12.75" customHeight="1">
      <c r="A402" s="112"/>
      <c r="B402" s="112"/>
      <c r="C402" s="112"/>
      <c r="D402" s="112"/>
    </row>
    <row r="403" spans="1:4" ht="12.75" customHeight="1">
      <c r="A403" s="112"/>
      <c r="B403" s="112"/>
      <c r="C403" s="112"/>
      <c r="D403" s="112"/>
    </row>
    <row r="404" spans="1:4" ht="12.75" customHeight="1">
      <c r="A404" s="112"/>
      <c r="B404" s="112"/>
      <c r="C404" s="112"/>
      <c r="D404" s="112"/>
    </row>
    <row r="405" spans="1:4" ht="12.75" customHeight="1">
      <c r="A405" s="112"/>
      <c r="B405" s="112"/>
      <c r="C405" s="112"/>
      <c r="D405" s="112"/>
    </row>
    <row r="406" spans="1:4" ht="12.75" customHeight="1">
      <c r="A406" s="112"/>
      <c r="B406" s="112"/>
      <c r="C406" s="112"/>
      <c r="D406" s="112"/>
    </row>
    <row r="407" spans="1:4" ht="12.75" customHeight="1">
      <c r="A407" s="112"/>
      <c r="B407" s="112"/>
      <c r="C407" s="112"/>
      <c r="D407" s="112"/>
    </row>
    <row r="408" spans="1:4" ht="12.75" customHeight="1">
      <c r="A408" s="112"/>
      <c r="B408" s="112"/>
      <c r="C408" s="112"/>
      <c r="D408" s="112"/>
    </row>
    <row r="409" spans="1:4" ht="12.75" customHeight="1">
      <c r="A409" s="112"/>
      <c r="B409" s="112"/>
      <c r="C409" s="112"/>
      <c r="D409" s="112"/>
    </row>
    <row r="410" spans="1:4" ht="12.75" customHeight="1">
      <c r="A410" s="112"/>
      <c r="B410" s="112"/>
      <c r="C410" s="112"/>
      <c r="D410" s="112"/>
    </row>
    <row r="411" spans="1:4" ht="12.75" customHeight="1">
      <c r="A411" s="112"/>
      <c r="B411" s="112"/>
      <c r="C411" s="112"/>
      <c r="D411" s="112"/>
    </row>
    <row r="412" spans="1:4" ht="12.75" customHeight="1">
      <c r="A412" s="112"/>
      <c r="B412" s="112"/>
      <c r="C412" s="112"/>
      <c r="D412" s="112"/>
    </row>
    <row r="413" spans="1:4" ht="12.75" customHeight="1">
      <c r="A413" s="112"/>
      <c r="B413" s="112"/>
      <c r="C413" s="112"/>
      <c r="D413" s="112"/>
    </row>
    <row r="414" spans="1:4" ht="12.75" customHeight="1">
      <c r="A414" s="112"/>
      <c r="B414" s="112"/>
      <c r="C414" s="112"/>
      <c r="D414" s="112"/>
    </row>
    <row r="415" spans="1:4" ht="12.75" customHeight="1">
      <c r="A415" s="112"/>
      <c r="B415" s="112"/>
      <c r="C415" s="112"/>
      <c r="D415" s="112"/>
    </row>
    <row r="416" spans="1:4" ht="12.75" customHeight="1">
      <c r="A416" s="112"/>
      <c r="B416" s="112"/>
      <c r="C416" s="112"/>
      <c r="D416" s="112"/>
    </row>
    <row r="417" spans="1:4" ht="12.75" customHeight="1">
      <c r="A417" s="112"/>
      <c r="B417" s="112"/>
      <c r="C417" s="112"/>
      <c r="D417" s="112"/>
    </row>
    <row r="418" spans="1:4" ht="12.75" customHeight="1">
      <c r="A418" s="112"/>
      <c r="B418" s="112"/>
      <c r="C418" s="112"/>
      <c r="D418" s="112"/>
    </row>
    <row r="419" spans="1:4" ht="12.75" customHeight="1">
      <c r="A419" s="112"/>
      <c r="B419" s="112"/>
      <c r="C419" s="112"/>
      <c r="D419" s="112"/>
    </row>
    <row r="420" spans="1:4" ht="12.75" customHeight="1">
      <c r="A420" s="112"/>
      <c r="B420" s="112"/>
      <c r="C420" s="112"/>
      <c r="D420" s="112"/>
    </row>
    <row r="421" spans="1:4" ht="12.75" customHeight="1">
      <c r="A421" s="112"/>
      <c r="B421" s="112"/>
      <c r="C421" s="112"/>
      <c r="D421" s="112"/>
    </row>
    <row r="422" spans="1:4" ht="12.75" customHeight="1">
      <c r="A422" s="112"/>
      <c r="B422" s="112"/>
      <c r="C422" s="112"/>
      <c r="D422" s="112"/>
    </row>
    <row r="423" spans="1:4" ht="12.75" customHeight="1">
      <c r="A423" s="112"/>
      <c r="B423" s="112"/>
      <c r="C423" s="112"/>
      <c r="D423" s="112"/>
    </row>
    <row r="424" spans="1:4" ht="12.75" customHeight="1">
      <c r="A424" s="112"/>
      <c r="B424" s="112"/>
      <c r="C424" s="112"/>
      <c r="D424" s="112"/>
    </row>
    <row r="425" spans="1:4" ht="12.75" customHeight="1">
      <c r="A425" s="112"/>
      <c r="B425" s="112"/>
      <c r="C425" s="112"/>
      <c r="D425" s="112"/>
    </row>
    <row r="426" spans="1:4" ht="12.75" customHeight="1">
      <c r="A426" s="112"/>
      <c r="B426" s="112"/>
      <c r="C426" s="112"/>
      <c r="D426" s="112"/>
    </row>
    <row r="427" spans="1:4" ht="12.75" customHeight="1">
      <c r="A427" s="112"/>
      <c r="B427" s="112"/>
      <c r="C427" s="112"/>
      <c r="D427" s="112"/>
    </row>
    <row r="428" spans="1:4" ht="12.75" customHeight="1">
      <c r="A428" s="112"/>
      <c r="B428" s="112"/>
      <c r="C428" s="112"/>
      <c r="D428" s="112"/>
    </row>
    <row r="429" spans="1:4" ht="12.75" customHeight="1">
      <c r="A429" s="112"/>
      <c r="B429" s="112"/>
      <c r="C429" s="112"/>
      <c r="D429" s="112"/>
    </row>
    <row r="430" spans="1:4" ht="12.75" customHeight="1">
      <c r="A430" s="112"/>
      <c r="B430" s="112"/>
      <c r="C430" s="112"/>
      <c r="D430" s="112"/>
    </row>
    <row r="431" spans="1:4" ht="12.75" customHeight="1">
      <c r="A431" s="112"/>
      <c r="B431" s="112"/>
      <c r="C431" s="112"/>
      <c r="D431" s="112"/>
    </row>
    <row r="432" spans="1:4" ht="12.75" customHeight="1">
      <c r="A432" s="112"/>
      <c r="B432" s="112"/>
      <c r="C432" s="112"/>
      <c r="D432" s="112"/>
    </row>
    <row r="433" spans="1:4" ht="12.75" customHeight="1">
      <c r="A433" s="112"/>
      <c r="B433" s="112"/>
      <c r="C433" s="112"/>
      <c r="D433" s="112"/>
    </row>
    <row r="434" spans="1:4" ht="12.75" customHeight="1">
      <c r="A434" s="112"/>
      <c r="B434" s="112"/>
      <c r="C434" s="112"/>
      <c r="D434" s="112"/>
    </row>
    <row r="435" spans="1:4" ht="12.75" customHeight="1">
      <c r="A435" s="112"/>
      <c r="B435" s="112"/>
      <c r="C435" s="112"/>
      <c r="D435" s="112"/>
    </row>
    <row r="436" spans="1:4" ht="12.75" customHeight="1">
      <c r="A436" s="112"/>
      <c r="B436" s="112"/>
      <c r="C436" s="112"/>
      <c r="D436" s="112"/>
    </row>
    <row r="437" spans="1:4" ht="12.75" customHeight="1">
      <c r="A437" s="112"/>
      <c r="B437" s="112"/>
      <c r="C437" s="112"/>
      <c r="D437" s="112"/>
    </row>
    <row r="438" spans="1:4" ht="12.75" customHeight="1">
      <c r="A438" s="112"/>
      <c r="B438" s="112"/>
      <c r="C438" s="112"/>
      <c r="D438" s="112"/>
    </row>
    <row r="439" spans="1:4" ht="12.75" customHeight="1">
      <c r="A439" s="112"/>
      <c r="B439" s="112"/>
      <c r="C439" s="112"/>
      <c r="D439" s="112"/>
    </row>
    <row r="440" spans="1:4" ht="12.75" customHeight="1">
      <c r="A440" s="112"/>
      <c r="B440" s="112"/>
      <c r="C440" s="112"/>
      <c r="D440" s="112"/>
    </row>
    <row r="441" spans="1:4" ht="12.75" customHeight="1">
      <c r="A441" s="112"/>
      <c r="B441" s="112"/>
      <c r="C441" s="112"/>
      <c r="D441" s="112"/>
    </row>
    <row r="442" spans="1:4" ht="12.75" customHeight="1">
      <c r="A442" s="112"/>
      <c r="B442" s="112"/>
      <c r="C442" s="112"/>
      <c r="D442" s="112"/>
    </row>
    <row r="443" spans="1:4" ht="12.75" customHeight="1">
      <c r="A443" s="112"/>
      <c r="B443" s="112"/>
      <c r="C443" s="112"/>
      <c r="D443" s="112"/>
    </row>
    <row r="444" spans="1:4" ht="12.75" customHeight="1">
      <c r="A444" s="112"/>
      <c r="B444" s="112"/>
      <c r="C444" s="112"/>
      <c r="D444" s="112"/>
    </row>
    <row r="445" spans="1:4" ht="12.75" customHeight="1">
      <c r="A445" s="112"/>
      <c r="B445" s="112"/>
      <c r="C445" s="112"/>
      <c r="D445" s="112"/>
    </row>
    <row r="446" spans="1:4" ht="12.75" customHeight="1">
      <c r="A446" s="112"/>
      <c r="B446" s="112"/>
      <c r="C446" s="112"/>
      <c r="D446" s="112"/>
    </row>
    <row r="447" spans="1:4" ht="12.75" customHeight="1">
      <c r="A447" s="112"/>
      <c r="B447" s="112"/>
      <c r="C447" s="112"/>
      <c r="D447" s="112"/>
    </row>
    <row r="448" spans="1:4" ht="12.75" customHeight="1">
      <c r="A448" s="112"/>
      <c r="B448" s="112"/>
      <c r="C448" s="112"/>
      <c r="D448" s="112"/>
    </row>
    <row r="449" spans="1:4" ht="12.75" customHeight="1">
      <c r="A449" s="112"/>
      <c r="B449" s="112"/>
      <c r="C449" s="112"/>
      <c r="D449" s="112"/>
    </row>
    <row r="450" spans="1:4" ht="12.75" customHeight="1">
      <c r="A450" s="112"/>
      <c r="B450" s="112"/>
      <c r="C450" s="112"/>
      <c r="D450" s="112"/>
    </row>
    <row r="451" spans="1:4" ht="12.75" customHeight="1">
      <c r="A451" s="112"/>
      <c r="B451" s="112"/>
      <c r="C451" s="112"/>
      <c r="D451" s="112"/>
    </row>
    <row r="452" spans="1:4" ht="12.75" customHeight="1">
      <c r="A452" s="112"/>
      <c r="B452" s="112"/>
      <c r="C452" s="112"/>
      <c r="D452" s="112"/>
    </row>
    <row r="453" spans="1:4" ht="12.75" customHeight="1">
      <c r="A453" s="112"/>
      <c r="B453" s="112"/>
      <c r="C453" s="112"/>
      <c r="D453" s="112"/>
    </row>
    <row r="454" spans="1:4" ht="12.75" customHeight="1">
      <c r="A454" s="112"/>
      <c r="B454" s="112"/>
      <c r="C454" s="112"/>
      <c r="D454" s="112"/>
    </row>
    <row r="455" spans="1:4" ht="12.75" customHeight="1">
      <c r="A455" s="112"/>
      <c r="B455" s="112"/>
      <c r="C455" s="112"/>
      <c r="D455" s="112"/>
    </row>
    <row r="456" spans="1:4" ht="12.75" customHeight="1">
      <c r="A456" s="112"/>
      <c r="B456" s="112"/>
      <c r="C456" s="112"/>
      <c r="D456" s="112"/>
    </row>
    <row r="457" spans="1:4" ht="12.75" customHeight="1">
      <c r="A457" s="112"/>
      <c r="B457" s="112"/>
      <c r="C457" s="112"/>
      <c r="D457" s="112"/>
    </row>
    <row r="458" spans="1:4" ht="12.75" customHeight="1">
      <c r="A458" s="112"/>
      <c r="B458" s="112"/>
      <c r="C458" s="112"/>
      <c r="D458" s="112"/>
    </row>
    <row r="459" spans="1:4" ht="12.75" customHeight="1">
      <c r="A459" s="112"/>
      <c r="B459" s="112"/>
      <c r="C459" s="112"/>
      <c r="D459" s="112"/>
    </row>
    <row r="460" spans="1:4" ht="12.75" customHeight="1">
      <c r="A460" s="112"/>
      <c r="B460" s="112"/>
      <c r="C460" s="112"/>
      <c r="D460" s="112"/>
    </row>
    <row r="461" spans="1:4" ht="12.75" customHeight="1">
      <c r="A461" s="112"/>
      <c r="B461" s="112"/>
      <c r="C461" s="112"/>
      <c r="D461" s="112"/>
    </row>
    <row r="462" spans="1:4" ht="12.75" customHeight="1">
      <c r="A462" s="112"/>
      <c r="B462" s="112"/>
      <c r="C462" s="112"/>
      <c r="D462" s="112"/>
    </row>
    <row r="463" spans="1:4" ht="12.75" customHeight="1">
      <c r="A463" s="112"/>
      <c r="B463" s="112"/>
      <c r="C463" s="112"/>
      <c r="D463" s="112"/>
    </row>
    <row r="464" spans="1:4" ht="12.75" customHeight="1">
      <c r="A464" s="112"/>
      <c r="B464" s="112"/>
      <c r="C464" s="112"/>
      <c r="D464" s="112"/>
    </row>
    <row r="465" spans="1:4" ht="12.75" customHeight="1">
      <c r="A465" s="112"/>
      <c r="B465" s="112"/>
      <c r="C465" s="112"/>
      <c r="D465" s="112"/>
    </row>
    <row r="466" spans="1:4" ht="12.75" customHeight="1">
      <c r="A466" s="112"/>
      <c r="B466" s="112"/>
      <c r="C466" s="112"/>
      <c r="D466" s="112"/>
    </row>
    <row r="467" spans="1:4" ht="12.75" customHeight="1">
      <c r="A467" s="112"/>
      <c r="B467" s="112"/>
      <c r="C467" s="112"/>
      <c r="D467" s="112"/>
    </row>
    <row r="468" spans="1:4" ht="12.75" customHeight="1">
      <c r="A468" s="112"/>
      <c r="B468" s="112"/>
      <c r="C468" s="112"/>
      <c r="D468" s="112"/>
    </row>
    <row r="469" spans="1:4" ht="12.75" customHeight="1">
      <c r="A469" s="112"/>
      <c r="B469" s="112"/>
      <c r="C469" s="112"/>
      <c r="D469" s="112"/>
    </row>
    <row r="470" spans="1:4" ht="12.75" customHeight="1">
      <c r="A470" s="112"/>
      <c r="B470" s="112"/>
      <c r="C470" s="112"/>
      <c r="D470" s="112"/>
    </row>
    <row r="471" spans="1:4" ht="12.75" customHeight="1">
      <c r="A471" s="112"/>
      <c r="B471" s="112"/>
      <c r="C471" s="112"/>
      <c r="D471" s="112"/>
    </row>
    <row r="472" spans="1:4" ht="12.75" customHeight="1">
      <c r="A472" s="112"/>
      <c r="B472" s="112"/>
      <c r="C472" s="112"/>
      <c r="D472" s="112"/>
    </row>
    <row r="473" spans="1:4" ht="12.75" customHeight="1">
      <c r="A473" s="112"/>
      <c r="B473" s="112"/>
      <c r="C473" s="112"/>
      <c r="D473" s="112"/>
    </row>
    <row r="474" spans="1:4" ht="12.75" customHeight="1">
      <c r="A474" s="112"/>
      <c r="B474" s="112"/>
      <c r="C474" s="112"/>
      <c r="D474" s="112"/>
    </row>
    <row r="475" spans="1:4" ht="12.75" customHeight="1">
      <c r="A475" s="112"/>
      <c r="B475" s="112"/>
      <c r="C475" s="112"/>
      <c r="D475" s="112"/>
    </row>
    <row r="476" spans="1:4" ht="12.75" customHeight="1">
      <c r="A476" s="112"/>
      <c r="B476" s="112"/>
      <c r="C476" s="112"/>
      <c r="D476" s="112"/>
    </row>
    <row r="477" spans="1:4" ht="12.75" customHeight="1">
      <c r="A477" s="112"/>
      <c r="B477" s="112"/>
      <c r="C477" s="112"/>
      <c r="D477" s="112"/>
    </row>
    <row r="478" spans="1:4" ht="12.75" customHeight="1">
      <c r="A478" s="112"/>
      <c r="B478" s="112"/>
      <c r="C478" s="112"/>
      <c r="D478" s="112"/>
    </row>
    <row r="479" spans="1:4" ht="12.75" customHeight="1">
      <c r="A479" s="112"/>
      <c r="B479" s="112"/>
      <c r="C479" s="112"/>
      <c r="D479" s="112"/>
    </row>
    <row r="480" spans="1:4" ht="12.75" customHeight="1">
      <c r="A480" s="112"/>
      <c r="B480" s="112"/>
      <c r="C480" s="112"/>
      <c r="D480" s="112"/>
    </row>
    <row r="481" spans="1:4" ht="12.75" customHeight="1">
      <c r="A481" s="112"/>
      <c r="B481" s="112"/>
      <c r="C481" s="112"/>
      <c r="D481" s="112"/>
    </row>
    <row r="482" spans="1:4" ht="12.75" customHeight="1">
      <c r="A482" s="112"/>
      <c r="B482" s="112"/>
      <c r="C482" s="112"/>
      <c r="D482" s="112"/>
    </row>
    <row r="483" spans="1:4" ht="12.75" customHeight="1">
      <c r="A483" s="112"/>
      <c r="B483" s="112"/>
      <c r="C483" s="112"/>
      <c r="D483" s="112"/>
    </row>
    <row r="484" spans="1:4" ht="12.75" customHeight="1">
      <c r="A484" s="112"/>
      <c r="B484" s="112"/>
      <c r="C484" s="112"/>
      <c r="D484" s="112"/>
    </row>
    <row r="485" spans="1:4" ht="12.75" customHeight="1">
      <c r="A485" s="112"/>
      <c r="B485" s="112"/>
      <c r="C485" s="112"/>
      <c r="D485" s="112"/>
    </row>
    <row r="486" spans="1:4" ht="12.75" customHeight="1">
      <c r="A486" s="112"/>
      <c r="B486" s="112"/>
      <c r="C486" s="112"/>
      <c r="D486" s="112"/>
    </row>
    <row r="487" spans="1:4" ht="12.75" customHeight="1">
      <c r="A487" s="112"/>
      <c r="B487" s="112"/>
      <c r="C487" s="112"/>
      <c r="D487" s="112"/>
    </row>
    <row r="488" spans="1:4" ht="12.75" customHeight="1">
      <c r="A488" s="112"/>
      <c r="B488" s="112"/>
      <c r="C488" s="112"/>
      <c r="D488" s="112"/>
    </row>
    <row r="489" spans="1:4" ht="12.75" customHeight="1">
      <c r="A489" s="112"/>
      <c r="B489" s="112"/>
      <c r="C489" s="112"/>
      <c r="D489" s="112"/>
    </row>
    <row r="490" spans="1:4" ht="12.75" customHeight="1">
      <c r="A490" s="112"/>
      <c r="B490" s="112"/>
      <c r="C490" s="112"/>
      <c r="D490" s="112"/>
    </row>
    <row r="491" spans="1:4" ht="12.75" customHeight="1">
      <c r="A491" s="112"/>
      <c r="B491" s="112"/>
      <c r="C491" s="112"/>
      <c r="D491" s="112"/>
    </row>
    <row r="492" spans="1:4" ht="12.75" customHeight="1">
      <c r="A492" s="112"/>
      <c r="B492" s="112"/>
      <c r="C492" s="112"/>
      <c r="D492" s="112"/>
    </row>
    <row r="493" spans="1:4" ht="12.75" customHeight="1">
      <c r="A493" s="112"/>
      <c r="B493" s="112"/>
      <c r="C493" s="112"/>
      <c r="D493" s="112"/>
    </row>
    <row r="494" spans="1:4" ht="12.75" customHeight="1">
      <c r="A494" s="112"/>
      <c r="B494" s="112"/>
      <c r="C494" s="112"/>
      <c r="D494" s="112"/>
    </row>
    <row r="495" spans="1:4" ht="12.75" customHeight="1">
      <c r="A495" s="112"/>
      <c r="B495" s="112"/>
      <c r="C495" s="112"/>
      <c r="D495" s="112"/>
    </row>
    <row r="496" spans="1:4" ht="12.75" customHeight="1">
      <c r="A496" s="112"/>
      <c r="B496" s="112"/>
      <c r="C496" s="112"/>
      <c r="D496" s="112"/>
    </row>
    <row r="497" spans="1:4" ht="12.75" customHeight="1">
      <c r="A497" s="112"/>
      <c r="B497" s="112"/>
      <c r="C497" s="112"/>
      <c r="D497" s="112"/>
    </row>
    <row r="498" spans="1:4" ht="12.75" customHeight="1">
      <c r="A498" s="112"/>
      <c r="B498" s="112"/>
      <c r="C498" s="112"/>
      <c r="D498" s="112"/>
    </row>
    <row r="499" spans="1:4" ht="12.75" customHeight="1">
      <c r="A499" s="112"/>
      <c r="B499" s="112"/>
      <c r="C499" s="112"/>
      <c r="D499" s="112"/>
    </row>
    <row r="500" spans="1:4" ht="12.75" customHeight="1">
      <c r="A500" s="112"/>
      <c r="B500" s="112"/>
      <c r="C500" s="112"/>
      <c r="D500" s="112"/>
    </row>
    <row r="501" spans="1:4" ht="12.75" customHeight="1">
      <c r="A501" s="112"/>
      <c r="B501" s="112"/>
      <c r="C501" s="112"/>
      <c r="D501" s="112"/>
    </row>
    <row r="502" spans="1:4" ht="12.75" customHeight="1">
      <c r="A502" s="112"/>
      <c r="B502" s="112"/>
      <c r="C502" s="112"/>
      <c r="D502" s="112"/>
    </row>
    <row r="503" spans="1:4" ht="12.75" customHeight="1">
      <c r="A503" s="112"/>
      <c r="B503" s="112"/>
      <c r="C503" s="112"/>
      <c r="D503" s="112"/>
    </row>
    <row r="504" spans="1:4" ht="12.75" customHeight="1">
      <c r="A504" s="112"/>
      <c r="B504" s="112"/>
      <c r="C504" s="112"/>
      <c r="D504" s="112"/>
    </row>
    <row r="505" spans="1:4" ht="12.75" customHeight="1">
      <c r="A505" s="112"/>
      <c r="B505" s="112"/>
      <c r="C505" s="112"/>
      <c r="D505" s="112"/>
    </row>
    <row r="506" spans="1:4" ht="12.75" customHeight="1">
      <c r="A506" s="112"/>
      <c r="B506" s="112"/>
      <c r="C506" s="112"/>
      <c r="D506" s="112"/>
    </row>
    <row r="507" spans="1:4" ht="12.75" customHeight="1">
      <c r="A507" s="112"/>
      <c r="B507" s="112"/>
      <c r="C507" s="112"/>
      <c r="D507" s="112"/>
    </row>
    <row r="508" spans="1:4" ht="12.75" customHeight="1">
      <c r="A508" s="112"/>
      <c r="B508" s="112"/>
      <c r="C508" s="112"/>
      <c r="D508" s="112"/>
    </row>
    <row r="509" spans="1:4" ht="12.75" customHeight="1">
      <c r="A509" s="112"/>
      <c r="B509" s="112"/>
      <c r="C509" s="112"/>
      <c r="D509" s="112"/>
    </row>
    <row r="510" spans="1:4" ht="12.75" customHeight="1">
      <c r="A510" s="112"/>
      <c r="B510" s="112"/>
      <c r="C510" s="112"/>
      <c r="D510" s="112"/>
    </row>
    <row r="511" spans="1:4" ht="12.75" customHeight="1">
      <c r="A511" s="112"/>
      <c r="B511" s="112"/>
      <c r="C511" s="112"/>
      <c r="D511" s="112"/>
    </row>
    <row r="512" spans="1:4" ht="12.75" customHeight="1">
      <c r="A512" s="112"/>
      <c r="B512" s="112"/>
      <c r="C512" s="112"/>
      <c r="D512" s="112"/>
    </row>
    <row r="513" spans="1:4" ht="12.75" customHeight="1">
      <c r="A513" s="112"/>
      <c r="B513" s="112"/>
      <c r="C513" s="112"/>
      <c r="D513" s="112"/>
    </row>
    <row r="514" spans="1:4" ht="12.75" customHeight="1">
      <c r="A514" s="112"/>
      <c r="B514" s="112"/>
      <c r="C514" s="112"/>
      <c r="D514" s="112"/>
    </row>
    <row r="515" spans="1:4" ht="12.75" customHeight="1">
      <c r="A515" s="112"/>
      <c r="B515" s="112"/>
      <c r="C515" s="112"/>
      <c r="D515" s="112"/>
    </row>
    <row r="516" spans="1:4" ht="12.75" customHeight="1">
      <c r="A516" s="112"/>
      <c r="B516" s="112"/>
      <c r="C516" s="112"/>
      <c r="D516" s="112"/>
    </row>
    <row r="517" spans="1:4" ht="12.75" customHeight="1">
      <c r="A517" s="112"/>
      <c r="B517" s="112"/>
      <c r="C517" s="112"/>
      <c r="D517" s="112"/>
    </row>
    <row r="518" spans="1:4" ht="12.75" customHeight="1">
      <c r="A518" s="112"/>
      <c r="B518" s="112"/>
      <c r="C518" s="112"/>
      <c r="D518" s="112"/>
    </row>
    <row r="519" spans="1:4" ht="12.75" customHeight="1">
      <c r="A519" s="112"/>
      <c r="B519" s="112"/>
      <c r="C519" s="112"/>
      <c r="D519" s="112"/>
    </row>
    <row r="520" spans="1:4" ht="12.75" customHeight="1">
      <c r="A520" s="112"/>
      <c r="B520" s="112"/>
      <c r="C520" s="112"/>
      <c r="D520" s="112"/>
    </row>
    <row r="521" spans="1:4" ht="12.75" customHeight="1">
      <c r="A521" s="112"/>
      <c r="B521" s="112"/>
      <c r="C521" s="112"/>
      <c r="D521" s="112"/>
    </row>
    <row r="522" spans="1:4" ht="12.75" customHeight="1">
      <c r="A522" s="112"/>
      <c r="B522" s="112"/>
      <c r="C522" s="112"/>
      <c r="D522" s="112"/>
    </row>
    <row r="523" spans="1:4" ht="12.75" customHeight="1">
      <c r="A523" s="112"/>
      <c r="B523" s="112"/>
      <c r="C523" s="112"/>
      <c r="D523" s="112"/>
    </row>
    <row r="524" spans="1:4" ht="12.75" customHeight="1">
      <c r="A524" s="112"/>
      <c r="B524" s="112"/>
      <c r="C524" s="112"/>
      <c r="D524" s="112"/>
    </row>
    <row r="525" spans="1:4" ht="12.75" customHeight="1">
      <c r="A525" s="112"/>
      <c r="B525" s="112"/>
      <c r="C525" s="112"/>
      <c r="D525" s="112"/>
    </row>
    <row r="526" spans="1:4" ht="12.75" customHeight="1">
      <c r="A526" s="112"/>
      <c r="B526" s="112"/>
      <c r="C526" s="112"/>
      <c r="D526" s="112"/>
    </row>
    <row r="527" spans="1:4" ht="12.75" customHeight="1">
      <c r="A527" s="112"/>
      <c r="B527" s="112"/>
      <c r="C527" s="112"/>
      <c r="D527" s="112"/>
    </row>
    <row r="528" spans="1:4" ht="12.75" customHeight="1">
      <c r="A528" s="112"/>
      <c r="B528" s="112"/>
      <c r="C528" s="112"/>
      <c r="D528" s="112"/>
    </row>
    <row r="529" spans="1:4" ht="12.75" customHeight="1">
      <c r="A529" s="112"/>
      <c r="B529" s="112"/>
      <c r="C529" s="112"/>
      <c r="D529" s="112"/>
    </row>
    <row r="530" spans="1:4" ht="12.75" customHeight="1">
      <c r="A530" s="112"/>
      <c r="B530" s="112"/>
      <c r="C530" s="112"/>
      <c r="D530" s="112"/>
    </row>
    <row r="531" spans="1:4" ht="12.75" customHeight="1">
      <c r="A531" s="112"/>
      <c r="B531" s="112"/>
      <c r="C531" s="112"/>
      <c r="D531" s="112"/>
    </row>
    <row r="532" spans="1:4" ht="12.75" customHeight="1">
      <c r="A532" s="112"/>
      <c r="B532" s="112"/>
      <c r="C532" s="112"/>
      <c r="D532" s="112"/>
    </row>
    <row r="533" spans="1:4" ht="12.75" customHeight="1">
      <c r="A533" s="112"/>
      <c r="B533" s="112"/>
      <c r="C533" s="112"/>
      <c r="D533" s="112"/>
    </row>
    <row r="534" spans="1:4" ht="12.75" customHeight="1">
      <c r="A534" s="112"/>
      <c r="B534" s="112"/>
      <c r="C534" s="112"/>
      <c r="D534" s="112"/>
    </row>
    <row r="535" spans="1:4" ht="12.75" customHeight="1">
      <c r="A535" s="112"/>
      <c r="B535" s="112"/>
      <c r="C535" s="112"/>
      <c r="D535" s="112"/>
    </row>
    <row r="536" spans="1:4" ht="12.75" customHeight="1">
      <c r="A536" s="112"/>
      <c r="B536" s="112"/>
      <c r="C536" s="112"/>
      <c r="D536" s="112"/>
    </row>
    <row r="537" spans="1:4" ht="12.75" customHeight="1">
      <c r="A537" s="112"/>
      <c r="B537" s="112"/>
      <c r="C537" s="112"/>
      <c r="D537" s="112"/>
    </row>
    <row r="538" spans="1:4" ht="12.75" customHeight="1">
      <c r="A538" s="112"/>
      <c r="B538" s="112"/>
      <c r="C538" s="112"/>
      <c r="D538" s="112"/>
    </row>
    <row r="539" spans="1:4" ht="12.75" customHeight="1">
      <c r="A539" s="112"/>
      <c r="B539" s="112"/>
      <c r="C539" s="112"/>
      <c r="D539" s="112"/>
    </row>
    <row r="540" spans="1:4" ht="12.75" customHeight="1">
      <c r="A540" s="112"/>
      <c r="B540" s="112"/>
      <c r="C540" s="112"/>
      <c r="D540" s="112"/>
    </row>
    <row r="541" spans="1:4" ht="12.75" customHeight="1">
      <c r="A541" s="112"/>
      <c r="B541" s="112"/>
      <c r="C541" s="112"/>
      <c r="D541" s="112"/>
    </row>
    <row r="542" spans="1:4" ht="12.75" customHeight="1">
      <c r="A542" s="112"/>
      <c r="B542" s="112"/>
      <c r="C542" s="112"/>
      <c r="D542" s="112"/>
    </row>
    <row r="543" spans="1:4" ht="12.75" customHeight="1">
      <c r="A543" s="112"/>
      <c r="B543" s="112"/>
      <c r="C543" s="112"/>
      <c r="D543" s="112"/>
    </row>
    <row r="544" spans="1:4" ht="12.75" customHeight="1">
      <c r="A544" s="112"/>
      <c r="B544" s="112"/>
      <c r="C544" s="112"/>
      <c r="D544" s="112"/>
    </row>
    <row r="545" spans="1:4" ht="12.75" customHeight="1">
      <c r="A545" s="112"/>
      <c r="B545" s="112"/>
      <c r="C545" s="112"/>
      <c r="D545" s="112"/>
    </row>
    <row r="546" spans="1:4" ht="12.75" customHeight="1">
      <c r="A546" s="112"/>
      <c r="B546" s="112"/>
      <c r="C546" s="112"/>
      <c r="D546" s="112"/>
    </row>
    <row r="547" spans="1:4" ht="12.75" customHeight="1">
      <c r="A547" s="112"/>
      <c r="B547" s="112"/>
      <c r="C547" s="112"/>
      <c r="D547" s="112"/>
    </row>
    <row r="548" spans="1:4" ht="12.75" customHeight="1">
      <c r="A548" s="112"/>
      <c r="B548" s="112"/>
      <c r="C548" s="112"/>
      <c r="D548" s="112"/>
    </row>
    <row r="549" spans="1:4" ht="12.75" customHeight="1">
      <c r="A549" s="112"/>
      <c r="B549" s="112"/>
      <c r="C549" s="112"/>
      <c r="D549" s="112"/>
    </row>
    <row r="550" spans="1:4" ht="12.75" customHeight="1">
      <c r="A550" s="112"/>
      <c r="B550" s="112"/>
      <c r="C550" s="112"/>
      <c r="D550" s="112"/>
    </row>
    <row r="551" spans="1:4" ht="12.75" customHeight="1">
      <c r="A551" s="112"/>
      <c r="B551" s="112"/>
      <c r="C551" s="112"/>
      <c r="D551" s="112"/>
    </row>
    <row r="552" spans="1:4" ht="12.75" customHeight="1">
      <c r="A552" s="112"/>
      <c r="B552" s="112"/>
      <c r="C552" s="112"/>
      <c r="D552" s="112"/>
    </row>
    <row r="553" spans="1:4" ht="12.75" customHeight="1">
      <c r="A553" s="112"/>
      <c r="B553" s="112"/>
      <c r="C553" s="112"/>
      <c r="D553" s="112"/>
    </row>
    <row r="554" spans="1:4" ht="12.75" customHeight="1">
      <c r="A554" s="112"/>
      <c r="B554" s="112"/>
      <c r="C554" s="112"/>
      <c r="D554" s="112"/>
    </row>
    <row r="555" spans="1:4" ht="12.75" customHeight="1">
      <c r="A555" s="112"/>
      <c r="B555" s="112"/>
      <c r="C555" s="112"/>
      <c r="D555" s="112"/>
    </row>
    <row r="556" spans="1:4" ht="12.75" customHeight="1">
      <c r="A556" s="112"/>
      <c r="B556" s="112"/>
      <c r="C556" s="112"/>
      <c r="D556" s="112"/>
    </row>
    <row r="557" spans="1:4" ht="12.75" customHeight="1">
      <c r="A557" s="112"/>
      <c r="B557" s="112"/>
      <c r="C557" s="112"/>
      <c r="D557" s="112"/>
    </row>
    <row r="558" spans="1:4" ht="12.75" customHeight="1">
      <c r="A558" s="112"/>
      <c r="B558" s="112"/>
      <c r="C558" s="112"/>
      <c r="D558" s="112"/>
    </row>
    <row r="559" spans="1:4" ht="12.75" customHeight="1">
      <c r="A559" s="112"/>
      <c r="B559" s="112"/>
      <c r="C559" s="112"/>
      <c r="D559" s="112"/>
    </row>
    <row r="560" spans="1:4" ht="12.75" customHeight="1">
      <c r="A560" s="112"/>
      <c r="B560" s="112"/>
      <c r="C560" s="112"/>
      <c r="D560" s="112"/>
    </row>
    <row r="561" spans="1:4" ht="12.75" customHeight="1">
      <c r="A561" s="112"/>
      <c r="B561" s="112"/>
      <c r="C561" s="112"/>
      <c r="D561" s="112"/>
    </row>
    <row r="562" spans="1:4" ht="12.75" customHeight="1">
      <c r="A562" s="112"/>
      <c r="B562" s="112"/>
      <c r="C562" s="112"/>
      <c r="D562" s="112"/>
    </row>
    <row r="563" spans="1:4" ht="12.75" customHeight="1">
      <c r="A563" s="112"/>
      <c r="B563" s="112"/>
      <c r="C563" s="112"/>
      <c r="D563" s="112"/>
    </row>
    <row r="564" spans="1:4" ht="12.75" customHeight="1">
      <c r="A564" s="112"/>
      <c r="B564" s="112"/>
      <c r="C564" s="112"/>
      <c r="D564" s="112"/>
    </row>
    <row r="565" spans="1:4" ht="12.75" customHeight="1">
      <c r="A565" s="112"/>
      <c r="B565" s="112"/>
      <c r="C565" s="112"/>
      <c r="D565" s="112"/>
    </row>
    <row r="566" spans="1:4" ht="12.75" customHeight="1">
      <c r="A566" s="112"/>
      <c r="B566" s="112"/>
      <c r="C566" s="112"/>
      <c r="D566" s="112"/>
    </row>
    <row r="567" spans="1:4" ht="12.75" customHeight="1">
      <c r="A567" s="112"/>
      <c r="B567" s="112"/>
      <c r="C567" s="112"/>
      <c r="D567" s="112"/>
    </row>
    <row r="568" spans="1:4" ht="12.75" customHeight="1">
      <c r="A568" s="112"/>
      <c r="B568" s="112"/>
      <c r="C568" s="112"/>
      <c r="D568" s="112"/>
    </row>
    <row r="569" spans="1:4" ht="12.75" customHeight="1">
      <c r="A569" s="112"/>
      <c r="B569" s="112"/>
      <c r="C569" s="112"/>
      <c r="D569" s="112"/>
    </row>
    <row r="570" spans="1:4" ht="12.75" customHeight="1">
      <c r="A570" s="112"/>
      <c r="B570" s="112"/>
      <c r="C570" s="112"/>
      <c r="D570" s="112"/>
    </row>
    <row r="571" spans="1:4" ht="12.75" customHeight="1">
      <c r="A571" s="112"/>
      <c r="B571" s="112"/>
      <c r="C571" s="112"/>
      <c r="D571" s="112"/>
    </row>
    <row r="572" spans="1:4" ht="12.75" customHeight="1">
      <c r="A572" s="112"/>
      <c r="B572" s="112"/>
      <c r="C572" s="112"/>
      <c r="D572" s="112"/>
    </row>
    <row r="573" spans="1:4" ht="12.75" customHeight="1">
      <c r="A573" s="112"/>
      <c r="B573" s="112"/>
      <c r="C573" s="112"/>
      <c r="D573" s="112"/>
    </row>
    <row r="574" spans="1:4" ht="12.75" customHeight="1">
      <c r="A574" s="112"/>
      <c r="B574" s="112"/>
      <c r="C574" s="112"/>
      <c r="D574" s="112"/>
    </row>
    <row r="575" spans="1:4" ht="12.75" customHeight="1">
      <c r="A575" s="112"/>
      <c r="B575" s="112"/>
      <c r="C575" s="112"/>
      <c r="D575" s="112"/>
    </row>
    <row r="576" spans="1:4" ht="12.75" customHeight="1">
      <c r="A576" s="112"/>
      <c r="B576" s="112"/>
      <c r="C576" s="112"/>
      <c r="D576" s="112"/>
    </row>
    <row r="577" spans="1:4" ht="12.75" customHeight="1">
      <c r="A577" s="112"/>
      <c r="B577" s="112"/>
      <c r="C577" s="112"/>
      <c r="D577" s="112"/>
    </row>
    <row r="578" spans="1:4" ht="12.75" customHeight="1">
      <c r="A578" s="112"/>
      <c r="B578" s="112"/>
      <c r="C578" s="112"/>
      <c r="D578" s="112"/>
    </row>
    <row r="579" spans="1:4" ht="12.75" customHeight="1">
      <c r="A579" s="112"/>
      <c r="B579" s="112"/>
      <c r="C579" s="112"/>
      <c r="D579" s="112"/>
    </row>
    <row r="580" spans="1:4" ht="12.75" customHeight="1">
      <c r="A580" s="112"/>
      <c r="B580" s="112"/>
      <c r="C580" s="112"/>
      <c r="D580" s="112"/>
    </row>
    <row r="581" spans="1:4" ht="12.75" customHeight="1">
      <c r="A581" s="112"/>
      <c r="B581" s="112"/>
      <c r="C581" s="112"/>
      <c r="D581" s="112"/>
    </row>
    <row r="582" spans="1:4" ht="12.75" customHeight="1">
      <c r="A582" s="112"/>
      <c r="B582" s="112"/>
      <c r="C582" s="112"/>
      <c r="D582" s="112"/>
    </row>
    <row r="583" spans="1:4" ht="12.75" customHeight="1">
      <c r="A583" s="112"/>
      <c r="B583" s="112"/>
      <c r="C583" s="112"/>
      <c r="D583" s="112"/>
    </row>
    <row r="584" spans="1:4" ht="12.75" customHeight="1">
      <c r="A584" s="112"/>
      <c r="B584" s="112"/>
      <c r="C584" s="112"/>
      <c r="D584" s="112"/>
    </row>
    <row r="585" spans="1:4" ht="12.75" customHeight="1">
      <c r="A585" s="112"/>
      <c r="B585" s="112"/>
      <c r="C585" s="112"/>
      <c r="D585" s="112"/>
    </row>
    <row r="586" spans="1:4" ht="12.75" customHeight="1">
      <c r="A586" s="112"/>
      <c r="B586" s="112"/>
      <c r="C586" s="112"/>
      <c r="D586" s="112"/>
    </row>
    <row r="587" spans="1:4" ht="12.75" customHeight="1">
      <c r="A587" s="112"/>
      <c r="B587" s="112"/>
      <c r="C587" s="112"/>
      <c r="D587" s="112"/>
    </row>
    <row r="588" spans="1:4" ht="12.75" customHeight="1">
      <c r="A588" s="112"/>
      <c r="B588" s="112"/>
      <c r="C588" s="112"/>
      <c r="D588" s="112"/>
    </row>
    <row r="589" spans="1:4" ht="12.75" customHeight="1">
      <c r="A589" s="112"/>
      <c r="B589" s="112"/>
      <c r="C589" s="112"/>
      <c r="D589" s="112"/>
    </row>
    <row r="590" spans="1:4" ht="12.75" customHeight="1">
      <c r="A590" s="112"/>
      <c r="B590" s="112"/>
      <c r="C590" s="112"/>
      <c r="D590" s="112"/>
    </row>
    <row r="591" spans="1:4" ht="12.75" customHeight="1">
      <c r="A591" s="112"/>
      <c r="B591" s="112"/>
      <c r="C591" s="112"/>
      <c r="D591" s="112"/>
    </row>
    <row r="592" spans="1:4" ht="12.75" customHeight="1">
      <c r="A592" s="112"/>
      <c r="B592" s="112"/>
      <c r="C592" s="112"/>
      <c r="D592" s="112"/>
    </row>
    <row r="593" spans="1:4" ht="12.75" customHeight="1">
      <c r="A593" s="112"/>
      <c r="B593" s="112"/>
      <c r="C593" s="112"/>
      <c r="D593" s="112"/>
    </row>
    <row r="594" spans="1:4" ht="12.75" customHeight="1">
      <c r="A594" s="112"/>
      <c r="B594" s="112"/>
      <c r="C594" s="112"/>
      <c r="D594" s="112"/>
    </row>
    <row r="595" spans="1:4" ht="12.75" customHeight="1">
      <c r="A595" s="112"/>
      <c r="B595" s="112"/>
      <c r="C595" s="112"/>
      <c r="D595" s="112"/>
    </row>
    <row r="596" spans="1:4" ht="12.75" customHeight="1">
      <c r="A596" s="112"/>
      <c r="B596" s="112"/>
      <c r="C596" s="112"/>
      <c r="D596" s="112"/>
    </row>
    <row r="597" spans="1:4" ht="12.75" customHeight="1">
      <c r="A597" s="112"/>
      <c r="B597" s="112"/>
      <c r="C597" s="112"/>
      <c r="D597" s="112"/>
    </row>
    <row r="598" spans="1:4" ht="12.75" customHeight="1">
      <c r="A598" s="112"/>
      <c r="B598" s="112"/>
      <c r="C598" s="112"/>
      <c r="D598" s="112"/>
    </row>
    <row r="599" spans="1:4" ht="12.75" customHeight="1">
      <c r="A599" s="112"/>
      <c r="B599" s="112"/>
      <c r="C599" s="112"/>
      <c r="D599" s="112"/>
    </row>
    <row r="600" spans="1:4" ht="12.75" customHeight="1">
      <c r="A600" s="112"/>
      <c r="B600" s="112"/>
      <c r="C600" s="112"/>
      <c r="D600" s="112"/>
    </row>
    <row r="601" spans="1:4" ht="12.75" customHeight="1">
      <c r="A601" s="112"/>
      <c r="B601" s="112"/>
      <c r="C601" s="112"/>
      <c r="D601" s="112"/>
    </row>
    <row r="602" spans="1:4" ht="12.75" customHeight="1">
      <c r="A602" s="112"/>
      <c r="B602" s="112"/>
      <c r="C602" s="112"/>
      <c r="D602" s="112"/>
    </row>
    <row r="603" spans="1:4" ht="12.75" customHeight="1">
      <c r="A603" s="112"/>
      <c r="B603" s="112"/>
      <c r="C603" s="112"/>
      <c r="D603" s="112"/>
    </row>
    <row r="604" spans="1:4" ht="12.75" customHeight="1">
      <c r="A604" s="112"/>
      <c r="B604" s="112"/>
      <c r="C604" s="112"/>
      <c r="D604" s="112"/>
    </row>
    <row r="605" spans="1:4" ht="12.75" customHeight="1">
      <c r="A605" s="112"/>
      <c r="B605" s="112"/>
      <c r="C605" s="112"/>
      <c r="D605" s="112"/>
    </row>
    <row r="606" spans="1:4" ht="12.75" customHeight="1">
      <c r="A606" s="112"/>
      <c r="B606" s="112"/>
      <c r="C606" s="112"/>
      <c r="D606" s="112"/>
    </row>
    <row r="607" spans="1:4" ht="12.75" customHeight="1">
      <c r="A607" s="112"/>
      <c r="B607" s="112"/>
      <c r="C607" s="112"/>
      <c r="D607" s="112"/>
    </row>
    <row r="608" spans="1:4" ht="12.75" customHeight="1">
      <c r="A608" s="112"/>
      <c r="B608" s="112"/>
      <c r="C608" s="112"/>
      <c r="D608" s="112"/>
    </row>
    <row r="609" spans="1:4" ht="12.75" customHeight="1">
      <c r="A609" s="112"/>
      <c r="B609" s="112"/>
      <c r="C609" s="112"/>
      <c r="D609" s="112"/>
    </row>
    <row r="610" spans="1:4" ht="12.75" customHeight="1">
      <c r="A610" s="112"/>
      <c r="B610" s="112"/>
      <c r="C610" s="112"/>
      <c r="D610" s="112"/>
    </row>
    <row r="611" spans="1:4" ht="12.75" customHeight="1">
      <c r="A611" s="112"/>
      <c r="B611" s="112"/>
      <c r="C611" s="112"/>
      <c r="D611" s="112"/>
    </row>
    <row r="612" spans="1:4" ht="12.75" customHeight="1">
      <c r="A612" s="112"/>
      <c r="B612" s="112"/>
      <c r="C612" s="112"/>
      <c r="D612" s="112"/>
    </row>
    <row r="613" spans="1:4" ht="12.75" customHeight="1">
      <c r="A613" s="112"/>
      <c r="B613" s="112"/>
      <c r="C613" s="112"/>
      <c r="D613" s="112"/>
    </row>
    <row r="614" spans="1:4" ht="12.75" customHeight="1">
      <c r="A614" s="112"/>
      <c r="B614" s="112"/>
      <c r="C614" s="112"/>
      <c r="D614" s="112"/>
    </row>
    <row r="615" spans="1:4" ht="12.75" customHeight="1">
      <c r="A615" s="112"/>
      <c r="B615" s="112"/>
      <c r="C615" s="112"/>
      <c r="D615" s="112"/>
    </row>
    <row r="616" spans="1:4" ht="12.75" customHeight="1">
      <c r="A616" s="112"/>
      <c r="B616" s="112"/>
      <c r="C616" s="112"/>
      <c r="D616" s="112"/>
    </row>
    <row r="617" spans="1:4" ht="12.75" customHeight="1">
      <c r="A617" s="112"/>
      <c r="B617" s="112"/>
      <c r="C617" s="112"/>
      <c r="D617" s="112"/>
    </row>
    <row r="618" spans="1:4" ht="12.75" customHeight="1">
      <c r="A618" s="112"/>
      <c r="B618" s="112"/>
      <c r="C618" s="112"/>
      <c r="D618" s="112"/>
    </row>
    <row r="619" spans="1:4" ht="12.75" customHeight="1">
      <c r="A619" s="112"/>
      <c r="B619" s="112"/>
      <c r="C619" s="112"/>
      <c r="D619" s="112"/>
    </row>
    <row r="620" spans="1:4" ht="12.75" customHeight="1">
      <c r="A620" s="112"/>
      <c r="B620" s="112"/>
      <c r="C620" s="112"/>
      <c r="D620" s="112"/>
    </row>
    <row r="621" spans="1:4" ht="12.75" customHeight="1">
      <c r="A621" s="112"/>
      <c r="B621" s="112"/>
      <c r="C621" s="112"/>
      <c r="D621" s="112"/>
    </row>
    <row r="622" spans="1:4" ht="12.75" customHeight="1">
      <c r="A622" s="112"/>
      <c r="B622" s="112"/>
      <c r="C622" s="112"/>
      <c r="D622" s="112"/>
    </row>
    <row r="623" spans="1:4" ht="12.75" customHeight="1">
      <c r="A623" s="112"/>
      <c r="B623" s="112"/>
      <c r="C623" s="112"/>
      <c r="D623" s="112"/>
    </row>
    <row r="624" spans="1:4" ht="12.75" customHeight="1">
      <c r="A624" s="112"/>
      <c r="B624" s="112"/>
      <c r="C624" s="112"/>
      <c r="D624" s="112"/>
    </row>
    <row r="625" spans="1:4" ht="12.75" customHeight="1">
      <c r="A625" s="112"/>
      <c r="B625" s="112"/>
      <c r="C625" s="112"/>
      <c r="D625" s="112"/>
    </row>
    <row r="626" spans="1:4" ht="12.75" customHeight="1">
      <c r="A626" s="112"/>
      <c r="B626" s="112"/>
      <c r="C626" s="112"/>
      <c r="D626" s="112"/>
    </row>
    <row r="627" spans="1:4" ht="12.75" customHeight="1">
      <c r="A627" s="112"/>
      <c r="B627" s="112"/>
      <c r="C627" s="112"/>
      <c r="D627" s="112"/>
    </row>
    <row r="628" spans="1:4" ht="12.75" customHeight="1">
      <c r="A628" s="112"/>
      <c r="B628" s="112"/>
      <c r="C628" s="112"/>
      <c r="D628" s="112"/>
    </row>
    <row r="629" spans="1:4" ht="12.75" customHeight="1">
      <c r="A629" s="112"/>
      <c r="B629" s="112"/>
      <c r="C629" s="112"/>
      <c r="D629" s="112"/>
    </row>
    <row r="630" spans="1:4" ht="12.75" customHeight="1">
      <c r="A630" s="112"/>
      <c r="B630" s="112"/>
      <c r="C630" s="112"/>
      <c r="D630" s="112"/>
    </row>
    <row r="631" spans="1:4" ht="12.75" customHeight="1">
      <c r="A631" s="112"/>
      <c r="B631" s="112"/>
      <c r="C631" s="112"/>
      <c r="D631" s="112"/>
    </row>
    <row r="632" spans="1:4" ht="12.75" customHeight="1">
      <c r="A632" s="112"/>
      <c r="B632" s="112"/>
      <c r="C632" s="112"/>
      <c r="D632" s="112"/>
    </row>
    <row r="633" spans="1:4" ht="12.75" customHeight="1">
      <c r="A633" s="112"/>
      <c r="B633" s="112"/>
      <c r="C633" s="112"/>
      <c r="D633" s="112"/>
    </row>
    <row r="634" spans="1:4" ht="12.75" customHeight="1">
      <c r="A634" s="112"/>
      <c r="B634" s="112"/>
      <c r="C634" s="112"/>
      <c r="D634" s="112"/>
    </row>
    <row r="635" spans="1:4" ht="12.75" customHeight="1">
      <c r="A635" s="112"/>
      <c r="B635" s="112"/>
      <c r="C635" s="112"/>
      <c r="D635" s="112"/>
    </row>
    <row r="636" spans="1:4" ht="12.75" customHeight="1">
      <c r="A636" s="112"/>
      <c r="B636" s="112"/>
      <c r="C636" s="112"/>
      <c r="D636" s="112"/>
    </row>
    <row r="637" spans="1:4" ht="12.75" customHeight="1">
      <c r="A637" s="112"/>
      <c r="B637" s="112"/>
      <c r="C637" s="112"/>
      <c r="D637" s="112"/>
    </row>
    <row r="638" spans="1:4" ht="12.75" customHeight="1">
      <c r="A638" s="112"/>
      <c r="B638" s="112"/>
      <c r="C638" s="112"/>
      <c r="D638" s="112"/>
    </row>
    <row r="639" spans="1:4" ht="12.75" customHeight="1">
      <c r="A639" s="112"/>
      <c r="B639" s="112"/>
      <c r="C639" s="112"/>
      <c r="D639" s="112"/>
    </row>
    <row r="640" spans="1:4" ht="12.75" customHeight="1">
      <c r="A640" s="112"/>
      <c r="B640" s="112"/>
      <c r="C640" s="112"/>
      <c r="D640" s="112"/>
    </row>
    <row r="641" spans="1:4" ht="12.75" customHeight="1">
      <c r="A641" s="112"/>
      <c r="B641" s="112"/>
      <c r="C641" s="112"/>
      <c r="D641" s="112"/>
    </row>
    <row r="642" spans="1:4" ht="12.75" customHeight="1">
      <c r="A642" s="112"/>
      <c r="B642" s="112"/>
      <c r="C642" s="112"/>
      <c r="D642" s="112"/>
    </row>
    <row r="643" spans="1:4" ht="12.75" customHeight="1">
      <c r="A643" s="112"/>
      <c r="B643" s="112"/>
      <c r="C643" s="112"/>
      <c r="D643" s="112"/>
    </row>
    <row r="644" spans="1:4" ht="12.75" customHeight="1">
      <c r="A644" s="112"/>
      <c r="B644" s="112"/>
      <c r="C644" s="112"/>
      <c r="D644" s="112"/>
    </row>
    <row r="645" spans="1:4" ht="12.75" customHeight="1">
      <c r="A645" s="112"/>
      <c r="B645" s="112"/>
      <c r="C645" s="112"/>
      <c r="D645" s="112"/>
    </row>
    <row r="646" spans="1:4" ht="12.75" customHeight="1">
      <c r="A646" s="112"/>
      <c r="B646" s="112"/>
      <c r="C646" s="112"/>
      <c r="D646" s="112"/>
    </row>
    <row r="647" spans="1:4" ht="12.75" customHeight="1">
      <c r="A647" s="112"/>
      <c r="B647" s="112"/>
      <c r="C647" s="112"/>
      <c r="D647" s="112"/>
    </row>
    <row r="648" spans="1:4" ht="12.75" customHeight="1">
      <c r="A648" s="112"/>
      <c r="B648" s="112"/>
      <c r="C648" s="112"/>
      <c r="D648" s="112"/>
    </row>
    <row r="649" spans="1:4" ht="12.75" customHeight="1">
      <c r="A649" s="112"/>
      <c r="B649" s="112"/>
      <c r="C649" s="112"/>
      <c r="D649" s="112"/>
    </row>
    <row r="650" spans="1:4" ht="12.75" customHeight="1">
      <c r="A650" s="112"/>
      <c r="B650" s="112"/>
      <c r="C650" s="112"/>
      <c r="D650" s="112"/>
    </row>
    <row r="651" spans="1:4" ht="12.75" customHeight="1">
      <c r="A651" s="112"/>
      <c r="B651" s="112"/>
      <c r="C651" s="112"/>
      <c r="D651" s="112"/>
    </row>
    <row r="652" spans="1:4" ht="12.75" customHeight="1">
      <c r="A652" s="112"/>
      <c r="B652" s="112"/>
      <c r="C652" s="112"/>
      <c r="D652" s="112"/>
    </row>
    <row r="653" spans="1:4" ht="12.75" customHeight="1">
      <c r="A653" s="112"/>
      <c r="B653" s="112"/>
      <c r="C653" s="112"/>
      <c r="D653" s="112"/>
    </row>
    <row r="654" spans="1:4" ht="12.75" customHeight="1">
      <c r="A654" s="112"/>
      <c r="B654" s="112"/>
      <c r="C654" s="112"/>
      <c r="D654" s="112"/>
    </row>
    <row r="655" spans="1:4" ht="12.75" customHeight="1">
      <c r="A655" s="112"/>
      <c r="B655" s="112"/>
      <c r="C655" s="112"/>
      <c r="D655" s="112"/>
    </row>
    <row r="656" spans="1:4" ht="12.75" customHeight="1">
      <c r="A656" s="112"/>
      <c r="B656" s="112"/>
      <c r="C656" s="112"/>
      <c r="D656" s="112"/>
    </row>
    <row r="657" spans="1:4" ht="12.75" customHeight="1">
      <c r="A657" s="112"/>
      <c r="B657" s="112"/>
      <c r="C657" s="112"/>
      <c r="D657" s="112"/>
    </row>
    <row r="658" spans="1:4" ht="12.75" customHeight="1">
      <c r="A658" s="112"/>
      <c r="B658" s="112"/>
      <c r="C658" s="112"/>
      <c r="D658" s="112"/>
    </row>
    <row r="659" spans="1:4" ht="12.75" customHeight="1">
      <c r="A659" s="112"/>
      <c r="B659" s="112"/>
      <c r="C659" s="112"/>
      <c r="D659" s="112"/>
    </row>
    <row r="660" spans="1:4" ht="12.75" customHeight="1">
      <c r="A660" s="112"/>
      <c r="B660" s="112"/>
      <c r="C660" s="112"/>
      <c r="D660" s="112"/>
    </row>
    <row r="661" spans="1:4" ht="12.75" customHeight="1">
      <c r="A661" s="112"/>
      <c r="B661" s="112"/>
      <c r="C661" s="112"/>
      <c r="D661" s="112"/>
    </row>
    <row r="662" spans="1:4" ht="12.75" customHeight="1">
      <c r="A662" s="112"/>
      <c r="B662" s="112"/>
      <c r="C662" s="112"/>
      <c r="D662" s="112"/>
    </row>
    <row r="663" spans="1:4" ht="12.75" customHeight="1">
      <c r="A663" s="112"/>
      <c r="B663" s="112"/>
      <c r="C663" s="112"/>
      <c r="D663" s="112"/>
    </row>
    <row r="664" spans="1:4" ht="12.75" customHeight="1">
      <c r="A664" s="112"/>
      <c r="B664" s="112"/>
      <c r="C664" s="112"/>
      <c r="D664" s="112"/>
    </row>
    <row r="665" spans="1:4" ht="12.75" customHeight="1">
      <c r="A665" s="112"/>
      <c r="B665" s="112"/>
      <c r="C665" s="112"/>
      <c r="D665" s="112"/>
    </row>
    <row r="666" spans="1:4" ht="12.75" customHeight="1">
      <c r="A666" s="112"/>
      <c r="B666" s="112"/>
      <c r="C666" s="112"/>
      <c r="D666" s="112"/>
    </row>
    <row r="667" spans="1:4" ht="12.75" customHeight="1">
      <c r="A667" s="112"/>
      <c r="B667" s="112"/>
      <c r="C667" s="112"/>
      <c r="D667" s="112"/>
    </row>
    <row r="668" spans="1:4" ht="12.75" customHeight="1">
      <c r="A668" s="112"/>
      <c r="B668" s="112"/>
      <c r="C668" s="112"/>
      <c r="D668" s="112"/>
    </row>
    <row r="669" spans="1:4" ht="12.75" customHeight="1">
      <c r="A669" s="112"/>
      <c r="B669" s="112"/>
      <c r="C669" s="112"/>
      <c r="D669" s="112"/>
    </row>
    <row r="670" spans="1:4" ht="12.75" customHeight="1">
      <c r="A670" s="112"/>
      <c r="B670" s="112"/>
      <c r="C670" s="112"/>
      <c r="D670" s="112"/>
    </row>
    <row r="671" spans="1:4" ht="12.75" customHeight="1">
      <c r="A671" s="112"/>
      <c r="B671" s="112"/>
      <c r="C671" s="112"/>
      <c r="D671" s="112"/>
    </row>
    <row r="672" spans="1:4" ht="12.75" customHeight="1">
      <c r="A672" s="112"/>
      <c r="B672" s="112"/>
      <c r="C672" s="112"/>
      <c r="D672" s="112"/>
    </row>
    <row r="673" spans="1:4" ht="12.75" customHeight="1">
      <c r="A673" s="112"/>
      <c r="B673" s="112"/>
      <c r="C673" s="112"/>
      <c r="D673" s="112"/>
    </row>
    <row r="674" spans="1:4" ht="12.75" customHeight="1">
      <c r="A674" s="112"/>
      <c r="B674" s="112"/>
      <c r="C674" s="112"/>
      <c r="D674" s="112"/>
    </row>
    <row r="675" spans="1:4" ht="12.75" customHeight="1">
      <c r="A675" s="112"/>
      <c r="B675" s="112"/>
      <c r="C675" s="112"/>
      <c r="D675" s="112"/>
    </row>
    <row r="676" spans="1:4" ht="12.75" customHeight="1">
      <c r="A676" s="112"/>
      <c r="B676" s="112"/>
      <c r="C676" s="112"/>
      <c r="D676" s="112"/>
    </row>
    <row r="677" spans="1:4" ht="12.75" customHeight="1">
      <c r="A677" s="112"/>
      <c r="B677" s="112"/>
      <c r="C677" s="112"/>
      <c r="D677" s="112"/>
    </row>
    <row r="678" spans="1:4" ht="12.75" customHeight="1">
      <c r="A678" s="112"/>
      <c r="B678" s="112"/>
      <c r="C678" s="112"/>
      <c r="D678" s="112"/>
    </row>
    <row r="679" spans="1:4" ht="12.75" customHeight="1">
      <c r="A679" s="112"/>
      <c r="B679" s="112"/>
      <c r="C679" s="112"/>
      <c r="D679" s="112"/>
    </row>
    <row r="680" spans="1:4" ht="12.75" customHeight="1">
      <c r="A680" s="112"/>
      <c r="B680" s="112"/>
      <c r="C680" s="112"/>
      <c r="D680" s="112"/>
    </row>
    <row r="681" spans="1:4" ht="12.75" customHeight="1">
      <c r="A681" s="112"/>
      <c r="B681" s="112"/>
      <c r="C681" s="112"/>
      <c r="D681" s="112"/>
    </row>
    <row r="682" spans="1:4" ht="12.75" customHeight="1">
      <c r="A682" s="112"/>
      <c r="B682" s="112"/>
      <c r="C682" s="112"/>
      <c r="D682" s="112"/>
    </row>
    <row r="683" spans="1:4" ht="12.75" customHeight="1">
      <c r="A683" s="112"/>
      <c r="B683" s="112"/>
      <c r="C683" s="112"/>
      <c r="D683" s="112"/>
    </row>
    <row r="684" spans="1:4" ht="12.75" customHeight="1">
      <c r="A684" s="112"/>
      <c r="B684" s="112"/>
      <c r="C684" s="112"/>
      <c r="D684" s="112"/>
    </row>
    <row r="685" spans="1:4" ht="12.75" customHeight="1">
      <c r="A685" s="112"/>
      <c r="B685" s="112"/>
      <c r="C685" s="112"/>
      <c r="D685" s="112"/>
    </row>
    <row r="686" spans="1:4" ht="12.75" customHeight="1">
      <c r="A686" s="112"/>
      <c r="B686" s="112"/>
      <c r="C686" s="112"/>
      <c r="D686" s="112"/>
    </row>
    <row r="687" spans="1:4" ht="12.75" customHeight="1">
      <c r="A687" s="112"/>
      <c r="B687" s="112"/>
      <c r="C687" s="112"/>
      <c r="D687" s="112"/>
    </row>
    <row r="688" spans="1:4" ht="12.75" customHeight="1">
      <c r="A688" s="112"/>
      <c r="B688" s="112"/>
      <c r="C688" s="112"/>
      <c r="D688" s="112"/>
    </row>
    <row r="689" spans="1:4" ht="12.75" customHeight="1">
      <c r="A689" s="112"/>
      <c r="B689" s="112"/>
      <c r="C689" s="112"/>
      <c r="D689" s="112"/>
    </row>
    <row r="690" spans="1:4" ht="12.75" customHeight="1">
      <c r="A690" s="112"/>
      <c r="B690" s="112"/>
      <c r="C690" s="112"/>
      <c r="D690" s="112"/>
    </row>
    <row r="691" spans="1:4" ht="12.75" customHeight="1">
      <c r="A691" s="112"/>
      <c r="B691" s="112"/>
      <c r="C691" s="112"/>
      <c r="D691" s="112"/>
    </row>
    <row r="692" spans="1:4" ht="12.75" customHeight="1">
      <c r="A692" s="112"/>
      <c r="B692" s="112"/>
      <c r="C692" s="112"/>
      <c r="D692" s="112"/>
    </row>
    <row r="693" spans="1:4" ht="12.75" customHeight="1">
      <c r="A693" s="112"/>
      <c r="B693" s="112"/>
      <c r="C693" s="112"/>
      <c r="D693" s="112"/>
    </row>
    <row r="694" spans="1:4" ht="12.75" customHeight="1">
      <c r="A694" s="112"/>
      <c r="B694" s="112"/>
      <c r="C694" s="112"/>
      <c r="D694" s="112"/>
    </row>
    <row r="695" spans="1:4" ht="12.75" customHeight="1">
      <c r="A695" s="112"/>
      <c r="B695" s="112"/>
      <c r="C695" s="112"/>
      <c r="D695" s="112"/>
    </row>
    <row r="696" spans="1:4" ht="12.75" customHeight="1">
      <c r="A696" s="112"/>
      <c r="B696" s="112"/>
      <c r="C696" s="112"/>
      <c r="D696" s="112"/>
    </row>
    <row r="697" spans="1:4" ht="12.75" customHeight="1">
      <c r="A697" s="112"/>
      <c r="B697" s="112"/>
      <c r="C697" s="112"/>
      <c r="D697" s="112"/>
    </row>
    <row r="698" spans="1:4" ht="12.75" customHeight="1">
      <c r="A698" s="112"/>
      <c r="B698" s="112"/>
      <c r="C698" s="112"/>
      <c r="D698" s="112"/>
    </row>
    <row r="699" spans="1:4" ht="12.75" customHeight="1">
      <c r="A699" s="112"/>
      <c r="B699" s="112"/>
      <c r="C699" s="112"/>
      <c r="D699" s="112"/>
    </row>
    <row r="700" spans="1:4" ht="12.75" customHeight="1">
      <c r="A700" s="112"/>
      <c r="B700" s="112"/>
      <c r="C700" s="112"/>
      <c r="D700" s="112"/>
    </row>
    <row r="701" spans="1:4" ht="12.75" customHeight="1">
      <c r="A701" s="112"/>
      <c r="B701" s="112"/>
      <c r="C701" s="112"/>
      <c r="D701" s="112"/>
    </row>
    <row r="702" spans="1:4" ht="12.75" customHeight="1">
      <c r="A702" s="112"/>
      <c r="B702" s="112"/>
      <c r="C702" s="112"/>
      <c r="D702" s="112"/>
    </row>
    <row r="703" spans="1:4" ht="12.75" customHeight="1">
      <c r="A703" s="112"/>
      <c r="B703" s="112"/>
      <c r="C703" s="112"/>
      <c r="D703" s="112"/>
    </row>
    <row r="704" spans="1:4" ht="12.75" customHeight="1">
      <c r="A704" s="112"/>
      <c r="B704" s="112"/>
      <c r="C704" s="112"/>
      <c r="D704" s="112"/>
    </row>
    <row r="705" spans="1:4" ht="12.75" customHeight="1">
      <c r="A705" s="112"/>
      <c r="B705" s="112"/>
      <c r="C705" s="112"/>
      <c r="D705" s="112"/>
    </row>
    <row r="706" spans="1:4" ht="12.75" customHeight="1">
      <c r="A706" s="112"/>
      <c r="B706" s="112"/>
      <c r="C706" s="112"/>
      <c r="D706" s="112"/>
    </row>
    <row r="707" spans="1:4" ht="12.75" customHeight="1">
      <c r="A707" s="112"/>
      <c r="B707" s="112"/>
      <c r="C707" s="112"/>
      <c r="D707" s="112"/>
    </row>
    <row r="708" spans="1:4" ht="12.75" customHeight="1">
      <c r="A708" s="112"/>
      <c r="B708" s="112"/>
      <c r="C708" s="112"/>
      <c r="D708" s="112"/>
    </row>
    <row r="709" spans="1:4" ht="12.75" customHeight="1">
      <c r="A709" s="112"/>
      <c r="B709" s="112"/>
      <c r="C709" s="112"/>
      <c r="D709" s="112"/>
    </row>
    <row r="710" spans="1:4" ht="12.75" customHeight="1">
      <c r="A710" s="112"/>
      <c r="B710" s="112"/>
      <c r="C710" s="112"/>
      <c r="D710" s="112"/>
    </row>
    <row r="711" spans="1:4" ht="12.75" customHeight="1">
      <c r="A711" s="112"/>
      <c r="B711" s="112"/>
      <c r="C711" s="112"/>
      <c r="D711" s="112"/>
    </row>
    <row r="712" spans="1:4" ht="12.75" customHeight="1">
      <c r="A712" s="112"/>
      <c r="B712" s="112"/>
      <c r="C712" s="112"/>
      <c r="D712" s="112"/>
    </row>
    <row r="713" spans="1:4" ht="12.75" customHeight="1">
      <c r="A713" s="112"/>
      <c r="B713" s="112"/>
      <c r="C713" s="112"/>
      <c r="D713" s="112"/>
    </row>
    <row r="714" spans="1:4" ht="12.75" customHeight="1">
      <c r="A714" s="112"/>
      <c r="B714" s="112"/>
      <c r="C714" s="112"/>
      <c r="D714" s="112"/>
    </row>
    <row r="715" spans="1:4" ht="12.75" customHeight="1">
      <c r="A715" s="112"/>
      <c r="B715" s="112"/>
      <c r="C715" s="112"/>
      <c r="D715" s="112"/>
    </row>
    <row r="716" spans="1:4" ht="12.75" customHeight="1">
      <c r="A716" s="112"/>
      <c r="B716" s="112"/>
      <c r="C716" s="112"/>
      <c r="D716" s="112"/>
    </row>
    <row r="717" spans="1:4" ht="12.75" customHeight="1">
      <c r="A717" s="112"/>
      <c r="B717" s="112"/>
      <c r="C717" s="112"/>
      <c r="D717" s="112"/>
    </row>
    <row r="718" spans="1:4" ht="12.75" customHeight="1">
      <c r="A718" s="112"/>
      <c r="B718" s="112"/>
      <c r="C718" s="112"/>
      <c r="D718" s="112"/>
    </row>
    <row r="719" spans="1:4" ht="12.75" customHeight="1">
      <c r="A719" s="112"/>
      <c r="B719" s="112"/>
      <c r="C719" s="112"/>
      <c r="D719" s="112"/>
    </row>
    <row r="720" spans="1:4" ht="12.75" customHeight="1">
      <c r="A720" s="112"/>
      <c r="B720" s="112"/>
      <c r="C720" s="112"/>
      <c r="D720" s="112"/>
    </row>
    <row r="721" spans="1:4" ht="12.75" customHeight="1">
      <c r="A721" s="112"/>
      <c r="B721" s="112"/>
      <c r="C721" s="112"/>
      <c r="D721" s="112"/>
    </row>
    <row r="722" spans="1:4" ht="12.75" customHeight="1">
      <c r="A722" s="112"/>
      <c r="B722" s="112"/>
      <c r="C722" s="112"/>
      <c r="D722" s="112"/>
    </row>
    <row r="723" spans="1:4" ht="12.75" customHeight="1">
      <c r="A723" s="112"/>
      <c r="B723" s="112"/>
      <c r="C723" s="112"/>
      <c r="D723" s="112"/>
    </row>
    <row r="724" spans="1:4" ht="12.75" customHeight="1">
      <c r="A724" s="112"/>
      <c r="B724" s="112"/>
      <c r="C724" s="112"/>
      <c r="D724" s="112"/>
    </row>
    <row r="725" spans="1:4" ht="12.75" customHeight="1">
      <c r="A725" s="112"/>
      <c r="B725" s="112"/>
      <c r="C725" s="112"/>
      <c r="D725" s="112"/>
    </row>
    <row r="726" spans="1:4" ht="12.75" customHeight="1">
      <c r="A726" s="112"/>
      <c r="B726" s="112"/>
      <c r="C726" s="112"/>
      <c r="D726" s="112"/>
    </row>
    <row r="727" spans="1:4" ht="12.75" customHeight="1">
      <c r="A727" s="112"/>
      <c r="B727" s="112"/>
      <c r="C727" s="112"/>
      <c r="D727" s="112"/>
    </row>
    <row r="728" spans="1:4" ht="12.75" customHeight="1">
      <c r="A728" s="112"/>
      <c r="B728" s="112"/>
      <c r="C728" s="112"/>
      <c r="D728" s="112"/>
    </row>
    <row r="729" spans="1:4" ht="12.75" customHeight="1">
      <c r="A729" s="112"/>
      <c r="B729" s="112"/>
      <c r="C729" s="112"/>
      <c r="D729" s="112"/>
    </row>
    <row r="730" spans="1:4" ht="12.75" customHeight="1">
      <c r="A730" s="112"/>
      <c r="B730" s="112"/>
      <c r="C730" s="112"/>
      <c r="D730" s="112"/>
    </row>
    <row r="731" spans="1:4" ht="12.75" customHeight="1">
      <c r="A731" s="112"/>
      <c r="B731" s="112"/>
      <c r="C731" s="112"/>
      <c r="D731" s="112"/>
    </row>
    <row r="732" spans="1:4" ht="12.75" customHeight="1">
      <c r="A732" s="112"/>
      <c r="B732" s="112"/>
      <c r="C732" s="112"/>
      <c r="D732" s="112"/>
    </row>
    <row r="733" spans="1:4" ht="12.75" customHeight="1">
      <c r="A733" s="112"/>
      <c r="B733" s="112"/>
      <c r="C733" s="112"/>
      <c r="D733" s="112"/>
    </row>
    <row r="734" spans="1:4" ht="12.75" customHeight="1">
      <c r="A734" s="112"/>
      <c r="B734" s="112"/>
      <c r="C734" s="112"/>
      <c r="D734" s="112"/>
    </row>
    <row r="735" spans="1:4" ht="12.75" customHeight="1">
      <c r="A735" s="112"/>
      <c r="B735" s="112"/>
      <c r="C735" s="112"/>
      <c r="D735" s="112"/>
    </row>
    <row r="736" spans="1:4" ht="12.75" customHeight="1">
      <c r="A736" s="112"/>
      <c r="B736" s="112"/>
      <c r="C736" s="112"/>
      <c r="D736" s="112"/>
    </row>
    <row r="737" spans="1:4" ht="12.75" customHeight="1">
      <c r="A737" s="112"/>
      <c r="B737" s="112"/>
      <c r="C737" s="112"/>
      <c r="D737" s="112"/>
    </row>
    <row r="738" spans="1:4" ht="12.75" customHeight="1">
      <c r="A738" s="112"/>
      <c r="B738" s="112"/>
      <c r="C738" s="112"/>
      <c r="D738" s="112"/>
    </row>
    <row r="739" spans="1:4" ht="12.75" customHeight="1">
      <c r="A739" s="112"/>
      <c r="B739" s="112"/>
      <c r="C739" s="112"/>
      <c r="D739" s="112"/>
    </row>
    <row r="740" spans="1:4" ht="12.75" customHeight="1">
      <c r="A740" s="112"/>
      <c r="B740" s="112"/>
      <c r="C740" s="112"/>
      <c r="D740" s="112"/>
    </row>
    <row r="741" spans="1:4" ht="12.75" customHeight="1">
      <c r="A741" s="112"/>
      <c r="B741" s="112"/>
      <c r="C741" s="112"/>
      <c r="D741" s="112"/>
    </row>
    <row r="742" spans="1:4" ht="12.75" customHeight="1">
      <c r="A742" s="112"/>
      <c r="B742" s="112"/>
      <c r="C742" s="112"/>
      <c r="D742" s="112"/>
    </row>
    <row r="743" spans="1:4" ht="12.75" customHeight="1">
      <c r="A743" s="112"/>
      <c r="B743" s="112"/>
      <c r="C743" s="112"/>
      <c r="D743" s="112"/>
    </row>
    <row r="744" spans="1:4" ht="12.75" customHeight="1">
      <c r="A744" s="112"/>
      <c r="B744" s="112"/>
      <c r="C744" s="112"/>
      <c r="D744" s="112"/>
    </row>
    <row r="745" spans="1:4" ht="12.75" customHeight="1">
      <c r="A745" s="112"/>
      <c r="B745" s="112"/>
      <c r="C745" s="112"/>
      <c r="D745" s="112"/>
    </row>
    <row r="746" spans="1:4" ht="12.75" customHeight="1">
      <c r="A746" s="112"/>
      <c r="B746" s="112"/>
      <c r="C746" s="112"/>
      <c r="D746" s="112"/>
    </row>
    <row r="747" spans="1:4" ht="12.75" customHeight="1">
      <c r="A747" s="112"/>
      <c r="B747" s="112"/>
      <c r="C747" s="112"/>
      <c r="D747" s="112"/>
    </row>
    <row r="748" spans="1:4" ht="12.75" customHeight="1">
      <c r="A748" s="112"/>
      <c r="B748" s="112"/>
      <c r="C748" s="112"/>
      <c r="D748" s="112"/>
    </row>
    <row r="749" spans="1:4" ht="12.75" customHeight="1">
      <c r="A749" s="112"/>
      <c r="B749" s="112"/>
      <c r="C749" s="112"/>
      <c r="D749" s="112"/>
    </row>
    <row r="750" spans="1:4" ht="12.75" customHeight="1">
      <c r="A750" s="112"/>
      <c r="B750" s="112"/>
      <c r="C750" s="112"/>
      <c r="D750" s="112"/>
    </row>
    <row r="751" spans="1:4" ht="12.75" customHeight="1">
      <c r="A751" s="112"/>
      <c r="B751" s="112"/>
      <c r="C751" s="112"/>
      <c r="D751" s="112"/>
    </row>
    <row r="752" spans="1:4" ht="12.75" customHeight="1">
      <c r="A752" s="112"/>
      <c r="B752" s="112"/>
      <c r="C752" s="112"/>
      <c r="D752" s="112"/>
    </row>
    <row r="753" spans="1:4" ht="12.75" customHeight="1">
      <c r="A753" s="112"/>
      <c r="B753" s="112"/>
      <c r="C753" s="112"/>
      <c r="D753" s="112"/>
    </row>
    <row r="754" spans="1:4" ht="12.75" customHeight="1">
      <c r="A754" s="112"/>
      <c r="B754" s="112"/>
      <c r="C754" s="112"/>
      <c r="D754" s="112"/>
    </row>
    <row r="755" spans="1:4" ht="12.75" customHeight="1">
      <c r="A755" s="112"/>
      <c r="B755" s="112"/>
      <c r="C755" s="112"/>
      <c r="D755" s="112"/>
    </row>
    <row r="756" spans="1:4" ht="12.75" customHeight="1">
      <c r="A756" s="112"/>
      <c r="B756" s="112"/>
      <c r="C756" s="112"/>
      <c r="D756" s="112"/>
    </row>
    <row r="757" spans="1:4" ht="12.75" customHeight="1">
      <c r="A757" s="112"/>
      <c r="B757" s="112"/>
      <c r="C757" s="112"/>
      <c r="D757" s="112"/>
    </row>
    <row r="758" spans="1:4" ht="12.75" customHeight="1">
      <c r="A758" s="112"/>
      <c r="B758" s="112"/>
      <c r="C758" s="112"/>
      <c r="D758" s="112"/>
    </row>
    <row r="759" spans="1:4" ht="12.75" customHeight="1">
      <c r="A759" s="112"/>
      <c r="B759" s="112"/>
      <c r="C759" s="112"/>
      <c r="D759" s="112"/>
    </row>
    <row r="760" spans="1:4" ht="12.75" customHeight="1">
      <c r="A760" s="112"/>
      <c r="B760" s="112"/>
      <c r="C760" s="112"/>
      <c r="D760" s="112"/>
    </row>
    <row r="761" spans="1:4" ht="12.75" customHeight="1">
      <c r="A761" s="112"/>
      <c r="B761" s="112"/>
      <c r="C761" s="112"/>
      <c r="D761" s="112"/>
    </row>
    <row r="762" spans="1:4" ht="12.75" customHeight="1">
      <c r="A762" s="112"/>
      <c r="B762" s="112"/>
      <c r="C762" s="112"/>
      <c r="D762" s="112"/>
    </row>
    <row r="763" spans="1:4" ht="12.75" customHeight="1">
      <c r="A763" s="112"/>
      <c r="B763" s="112"/>
      <c r="C763" s="112"/>
      <c r="D763" s="112"/>
    </row>
    <row r="764" spans="1:4" ht="12.75" customHeight="1">
      <c r="A764" s="112"/>
      <c r="B764" s="112"/>
      <c r="C764" s="112"/>
      <c r="D764" s="112"/>
    </row>
    <row r="765" spans="1:4" ht="12.75" customHeight="1">
      <c r="A765" s="112"/>
      <c r="B765" s="112"/>
      <c r="C765" s="112"/>
      <c r="D765" s="112"/>
    </row>
    <row r="766" spans="1:4" ht="12.75" customHeight="1">
      <c r="A766" s="112"/>
      <c r="B766" s="112"/>
      <c r="C766" s="112"/>
      <c r="D766" s="112"/>
    </row>
    <row r="767" spans="1:4" ht="12.75" customHeight="1">
      <c r="A767" s="112"/>
      <c r="B767" s="112"/>
      <c r="C767" s="112"/>
      <c r="D767" s="112"/>
    </row>
    <row r="768" spans="1:4" ht="12.75" customHeight="1">
      <c r="A768" s="112"/>
      <c r="B768" s="112"/>
      <c r="C768" s="112"/>
      <c r="D768" s="112"/>
    </row>
    <row r="769" spans="1:4" ht="12.75" customHeight="1">
      <c r="A769" s="112"/>
      <c r="B769" s="112"/>
      <c r="C769" s="112"/>
      <c r="D769" s="112"/>
    </row>
    <row r="770" spans="1:4" ht="12.75" customHeight="1">
      <c r="A770" s="112"/>
      <c r="B770" s="112"/>
      <c r="C770" s="112"/>
      <c r="D770" s="112"/>
    </row>
    <row r="771" spans="1:4" ht="12.75" customHeight="1">
      <c r="A771" s="112"/>
      <c r="B771" s="112"/>
      <c r="C771" s="112"/>
      <c r="D771" s="112"/>
    </row>
    <row r="772" spans="1:4" ht="12.75" customHeight="1">
      <c r="A772" s="112"/>
      <c r="B772" s="112"/>
      <c r="C772" s="112"/>
      <c r="D772" s="112"/>
    </row>
    <row r="773" spans="1:4" ht="12.75" customHeight="1">
      <c r="A773" s="112"/>
      <c r="B773" s="112"/>
      <c r="C773" s="112"/>
      <c r="D773" s="112"/>
    </row>
    <row r="774" spans="1:4" ht="12.75" customHeight="1">
      <c r="A774" s="112"/>
      <c r="B774" s="112"/>
      <c r="C774" s="112"/>
      <c r="D774" s="112"/>
    </row>
    <row r="775" spans="1:4" ht="12.75" customHeight="1">
      <c r="A775" s="112"/>
      <c r="B775" s="112"/>
      <c r="C775" s="112"/>
      <c r="D775" s="112"/>
    </row>
    <row r="776" spans="1:4" ht="12.75" customHeight="1">
      <c r="A776" s="112"/>
      <c r="B776" s="112"/>
      <c r="C776" s="112"/>
      <c r="D776" s="112"/>
    </row>
    <row r="777" spans="1:4" ht="12.75" customHeight="1">
      <c r="A777" s="112"/>
      <c r="B777" s="112"/>
      <c r="C777" s="112"/>
      <c r="D777" s="112"/>
    </row>
    <row r="778" spans="1:4" ht="12.75" customHeight="1">
      <c r="A778" s="112"/>
      <c r="B778" s="112"/>
      <c r="C778" s="112"/>
      <c r="D778" s="112"/>
    </row>
    <row r="779" spans="1:4" ht="12.75" customHeight="1">
      <c r="A779" s="112"/>
      <c r="B779" s="112"/>
      <c r="C779" s="112"/>
      <c r="D779" s="112"/>
    </row>
    <row r="780" spans="1:4" ht="12.75" customHeight="1">
      <c r="A780" s="112"/>
      <c r="B780" s="112"/>
      <c r="C780" s="112"/>
      <c r="D780" s="112"/>
    </row>
    <row r="781" spans="1:4" ht="12.75" customHeight="1">
      <c r="A781" s="112"/>
      <c r="B781" s="112"/>
      <c r="C781" s="112"/>
      <c r="D781" s="112"/>
    </row>
    <row r="782" spans="1:4" ht="12.75" customHeight="1">
      <c r="A782" s="112"/>
      <c r="B782" s="112"/>
      <c r="C782" s="112"/>
      <c r="D782" s="112"/>
    </row>
    <row r="783" spans="1:4" ht="12.75" customHeight="1">
      <c r="A783" s="112"/>
      <c r="B783" s="112"/>
      <c r="C783" s="112"/>
      <c r="D783" s="112"/>
    </row>
    <row r="784" spans="1:4" ht="12.75" customHeight="1">
      <c r="A784" s="112"/>
      <c r="B784" s="112"/>
      <c r="C784" s="112"/>
      <c r="D784" s="112"/>
    </row>
    <row r="785" spans="1:4" ht="12.75" customHeight="1">
      <c r="A785" s="112"/>
      <c r="B785" s="112"/>
      <c r="C785" s="112"/>
      <c r="D785" s="112"/>
    </row>
    <row r="786" spans="1:4" ht="12.75" customHeight="1">
      <c r="A786" s="112"/>
      <c r="B786" s="112"/>
      <c r="C786" s="112"/>
      <c r="D786" s="112"/>
    </row>
    <row r="787" spans="1:4" ht="12.75" customHeight="1">
      <c r="A787" s="112"/>
      <c r="B787" s="112"/>
      <c r="C787" s="112"/>
      <c r="D787" s="112"/>
    </row>
    <row r="788" spans="1:4" ht="12.75" customHeight="1">
      <c r="A788" s="112"/>
      <c r="B788" s="112"/>
      <c r="C788" s="112"/>
      <c r="D788" s="112"/>
    </row>
    <row r="789" spans="1:4" ht="12.75" customHeight="1">
      <c r="A789" s="112"/>
      <c r="B789" s="112"/>
      <c r="C789" s="112"/>
      <c r="D789" s="112"/>
    </row>
    <row r="790" spans="1:4" ht="12.75" customHeight="1">
      <c r="A790" s="112"/>
      <c r="B790" s="112"/>
      <c r="C790" s="112"/>
      <c r="D790" s="112"/>
    </row>
    <row r="791" spans="1:4" ht="12.75" customHeight="1">
      <c r="A791" s="112"/>
      <c r="B791" s="112"/>
      <c r="C791" s="112"/>
      <c r="D791" s="112"/>
    </row>
    <row r="792" spans="1:4" ht="12.75" customHeight="1">
      <c r="A792" s="112"/>
      <c r="B792" s="112"/>
      <c r="C792" s="112"/>
      <c r="D792" s="112"/>
    </row>
    <row r="793" spans="1:4" ht="12.75" customHeight="1">
      <c r="A793" s="112"/>
      <c r="B793" s="112"/>
      <c r="C793" s="112"/>
      <c r="D793" s="112"/>
    </row>
    <row r="794" spans="1:4" ht="12.75" customHeight="1">
      <c r="A794" s="112"/>
      <c r="B794" s="112"/>
      <c r="C794" s="112"/>
      <c r="D794" s="112"/>
    </row>
    <row r="795" spans="1:4" ht="12.75" customHeight="1">
      <c r="A795" s="112"/>
      <c r="B795" s="112"/>
      <c r="C795" s="112"/>
      <c r="D795" s="112"/>
    </row>
    <row r="796" spans="1:4" ht="12.75" customHeight="1">
      <c r="A796" s="112"/>
      <c r="B796" s="112"/>
      <c r="C796" s="112"/>
      <c r="D796" s="112"/>
    </row>
    <row r="797" spans="1:4" ht="12.75" customHeight="1">
      <c r="A797" s="112"/>
      <c r="B797" s="112"/>
      <c r="C797" s="112"/>
      <c r="D797" s="112"/>
    </row>
    <row r="798" spans="1:4" ht="12.75" customHeight="1">
      <c r="A798" s="112"/>
      <c r="B798" s="112"/>
      <c r="C798" s="112"/>
      <c r="D798" s="112"/>
    </row>
    <row r="799" spans="1:4" ht="12.75" customHeight="1">
      <c r="A799" s="112"/>
      <c r="B799" s="112"/>
      <c r="C799" s="112"/>
      <c r="D799" s="112"/>
    </row>
    <row r="800" spans="1:4" ht="12.75" customHeight="1">
      <c r="A800" s="112"/>
      <c r="B800" s="112"/>
      <c r="C800" s="112"/>
      <c r="D800" s="112"/>
    </row>
    <row r="801" spans="1:4" ht="12.75" customHeight="1">
      <c r="A801" s="112"/>
      <c r="B801" s="112"/>
      <c r="C801" s="112"/>
      <c r="D801" s="112"/>
    </row>
    <row r="802" spans="1:4" ht="12.75" customHeight="1">
      <c r="A802" s="112"/>
      <c r="B802" s="112"/>
      <c r="C802" s="112"/>
      <c r="D802" s="112"/>
    </row>
    <row r="803" spans="1:4" ht="12.75" customHeight="1">
      <c r="A803" s="112"/>
      <c r="B803" s="112"/>
      <c r="C803" s="112"/>
      <c r="D803" s="112"/>
    </row>
    <row r="804" spans="1:4" ht="12.75" customHeight="1">
      <c r="A804" s="112"/>
      <c r="B804" s="112"/>
      <c r="C804" s="112"/>
      <c r="D804" s="112"/>
    </row>
    <row r="805" spans="1:4" ht="12.75" customHeight="1">
      <c r="A805" s="112"/>
      <c r="B805" s="112"/>
      <c r="C805" s="112"/>
      <c r="D805" s="112"/>
    </row>
    <row r="806" spans="1:4" ht="12.75" customHeight="1">
      <c r="A806" s="112"/>
      <c r="B806" s="112"/>
      <c r="C806" s="112"/>
      <c r="D806" s="112"/>
    </row>
    <row r="807" spans="1:4" ht="12.75" customHeight="1">
      <c r="A807" s="112"/>
      <c r="B807" s="112"/>
      <c r="C807" s="112"/>
      <c r="D807" s="112"/>
    </row>
    <row r="808" spans="1:4" ht="12.75" customHeight="1">
      <c r="A808" s="112"/>
      <c r="B808" s="112"/>
      <c r="C808" s="112"/>
      <c r="D808" s="112"/>
    </row>
    <row r="809" spans="1:4" ht="12.75" customHeight="1">
      <c r="A809" s="112"/>
      <c r="B809" s="112"/>
      <c r="C809" s="112"/>
      <c r="D809" s="112"/>
    </row>
    <row r="810" spans="1:4" ht="12.75" customHeight="1">
      <c r="A810" s="112"/>
      <c r="B810" s="112"/>
      <c r="C810" s="112"/>
      <c r="D810" s="112"/>
    </row>
    <row r="811" spans="1:4" ht="12.75" customHeight="1">
      <c r="A811" s="112"/>
      <c r="B811" s="112"/>
      <c r="C811" s="112"/>
      <c r="D811" s="112"/>
    </row>
    <row r="812" spans="1:4" ht="12.75" customHeight="1">
      <c r="A812" s="112"/>
      <c r="B812" s="112"/>
      <c r="C812" s="112"/>
      <c r="D812" s="112"/>
    </row>
    <row r="813" spans="1:4" ht="12.75" customHeight="1">
      <c r="A813" s="112"/>
      <c r="B813" s="112"/>
      <c r="C813" s="112"/>
      <c r="D813" s="112"/>
    </row>
    <row r="814" spans="1:4" ht="12.75" customHeight="1">
      <c r="A814" s="112"/>
      <c r="B814" s="112"/>
      <c r="C814" s="112"/>
      <c r="D814" s="112"/>
    </row>
    <row r="815" spans="1:4" ht="12.75" customHeight="1">
      <c r="A815" s="112"/>
      <c r="B815" s="112"/>
      <c r="C815" s="112"/>
      <c r="D815" s="112"/>
    </row>
    <row r="816" spans="1:4" ht="12.75" customHeight="1">
      <c r="A816" s="112"/>
      <c r="B816" s="112"/>
      <c r="C816" s="112"/>
      <c r="D816" s="112"/>
    </row>
    <row r="817" spans="1:4" ht="12.75" customHeight="1">
      <c r="A817" s="112"/>
      <c r="B817" s="112"/>
      <c r="C817" s="112"/>
      <c r="D817" s="112"/>
    </row>
    <row r="818" spans="1:4" ht="12.75" customHeight="1">
      <c r="A818" s="112"/>
      <c r="B818" s="112"/>
      <c r="C818" s="112"/>
      <c r="D818" s="112"/>
    </row>
    <row r="819" spans="1:4" ht="12.75" customHeight="1">
      <c r="A819" s="112"/>
      <c r="B819" s="112"/>
      <c r="C819" s="112"/>
      <c r="D819" s="112"/>
    </row>
    <row r="820" spans="1:4" ht="12.75" customHeight="1">
      <c r="A820" s="112"/>
      <c r="B820" s="112"/>
      <c r="C820" s="112"/>
      <c r="D820" s="112"/>
    </row>
    <row r="821" spans="1:4" ht="12.75" customHeight="1">
      <c r="A821" s="112"/>
      <c r="B821" s="112"/>
      <c r="C821" s="112"/>
      <c r="D821" s="112"/>
    </row>
    <row r="822" spans="1:4" ht="12.75" customHeight="1">
      <c r="A822" s="112"/>
      <c r="B822" s="112"/>
      <c r="C822" s="112"/>
      <c r="D822" s="112"/>
    </row>
    <row r="823" spans="1:4" ht="12.75" customHeight="1">
      <c r="A823" s="112"/>
      <c r="B823" s="112"/>
      <c r="C823" s="112"/>
      <c r="D823" s="112"/>
    </row>
    <row r="824" spans="1:4" ht="12.75" customHeight="1">
      <c r="A824" s="112"/>
      <c r="B824" s="112"/>
      <c r="C824" s="112"/>
      <c r="D824" s="112"/>
    </row>
    <row r="825" spans="1:4" ht="12.75" customHeight="1">
      <c r="A825" s="112"/>
      <c r="B825" s="112"/>
      <c r="C825" s="112"/>
      <c r="D825" s="112"/>
    </row>
    <row r="826" spans="1:4" ht="12.75" customHeight="1">
      <c r="A826" s="112"/>
      <c r="B826" s="112"/>
      <c r="C826" s="112"/>
      <c r="D826" s="112"/>
    </row>
    <row r="827" spans="1:4" ht="12.75" customHeight="1">
      <c r="A827" s="112"/>
      <c r="B827" s="112"/>
      <c r="C827" s="112"/>
      <c r="D827" s="112"/>
    </row>
    <row r="828" spans="1:4" ht="12.75" customHeight="1">
      <c r="A828" s="112"/>
      <c r="B828" s="112"/>
      <c r="C828" s="112"/>
      <c r="D828" s="112"/>
    </row>
    <row r="829" spans="1:4" ht="12.75" customHeight="1">
      <c r="A829" s="112"/>
      <c r="B829" s="112"/>
      <c r="C829" s="112"/>
      <c r="D829" s="112"/>
    </row>
    <row r="830" spans="1:4" ht="12.75" customHeight="1">
      <c r="A830" s="112"/>
      <c r="B830" s="112"/>
      <c r="C830" s="112"/>
      <c r="D830" s="112"/>
    </row>
    <row r="831" spans="1:4" ht="12.75" customHeight="1">
      <c r="A831" s="112"/>
      <c r="B831" s="112"/>
      <c r="C831" s="112"/>
      <c r="D831" s="112"/>
    </row>
    <row r="832" spans="1:4" ht="12.75" customHeight="1">
      <c r="A832" s="112"/>
      <c r="B832" s="112"/>
      <c r="C832" s="112"/>
      <c r="D832" s="112"/>
    </row>
    <row r="833" spans="1:4" ht="12.75" customHeight="1">
      <c r="A833" s="112"/>
      <c r="B833" s="112"/>
      <c r="C833" s="112"/>
      <c r="D833" s="112"/>
    </row>
    <row r="834" spans="1:4" ht="12.75" customHeight="1">
      <c r="A834" s="112"/>
      <c r="B834" s="112"/>
      <c r="C834" s="112"/>
      <c r="D834" s="112"/>
    </row>
    <row r="835" spans="1:4" ht="12.75" customHeight="1">
      <c r="A835" s="112"/>
      <c r="B835" s="112"/>
      <c r="C835" s="112"/>
      <c r="D835" s="112"/>
    </row>
    <row r="836" spans="1:4" ht="12.75" customHeight="1">
      <c r="A836" s="112"/>
      <c r="B836" s="112"/>
      <c r="C836" s="112"/>
      <c r="D836" s="112"/>
    </row>
    <row r="837" spans="1:4" ht="12.75" customHeight="1">
      <c r="A837" s="112"/>
      <c r="B837" s="112"/>
      <c r="C837" s="112"/>
      <c r="D837" s="112"/>
    </row>
    <row r="838" spans="1:4" ht="12.75" customHeight="1">
      <c r="A838" s="112"/>
      <c r="B838" s="112"/>
      <c r="C838" s="112"/>
      <c r="D838" s="112"/>
    </row>
    <row r="839" spans="1:4" ht="12.75" customHeight="1">
      <c r="A839" s="112"/>
      <c r="B839" s="112"/>
      <c r="C839" s="112"/>
      <c r="D839" s="112"/>
    </row>
    <row r="840" spans="1:4" ht="12.75" customHeight="1">
      <c r="A840" s="112"/>
      <c r="B840" s="112"/>
      <c r="C840" s="112"/>
      <c r="D840" s="112"/>
    </row>
    <row r="841" spans="1:4" ht="12.75" customHeight="1">
      <c r="A841" s="112"/>
      <c r="B841" s="112"/>
      <c r="C841" s="112"/>
      <c r="D841" s="112"/>
    </row>
    <row r="842" spans="1:4" ht="12.75" customHeight="1">
      <c r="A842" s="112"/>
      <c r="B842" s="112"/>
      <c r="C842" s="112"/>
      <c r="D842" s="112"/>
    </row>
    <row r="843" spans="1:4" ht="12.75" customHeight="1">
      <c r="A843" s="112"/>
      <c r="B843" s="112"/>
      <c r="C843" s="112"/>
      <c r="D843" s="112"/>
    </row>
    <row r="844" spans="1:4" ht="12.75" customHeight="1">
      <c r="A844" s="112"/>
      <c r="B844" s="112"/>
      <c r="C844" s="112"/>
      <c r="D844" s="112"/>
    </row>
    <row r="845" spans="1:4" ht="12.75" customHeight="1">
      <c r="A845" s="112"/>
      <c r="B845" s="112"/>
      <c r="C845" s="112"/>
      <c r="D845" s="112"/>
    </row>
    <row r="846" spans="1:4" ht="12.75" customHeight="1">
      <c r="A846" s="112"/>
      <c r="B846" s="112"/>
      <c r="C846" s="112"/>
      <c r="D846" s="112"/>
    </row>
    <row r="847" spans="1:4" ht="12.75" customHeight="1">
      <c r="A847" s="112"/>
      <c r="B847" s="112"/>
      <c r="C847" s="112"/>
      <c r="D847" s="112"/>
    </row>
    <row r="848" spans="1:4" ht="12.75" customHeight="1">
      <c r="A848" s="112"/>
      <c r="B848" s="112"/>
      <c r="C848" s="112"/>
      <c r="D848" s="112"/>
    </row>
    <row r="849" spans="1:4" ht="12.75" customHeight="1">
      <c r="A849" s="112"/>
      <c r="B849" s="112"/>
      <c r="C849" s="112"/>
      <c r="D849" s="112"/>
    </row>
    <row r="850" spans="1:4" ht="12.75" customHeight="1">
      <c r="A850" s="112"/>
      <c r="B850" s="112"/>
      <c r="C850" s="112"/>
      <c r="D850" s="112"/>
    </row>
    <row r="851" spans="1:4" ht="12.75" customHeight="1">
      <c r="A851" s="112"/>
      <c r="B851" s="112"/>
      <c r="C851" s="112"/>
      <c r="D851" s="112"/>
    </row>
    <row r="852" spans="1:4" ht="12.75" customHeight="1">
      <c r="A852" s="112"/>
      <c r="B852" s="112"/>
      <c r="C852" s="112"/>
      <c r="D852" s="112"/>
    </row>
    <row r="853" spans="1:4" ht="12.75" customHeight="1">
      <c r="A853" s="112"/>
      <c r="B853" s="112"/>
      <c r="C853" s="112"/>
      <c r="D853" s="112"/>
    </row>
    <row r="854" spans="1:4" ht="12.75" customHeight="1">
      <c r="A854" s="112"/>
      <c r="B854" s="112"/>
      <c r="C854" s="112"/>
      <c r="D854" s="112"/>
    </row>
    <row r="855" spans="1:4" ht="12.75" customHeight="1">
      <c r="A855" s="112"/>
      <c r="B855" s="112"/>
      <c r="C855" s="112"/>
      <c r="D855" s="112"/>
    </row>
    <row r="856" spans="1:4" ht="12.75" customHeight="1">
      <c r="A856" s="112"/>
      <c r="B856" s="112"/>
      <c r="C856" s="112"/>
      <c r="D856" s="112"/>
    </row>
    <row r="857" spans="1:4" ht="12.75" customHeight="1">
      <c r="A857" s="112"/>
      <c r="B857" s="112"/>
      <c r="C857" s="112"/>
      <c r="D857" s="112"/>
    </row>
    <row r="858" spans="1:4" ht="12.75" customHeight="1">
      <c r="A858" s="112"/>
      <c r="B858" s="112"/>
      <c r="C858" s="112"/>
      <c r="D858" s="112"/>
    </row>
    <row r="859" spans="1:4" ht="12.75" customHeight="1">
      <c r="A859" s="112"/>
      <c r="B859" s="112"/>
      <c r="C859" s="112"/>
      <c r="D859" s="112"/>
    </row>
    <row r="860" spans="1:4" ht="12.75" customHeight="1">
      <c r="A860" s="112"/>
      <c r="B860" s="112"/>
      <c r="C860" s="112"/>
      <c r="D860" s="112"/>
    </row>
    <row r="861" spans="1:4" ht="12.75" customHeight="1">
      <c r="A861" s="112"/>
      <c r="B861" s="112"/>
      <c r="C861" s="112"/>
      <c r="D861" s="112"/>
    </row>
    <row r="862" spans="1:4" ht="12.75" customHeight="1">
      <c r="A862" s="112"/>
      <c r="B862" s="112"/>
      <c r="C862" s="112"/>
      <c r="D862" s="112"/>
    </row>
    <row r="863" spans="1:4" ht="12.75" customHeight="1">
      <c r="A863" s="112"/>
      <c r="B863" s="112"/>
      <c r="C863" s="112"/>
      <c r="D863" s="112"/>
    </row>
    <row r="864" spans="1:4" ht="12.75" customHeight="1">
      <c r="A864" s="112"/>
      <c r="B864" s="112"/>
      <c r="C864" s="112"/>
      <c r="D864" s="112"/>
    </row>
    <row r="865" spans="1:4" ht="12.75" customHeight="1">
      <c r="A865" s="112"/>
      <c r="B865" s="112"/>
      <c r="C865" s="112"/>
      <c r="D865" s="112"/>
    </row>
    <row r="866" spans="1:4" ht="12.75" customHeight="1">
      <c r="A866" s="112"/>
      <c r="B866" s="112"/>
      <c r="C866" s="112"/>
      <c r="D866" s="112"/>
    </row>
    <row r="867" spans="1:4" ht="12.75" customHeight="1">
      <c r="A867" s="112"/>
      <c r="B867" s="112"/>
      <c r="C867" s="112"/>
      <c r="D867" s="112"/>
    </row>
    <row r="868" spans="1:4" ht="12.75" customHeight="1">
      <c r="A868" s="112"/>
      <c r="B868" s="112"/>
      <c r="C868" s="112"/>
      <c r="D868" s="112"/>
    </row>
    <row r="869" spans="1:4" ht="12.75" customHeight="1">
      <c r="A869" s="112"/>
      <c r="B869" s="112"/>
      <c r="C869" s="112"/>
      <c r="D869" s="112"/>
    </row>
    <row r="870" spans="1:4" ht="12.75" customHeight="1">
      <c r="A870" s="112"/>
      <c r="B870" s="112"/>
      <c r="C870" s="112"/>
      <c r="D870" s="112"/>
    </row>
    <row r="871" spans="1:4" ht="12.75" customHeight="1">
      <c r="A871" s="112"/>
      <c r="B871" s="112"/>
      <c r="C871" s="112"/>
      <c r="D871" s="112"/>
    </row>
    <row r="872" spans="1:4" ht="12.75" customHeight="1">
      <c r="A872" s="112"/>
      <c r="B872" s="112"/>
      <c r="C872" s="112"/>
      <c r="D872" s="112"/>
    </row>
    <row r="873" spans="1:4" ht="12.75" customHeight="1">
      <c r="A873" s="112"/>
      <c r="B873" s="112"/>
      <c r="C873" s="112"/>
      <c r="D873" s="112"/>
    </row>
    <row r="874" spans="1:4" ht="12.75" customHeight="1">
      <c r="A874" s="112"/>
      <c r="B874" s="112"/>
      <c r="C874" s="112"/>
      <c r="D874" s="112"/>
    </row>
    <row r="875" spans="1:4" ht="12.75" customHeight="1">
      <c r="A875" s="112"/>
      <c r="B875" s="112"/>
      <c r="C875" s="112"/>
      <c r="D875" s="112"/>
    </row>
    <row r="876" spans="1:4" ht="12.75" customHeight="1">
      <c r="A876" s="112"/>
      <c r="B876" s="112"/>
      <c r="C876" s="112"/>
      <c r="D876" s="112"/>
    </row>
    <row r="877" spans="1:4" ht="12.75" customHeight="1">
      <c r="A877" s="112"/>
      <c r="B877" s="112"/>
      <c r="C877" s="112"/>
      <c r="D877" s="112"/>
    </row>
    <row r="878" spans="1:4" ht="12.75" customHeight="1">
      <c r="A878" s="112"/>
      <c r="B878" s="112"/>
      <c r="C878" s="112"/>
      <c r="D878" s="112"/>
    </row>
    <row r="879" spans="1:4" ht="12.75" customHeight="1">
      <c r="A879" s="112"/>
      <c r="B879" s="112"/>
      <c r="C879" s="112"/>
      <c r="D879" s="112"/>
    </row>
    <row r="880" spans="1:4" ht="12.75" customHeight="1">
      <c r="A880" s="112"/>
      <c r="B880" s="112"/>
      <c r="C880" s="112"/>
      <c r="D880" s="112"/>
    </row>
    <row r="881" spans="1:4" ht="12.75" customHeight="1">
      <c r="A881" s="112"/>
      <c r="B881" s="112"/>
      <c r="C881" s="112"/>
      <c r="D881" s="112"/>
    </row>
    <row r="882" spans="1:4" ht="12.75" customHeight="1">
      <c r="A882" s="112"/>
      <c r="B882" s="112"/>
      <c r="C882" s="112"/>
      <c r="D882" s="112"/>
    </row>
    <row r="883" spans="1:4" ht="12.75" customHeight="1">
      <c r="A883" s="112"/>
      <c r="B883" s="112"/>
      <c r="C883" s="112"/>
      <c r="D883" s="112"/>
    </row>
    <row r="884" spans="1:4" ht="12.75" customHeight="1">
      <c r="A884" s="112"/>
      <c r="B884" s="112"/>
      <c r="C884" s="112"/>
      <c r="D884" s="112"/>
    </row>
    <row r="885" spans="1:4" ht="12.75" customHeight="1">
      <c r="A885" s="112"/>
      <c r="B885" s="112"/>
      <c r="C885" s="112"/>
      <c r="D885" s="112"/>
    </row>
    <row r="886" spans="1:4" ht="12.75" customHeight="1">
      <c r="A886" s="112"/>
      <c r="B886" s="112"/>
      <c r="C886" s="112"/>
      <c r="D886" s="112"/>
    </row>
    <row r="887" spans="1:4" ht="12.75" customHeight="1">
      <c r="A887" s="112"/>
      <c r="B887" s="112"/>
      <c r="C887" s="112"/>
      <c r="D887" s="112"/>
    </row>
    <row r="888" spans="1:4" ht="12.75" customHeight="1">
      <c r="A888" s="112"/>
      <c r="B888" s="112"/>
      <c r="C888" s="112"/>
      <c r="D888" s="112"/>
    </row>
    <row r="889" spans="1:4" ht="12.75" customHeight="1">
      <c r="A889" s="112"/>
      <c r="B889" s="112"/>
      <c r="C889" s="112"/>
      <c r="D889" s="112"/>
    </row>
    <row r="890" spans="1:4" ht="12.75" customHeight="1">
      <c r="A890" s="112"/>
      <c r="B890" s="112"/>
      <c r="C890" s="112"/>
      <c r="D890" s="112"/>
    </row>
    <row r="891" spans="1:4" ht="12.75" customHeight="1">
      <c r="A891" s="112"/>
      <c r="B891" s="112"/>
      <c r="C891" s="112"/>
      <c r="D891" s="112"/>
    </row>
    <row r="892" spans="1:4" ht="12.75" customHeight="1">
      <c r="A892" s="112"/>
      <c r="B892" s="112"/>
      <c r="C892" s="112"/>
      <c r="D892" s="112"/>
    </row>
    <row r="893" spans="1:4" ht="12.75" customHeight="1">
      <c r="A893" s="112"/>
      <c r="B893" s="112"/>
      <c r="C893" s="112"/>
      <c r="D893" s="112"/>
    </row>
    <row r="894" spans="1:4" ht="12.75" customHeight="1">
      <c r="A894" s="112"/>
      <c r="B894" s="112"/>
      <c r="C894" s="112"/>
      <c r="D894" s="112"/>
    </row>
    <row r="895" spans="1:4" ht="12.75" customHeight="1">
      <c r="A895" s="112"/>
      <c r="B895" s="112"/>
      <c r="C895" s="112"/>
      <c r="D895" s="112"/>
    </row>
    <row r="896" spans="1:4" ht="12.75" customHeight="1">
      <c r="A896" s="112"/>
      <c r="B896" s="112"/>
      <c r="C896" s="112"/>
      <c r="D896" s="112"/>
    </row>
    <row r="897" spans="1:4" ht="12.75" customHeight="1">
      <c r="A897" s="112"/>
      <c r="B897" s="112"/>
      <c r="C897" s="112"/>
      <c r="D897" s="112"/>
    </row>
    <row r="898" spans="1:4" ht="12.75" customHeight="1">
      <c r="A898" s="112"/>
      <c r="B898" s="112"/>
      <c r="C898" s="112"/>
      <c r="D898" s="112"/>
    </row>
    <row r="899" spans="1:4" ht="12.75" customHeight="1">
      <c r="A899" s="112"/>
      <c r="B899" s="112"/>
      <c r="C899" s="112"/>
      <c r="D899" s="112"/>
    </row>
    <row r="900" spans="1:4" ht="12.75" customHeight="1">
      <c r="A900" s="112"/>
      <c r="B900" s="112"/>
      <c r="C900" s="112"/>
      <c r="D900" s="112"/>
    </row>
    <row r="901" spans="1:4" ht="12.75" customHeight="1">
      <c r="A901" s="112"/>
      <c r="B901" s="112"/>
      <c r="C901" s="112"/>
      <c r="D901" s="112"/>
    </row>
    <row r="902" spans="1:4" ht="12.75" customHeight="1">
      <c r="A902" s="112"/>
      <c r="B902" s="112"/>
      <c r="C902" s="112"/>
      <c r="D902" s="112"/>
    </row>
    <row r="903" spans="1:4" ht="12.75" customHeight="1">
      <c r="A903" s="112"/>
      <c r="B903" s="112"/>
      <c r="C903" s="112"/>
      <c r="D903" s="112"/>
    </row>
    <row r="904" spans="1:4" ht="12.75" customHeight="1">
      <c r="A904" s="112"/>
      <c r="B904" s="112"/>
      <c r="C904" s="112"/>
      <c r="D904" s="112"/>
    </row>
    <row r="905" spans="1:4" ht="12.75" customHeight="1">
      <c r="A905" s="112"/>
      <c r="B905" s="112"/>
      <c r="C905" s="112"/>
      <c r="D905" s="112"/>
    </row>
    <row r="906" spans="1:4" ht="12.75" customHeight="1">
      <c r="A906" s="112"/>
      <c r="B906" s="112"/>
      <c r="C906" s="112"/>
      <c r="D906" s="112"/>
    </row>
    <row r="907" spans="1:4" ht="12.75" customHeight="1">
      <c r="A907" s="112"/>
      <c r="B907" s="112"/>
      <c r="C907" s="112"/>
      <c r="D907" s="112"/>
    </row>
    <row r="908" spans="1:4" ht="12.75" customHeight="1">
      <c r="A908" s="112"/>
      <c r="B908" s="112"/>
      <c r="C908" s="112"/>
      <c r="D908" s="112"/>
    </row>
    <row r="909" spans="1:4" ht="12.75" customHeight="1">
      <c r="A909" s="112"/>
      <c r="B909" s="112"/>
      <c r="C909" s="112"/>
      <c r="D909" s="112"/>
    </row>
    <row r="910" spans="1:4" ht="12.75" customHeight="1">
      <c r="A910" s="112"/>
      <c r="B910" s="112"/>
      <c r="C910" s="112"/>
      <c r="D910" s="112"/>
    </row>
    <row r="911" spans="1:4" ht="12.75" customHeight="1">
      <c r="A911" s="112"/>
      <c r="B911" s="112"/>
      <c r="C911" s="112"/>
      <c r="D911" s="112"/>
    </row>
    <row r="912" spans="1:4" ht="12.75" customHeight="1">
      <c r="A912" s="112"/>
      <c r="B912" s="112"/>
      <c r="C912" s="112"/>
      <c r="D912" s="112"/>
    </row>
    <row r="913" spans="1:4" ht="12.75" customHeight="1">
      <c r="A913" s="112"/>
      <c r="B913" s="112"/>
      <c r="C913" s="112"/>
      <c r="D913" s="112"/>
    </row>
    <row r="914" spans="1:4" ht="12.75" customHeight="1">
      <c r="A914" s="112"/>
      <c r="B914" s="112"/>
      <c r="C914" s="112"/>
      <c r="D914" s="112"/>
    </row>
    <row r="915" spans="1:4" ht="12.75" customHeight="1">
      <c r="A915" s="112"/>
      <c r="B915" s="112"/>
      <c r="C915" s="112"/>
      <c r="D915" s="112"/>
    </row>
    <row r="916" spans="1:4" ht="12.75" customHeight="1">
      <c r="A916" s="112"/>
      <c r="B916" s="112"/>
      <c r="C916" s="112"/>
      <c r="D916" s="112"/>
    </row>
    <row r="917" spans="1:4" ht="12.75" customHeight="1">
      <c r="A917" s="112"/>
      <c r="B917" s="112"/>
      <c r="C917" s="112"/>
      <c r="D917" s="112"/>
    </row>
    <row r="918" spans="1:4" ht="12.75" customHeight="1">
      <c r="A918" s="112"/>
      <c r="B918" s="112"/>
      <c r="C918" s="112"/>
      <c r="D918" s="112"/>
    </row>
    <row r="919" spans="1:4" ht="12.75" customHeight="1">
      <c r="A919" s="112"/>
      <c r="B919" s="112"/>
      <c r="C919" s="112"/>
      <c r="D919" s="112"/>
    </row>
    <row r="920" spans="1:4" ht="12.75" customHeight="1">
      <c r="A920" s="112"/>
      <c r="B920" s="112"/>
      <c r="C920" s="112"/>
      <c r="D920" s="112"/>
    </row>
    <row r="921" spans="1:4" ht="12.75" customHeight="1">
      <c r="A921" s="112"/>
      <c r="B921" s="112"/>
      <c r="C921" s="112"/>
      <c r="D921" s="112"/>
    </row>
    <row r="922" spans="1:4" ht="12.75" customHeight="1">
      <c r="A922" s="112"/>
      <c r="B922" s="112"/>
      <c r="C922" s="112"/>
      <c r="D922" s="112"/>
    </row>
    <row r="923" spans="1:4" ht="12.75" customHeight="1">
      <c r="A923" s="112"/>
      <c r="B923" s="112"/>
      <c r="C923" s="112"/>
      <c r="D923" s="112"/>
    </row>
    <row r="924" spans="1:4" ht="12.75" customHeight="1">
      <c r="A924" s="112"/>
      <c r="B924" s="112"/>
      <c r="C924" s="112"/>
      <c r="D924" s="112"/>
    </row>
    <row r="925" spans="1:4" ht="12.75" customHeight="1">
      <c r="A925" s="112"/>
      <c r="B925" s="112"/>
      <c r="C925" s="112"/>
      <c r="D925" s="112"/>
    </row>
    <row r="926" spans="1:4" ht="12.75" customHeight="1">
      <c r="A926" s="112"/>
      <c r="B926" s="112"/>
      <c r="C926" s="112"/>
      <c r="D926" s="112"/>
    </row>
    <row r="927" spans="1:4" ht="12.75" customHeight="1">
      <c r="A927" s="112"/>
      <c r="B927" s="112"/>
      <c r="C927" s="112"/>
      <c r="D927" s="112"/>
    </row>
    <row r="928" spans="1:4" ht="12.75" customHeight="1">
      <c r="A928" s="112"/>
      <c r="B928" s="112"/>
      <c r="C928" s="112"/>
      <c r="D928" s="112"/>
    </row>
    <row r="929" spans="1:4" ht="12.75" customHeight="1">
      <c r="A929" s="112"/>
      <c r="B929" s="112"/>
      <c r="C929" s="112"/>
      <c r="D929" s="112"/>
    </row>
    <row r="930" spans="1:4" ht="12.75" customHeight="1">
      <c r="A930" s="112"/>
      <c r="B930" s="112"/>
      <c r="C930" s="112"/>
      <c r="D930" s="112"/>
    </row>
    <row r="931" spans="1:4" ht="12.75" customHeight="1">
      <c r="A931" s="112"/>
      <c r="B931" s="112"/>
      <c r="C931" s="112"/>
      <c r="D931" s="112"/>
    </row>
    <row r="932" spans="1:4" ht="12.75" customHeight="1">
      <c r="A932" s="112"/>
      <c r="B932" s="112"/>
      <c r="C932" s="112"/>
      <c r="D932" s="112"/>
    </row>
    <row r="933" spans="1:4" ht="12.75" customHeight="1">
      <c r="A933" s="112"/>
      <c r="B933" s="112"/>
      <c r="C933" s="112"/>
      <c r="D933" s="112"/>
    </row>
    <row r="934" spans="1:4" ht="12.75" customHeight="1">
      <c r="A934" s="112"/>
      <c r="B934" s="112"/>
      <c r="C934" s="112"/>
      <c r="D934" s="112"/>
    </row>
    <row r="935" spans="1:4" ht="12.75" customHeight="1">
      <c r="A935" s="112"/>
      <c r="B935" s="112"/>
      <c r="C935" s="112"/>
      <c r="D935" s="112"/>
    </row>
    <row r="936" spans="1:4" ht="12.75" customHeight="1">
      <c r="A936" s="112"/>
      <c r="B936" s="112"/>
      <c r="C936" s="112"/>
      <c r="D936" s="112"/>
    </row>
    <row r="937" spans="1:4" ht="12.75" customHeight="1">
      <c r="A937" s="112"/>
      <c r="B937" s="112"/>
      <c r="C937" s="112"/>
      <c r="D937" s="112"/>
    </row>
    <row r="938" spans="1:4" ht="12.75" customHeight="1">
      <c r="A938" s="112"/>
      <c r="B938" s="112"/>
      <c r="C938" s="112"/>
      <c r="D938" s="112"/>
    </row>
    <row r="939" spans="1:4" ht="12.75" customHeight="1">
      <c r="A939" s="112"/>
      <c r="B939" s="112"/>
      <c r="C939" s="112"/>
      <c r="D939" s="112"/>
    </row>
    <row r="940" spans="1:4" ht="12.75" customHeight="1">
      <c r="A940" s="112"/>
      <c r="B940" s="112"/>
      <c r="C940" s="112"/>
      <c r="D940" s="112"/>
    </row>
    <row r="941" spans="1:4" ht="12.75" customHeight="1">
      <c r="A941" s="112"/>
      <c r="B941" s="112"/>
      <c r="C941" s="112"/>
      <c r="D941" s="112"/>
    </row>
    <row r="942" spans="1:4" ht="12.75" customHeight="1">
      <c r="A942" s="112"/>
      <c r="B942" s="112"/>
      <c r="C942" s="112"/>
      <c r="D942" s="112"/>
    </row>
    <row r="943" spans="1:4" ht="12.75" customHeight="1">
      <c r="A943" s="112"/>
      <c r="B943" s="112"/>
      <c r="C943" s="112"/>
      <c r="D943" s="112"/>
    </row>
    <row r="944" spans="1:4" ht="12.75" customHeight="1">
      <c r="A944" s="112"/>
      <c r="B944" s="112"/>
      <c r="C944" s="112"/>
      <c r="D944" s="112"/>
    </row>
    <row r="945" spans="1:4" ht="12.75" customHeight="1">
      <c r="A945" s="112"/>
      <c r="B945" s="112"/>
      <c r="C945" s="112"/>
      <c r="D945" s="112"/>
    </row>
    <row r="946" spans="1:4" ht="12.75" customHeight="1">
      <c r="A946" s="112"/>
      <c r="B946" s="112"/>
      <c r="C946" s="112"/>
      <c r="D946" s="112"/>
    </row>
    <row r="947" spans="1:4" ht="12.75" customHeight="1">
      <c r="A947" s="112"/>
      <c r="B947" s="112"/>
      <c r="C947" s="112"/>
      <c r="D947" s="112"/>
    </row>
    <row r="948" spans="1:4" ht="12.75" customHeight="1">
      <c r="A948" s="112"/>
      <c r="B948" s="112"/>
      <c r="C948" s="112"/>
      <c r="D948" s="112"/>
    </row>
    <row r="949" spans="1:4" ht="12.75" customHeight="1">
      <c r="A949" s="112"/>
      <c r="B949" s="112"/>
      <c r="C949" s="112"/>
      <c r="D949" s="112"/>
    </row>
    <row r="950" spans="1:4" ht="12.75" customHeight="1">
      <c r="A950" s="112"/>
      <c r="B950" s="112"/>
      <c r="C950" s="112"/>
      <c r="D950" s="112"/>
    </row>
    <row r="951" spans="1:4" ht="12.75" customHeight="1">
      <c r="A951" s="112"/>
      <c r="B951" s="112"/>
      <c r="C951" s="112"/>
      <c r="D951" s="112"/>
    </row>
    <row r="952" spans="1:4" ht="12.75" customHeight="1">
      <c r="A952" s="112"/>
      <c r="B952" s="112"/>
      <c r="C952" s="112"/>
      <c r="D952" s="112"/>
    </row>
    <row r="953" spans="1:4" ht="12.75" customHeight="1">
      <c r="A953" s="112"/>
      <c r="B953" s="112"/>
      <c r="C953" s="112"/>
      <c r="D953" s="112"/>
    </row>
    <row r="954" spans="1:4" ht="12.75" customHeight="1">
      <c r="A954" s="112"/>
      <c r="B954" s="112"/>
      <c r="C954" s="112"/>
      <c r="D954" s="112"/>
    </row>
    <row r="955" spans="1:4" ht="12.75" customHeight="1">
      <c r="A955" s="112"/>
      <c r="B955" s="112"/>
      <c r="C955" s="112"/>
      <c r="D955" s="112"/>
    </row>
    <row r="956" spans="1:4" ht="12.75" customHeight="1">
      <c r="A956" s="112"/>
      <c r="B956" s="112"/>
      <c r="C956" s="112"/>
      <c r="D956" s="112"/>
    </row>
    <row r="957" spans="1:4" ht="12.75" customHeight="1">
      <c r="A957" s="112"/>
      <c r="B957" s="112"/>
      <c r="C957" s="112"/>
      <c r="D957" s="112"/>
    </row>
    <row r="958" spans="1:4" ht="12.75" customHeight="1">
      <c r="A958" s="112"/>
      <c r="B958" s="112"/>
      <c r="C958" s="112"/>
      <c r="D958" s="112"/>
    </row>
    <row r="959" spans="1:4" ht="12.75" customHeight="1">
      <c r="A959" s="112"/>
      <c r="B959" s="112"/>
      <c r="C959" s="112"/>
      <c r="D959" s="112"/>
    </row>
    <row r="960" spans="1:4" ht="12.75" customHeight="1">
      <c r="A960" s="112"/>
      <c r="B960" s="112"/>
      <c r="C960" s="112"/>
      <c r="D960" s="112"/>
    </row>
    <row r="961" spans="1:4" ht="12.75" customHeight="1">
      <c r="A961" s="112"/>
      <c r="B961" s="112"/>
      <c r="C961" s="112"/>
      <c r="D961" s="112"/>
    </row>
    <row r="962" spans="1:4" ht="12.75" customHeight="1">
      <c r="A962" s="112"/>
      <c r="B962" s="112"/>
      <c r="C962" s="112"/>
      <c r="D962" s="112"/>
    </row>
    <row r="963" spans="1:4" ht="12.75" customHeight="1">
      <c r="A963" s="112"/>
      <c r="B963" s="112"/>
      <c r="C963" s="112"/>
      <c r="D963" s="112"/>
    </row>
    <row r="964" spans="1:4" ht="12.75" customHeight="1">
      <c r="A964" s="112"/>
      <c r="B964" s="112"/>
      <c r="C964" s="112"/>
      <c r="D964" s="112"/>
    </row>
    <row r="965" spans="1:4" ht="12.75" customHeight="1">
      <c r="A965" s="112"/>
      <c r="B965" s="112"/>
      <c r="C965" s="112"/>
      <c r="D965" s="112"/>
    </row>
    <row r="966" spans="1:4" ht="12.75" customHeight="1">
      <c r="A966" s="112"/>
      <c r="B966" s="112"/>
      <c r="C966" s="112"/>
      <c r="D966" s="112"/>
    </row>
    <row r="967" spans="1:4" ht="12.75" customHeight="1">
      <c r="A967" s="112"/>
      <c r="B967" s="112"/>
      <c r="C967" s="112"/>
      <c r="D967" s="112"/>
    </row>
    <row r="968" spans="1:4" ht="12.75" customHeight="1">
      <c r="A968" s="112"/>
      <c r="B968" s="112"/>
      <c r="C968" s="112"/>
      <c r="D968" s="112"/>
    </row>
    <row r="969" spans="1:4" ht="12.75" customHeight="1">
      <c r="A969" s="112"/>
      <c r="B969" s="112"/>
      <c r="C969" s="112"/>
      <c r="D969" s="112"/>
    </row>
    <row r="970" spans="1:4" ht="12.75" customHeight="1">
      <c r="A970" s="112"/>
      <c r="B970" s="112"/>
      <c r="C970" s="112"/>
      <c r="D970" s="112"/>
    </row>
    <row r="971" spans="1:4" ht="12.75" customHeight="1">
      <c r="A971" s="112"/>
      <c r="B971" s="112"/>
      <c r="C971" s="112"/>
      <c r="D971" s="112"/>
    </row>
    <row r="972" spans="1:4" ht="12.75" customHeight="1">
      <c r="A972" s="112"/>
      <c r="B972" s="112"/>
      <c r="C972" s="112"/>
      <c r="D972" s="112"/>
    </row>
    <row r="973" spans="1:4" ht="12.75" customHeight="1">
      <c r="A973" s="112"/>
      <c r="B973" s="112"/>
      <c r="C973" s="112"/>
      <c r="D973" s="112"/>
    </row>
    <row r="974" spans="1:4" ht="12.75" customHeight="1">
      <c r="A974" s="112"/>
      <c r="B974" s="112"/>
      <c r="C974" s="112"/>
      <c r="D974" s="112"/>
    </row>
    <row r="975" spans="1:4" ht="12.75" customHeight="1">
      <c r="A975" s="112"/>
      <c r="B975" s="112"/>
      <c r="C975" s="112"/>
      <c r="D975" s="112"/>
    </row>
    <row r="976" spans="1:4" ht="12.75" customHeight="1">
      <c r="A976" s="112"/>
      <c r="B976" s="112"/>
      <c r="C976" s="112"/>
      <c r="D976" s="112"/>
    </row>
    <row r="977" spans="1:4" ht="12.75" customHeight="1">
      <c r="A977" s="112"/>
      <c r="B977" s="112"/>
      <c r="C977" s="112"/>
      <c r="D977" s="112"/>
    </row>
    <row r="978" spans="1:4" ht="12.75" customHeight="1">
      <c r="A978" s="112"/>
      <c r="B978" s="112"/>
      <c r="C978" s="112"/>
      <c r="D978" s="112"/>
    </row>
    <row r="979" spans="1:4" ht="12.75" customHeight="1">
      <c r="A979" s="112"/>
      <c r="B979" s="112"/>
      <c r="C979" s="112"/>
      <c r="D979" s="112"/>
    </row>
    <row r="980" spans="1:4" ht="12.75" customHeight="1">
      <c r="A980" s="112"/>
      <c r="B980" s="112"/>
      <c r="C980" s="112"/>
      <c r="D980" s="112"/>
    </row>
    <row r="981" spans="1:4" ht="12.75" customHeight="1">
      <c r="A981" s="112"/>
      <c r="B981" s="112"/>
      <c r="C981" s="112"/>
      <c r="D981" s="112"/>
    </row>
    <row r="982" spans="1:4" ht="12.75" customHeight="1">
      <c r="A982" s="112"/>
      <c r="B982" s="112"/>
      <c r="C982" s="112"/>
      <c r="D982" s="112"/>
    </row>
    <row r="983" spans="1:4" ht="12.75" customHeight="1">
      <c r="A983" s="112"/>
      <c r="B983" s="112"/>
      <c r="C983" s="112"/>
      <c r="D983" s="112"/>
    </row>
    <row r="984" spans="1:4" ht="12.75" customHeight="1">
      <c r="A984" s="112"/>
      <c r="B984" s="112"/>
      <c r="C984" s="112"/>
      <c r="D984" s="112"/>
    </row>
    <row r="985" spans="1:4" ht="12.75" customHeight="1">
      <c r="A985" s="112"/>
      <c r="B985" s="112"/>
      <c r="C985" s="112"/>
      <c r="D985" s="112"/>
    </row>
    <row r="986" spans="1:4" ht="12.75" customHeight="1">
      <c r="A986" s="112"/>
      <c r="B986" s="112"/>
      <c r="C986" s="112"/>
      <c r="D986" s="112"/>
    </row>
    <row r="987" spans="1:4" ht="12.75" customHeight="1">
      <c r="A987" s="112"/>
      <c r="B987" s="112"/>
      <c r="C987" s="112"/>
      <c r="D987" s="112"/>
    </row>
    <row r="988" spans="1:4" ht="12.75" customHeight="1">
      <c r="A988" s="112"/>
      <c r="B988" s="112"/>
      <c r="C988" s="112"/>
      <c r="D988" s="112"/>
    </row>
    <row r="989" spans="1:4" ht="12.75" customHeight="1">
      <c r="A989" s="112"/>
      <c r="B989" s="112"/>
      <c r="C989" s="112"/>
      <c r="D989" s="112"/>
    </row>
    <row r="990" spans="1:4" ht="12.75" customHeight="1">
      <c r="A990" s="112"/>
      <c r="B990" s="112"/>
      <c r="C990" s="112"/>
      <c r="D990" s="112"/>
    </row>
    <row r="991" spans="1:4" ht="12.75" customHeight="1">
      <c r="A991" s="112"/>
      <c r="B991" s="112"/>
      <c r="C991" s="112"/>
      <c r="D991" s="112"/>
    </row>
    <row r="992" spans="1:4" ht="12.75" customHeight="1">
      <c r="A992" s="112"/>
      <c r="B992" s="112"/>
      <c r="C992" s="112"/>
      <c r="D992" s="112"/>
    </row>
    <row r="993" spans="1:4" ht="12.75" customHeight="1">
      <c r="A993" s="112"/>
      <c r="B993" s="112"/>
      <c r="C993" s="112"/>
      <c r="D993" s="112"/>
    </row>
    <row r="994" spans="1:4" ht="12.75" customHeight="1">
      <c r="A994" s="112"/>
      <c r="B994" s="112"/>
      <c r="C994" s="112"/>
      <c r="D994" s="112"/>
    </row>
    <row r="995" spans="1:4" ht="12.75" customHeight="1">
      <c r="A995" s="112"/>
      <c r="B995" s="112"/>
      <c r="C995" s="112"/>
      <c r="D995" s="112"/>
    </row>
    <row r="996" spans="1:4" ht="12.75" customHeight="1">
      <c r="A996" s="112"/>
      <c r="B996" s="112"/>
      <c r="C996" s="112"/>
      <c r="D996" s="112"/>
    </row>
    <row r="997" spans="1:4" ht="12.75" customHeight="1">
      <c r="A997" s="112"/>
      <c r="B997" s="112"/>
      <c r="C997" s="112"/>
      <c r="D997" s="112"/>
    </row>
    <row r="998" spans="1:4" ht="12.75" customHeight="1">
      <c r="A998" s="112"/>
      <c r="B998" s="112"/>
      <c r="C998" s="112"/>
      <c r="D998" s="112"/>
    </row>
    <row r="999" spans="1:4" ht="12.75" customHeight="1">
      <c r="A999" s="112"/>
      <c r="B999" s="112"/>
      <c r="C999" s="112"/>
      <c r="D999" s="112"/>
    </row>
    <row r="1000" spans="1:4" ht="12.75" customHeight="1">
      <c r="A1000" s="112"/>
      <c r="B1000" s="112"/>
      <c r="C1000" s="112"/>
      <c r="D1000" s="112"/>
    </row>
    <row r="1001" spans="1:4" ht="12.75" customHeight="1">
      <c r="A1001" s="112"/>
      <c r="B1001" s="112"/>
      <c r="C1001" s="112"/>
      <c r="D1001" s="112"/>
    </row>
    <row r="1002" spans="1:4" ht="12.75" customHeight="1">
      <c r="A1002" s="112"/>
      <c r="B1002" s="112"/>
      <c r="C1002" s="112"/>
      <c r="D1002" s="112"/>
    </row>
    <row r="1003" spans="1:4" ht="12.75" customHeight="1">
      <c r="A1003" s="112"/>
      <c r="B1003" s="112"/>
      <c r="C1003" s="112"/>
      <c r="D1003" s="112"/>
    </row>
    <row r="1004" spans="1:4" ht="12.75" customHeight="1">
      <c r="A1004" s="112"/>
      <c r="B1004" s="112"/>
      <c r="C1004" s="112"/>
      <c r="D1004" s="112"/>
    </row>
    <row r="1005" spans="1:4" ht="12.75" customHeight="1">
      <c r="A1005" s="112"/>
      <c r="B1005" s="112"/>
      <c r="C1005" s="112"/>
      <c r="D1005" s="112"/>
    </row>
    <row r="1006" spans="1:4" ht="12.75" customHeight="1">
      <c r="A1006" s="112"/>
      <c r="B1006" s="112"/>
      <c r="C1006" s="112"/>
      <c r="D1006" s="112"/>
    </row>
    <row r="1007" spans="1:4" ht="12.75" customHeight="1">
      <c r="A1007" s="112"/>
      <c r="B1007" s="112"/>
      <c r="C1007" s="112"/>
      <c r="D1007" s="112"/>
    </row>
    <row r="1008" spans="1:4" ht="12.75" customHeight="1">
      <c r="A1008" s="112"/>
      <c r="B1008" s="112"/>
      <c r="C1008" s="112"/>
      <c r="D1008" s="112"/>
    </row>
    <row r="1009" spans="1:4" ht="12.75" customHeight="1">
      <c r="A1009" s="112"/>
      <c r="B1009" s="112"/>
      <c r="C1009" s="112"/>
      <c r="D1009" s="112"/>
    </row>
    <row r="1010" spans="1:4" ht="12.75" customHeight="1">
      <c r="A1010" s="112"/>
      <c r="B1010" s="112"/>
      <c r="C1010" s="112"/>
      <c r="D1010" s="112"/>
    </row>
    <row r="1011" spans="1:4" ht="12.75" customHeight="1">
      <c r="A1011" s="112"/>
      <c r="B1011" s="112"/>
      <c r="C1011" s="112"/>
      <c r="D1011" s="112"/>
    </row>
    <row r="1012" spans="1:4" ht="12.75" customHeight="1">
      <c r="A1012" s="112"/>
      <c r="B1012" s="112"/>
      <c r="C1012" s="112"/>
      <c r="D1012" s="112"/>
    </row>
    <row r="1013" spans="1:4" ht="12.75" customHeight="1">
      <c r="A1013" s="112"/>
      <c r="B1013" s="112"/>
      <c r="C1013" s="112"/>
      <c r="D1013" s="112"/>
    </row>
    <row r="1014" spans="1:4" ht="12.75" customHeight="1">
      <c r="A1014" s="112"/>
      <c r="B1014" s="112"/>
      <c r="C1014" s="112"/>
      <c r="D1014" s="112"/>
    </row>
    <row r="1015" spans="1:4" ht="12.75" customHeight="1">
      <c r="A1015" s="112"/>
      <c r="B1015" s="112"/>
      <c r="C1015" s="112"/>
      <c r="D1015" s="112"/>
    </row>
    <row r="1016" spans="1:4" ht="12.75" customHeight="1">
      <c r="A1016" s="112"/>
      <c r="B1016" s="112"/>
      <c r="C1016" s="112"/>
      <c r="D1016" s="112"/>
    </row>
  </sheetData>
  <mergeCells count="3">
    <mergeCell ref="A6:D6"/>
    <mergeCell ref="A8:D8"/>
    <mergeCell ref="A13:D13"/>
  </mergeCell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C2F7-E137-43B1-9A66-BD8D3DE22F4A}">
  <dimension ref="A1:D1001"/>
  <sheetViews>
    <sheetView zoomScaleNormal="100" workbookViewId="0"/>
  </sheetViews>
  <sheetFormatPr defaultColWidth="14.42578125" defaultRowHeight="15" customHeight="1"/>
  <cols>
    <col min="1" max="1" width="28.140625" style="51" customWidth="1"/>
    <col min="2" max="2" width="33.85546875" style="51" customWidth="1"/>
    <col min="3" max="3" width="35.140625" style="51" customWidth="1"/>
    <col min="4" max="4" width="33.140625" style="51" customWidth="1"/>
    <col min="5" max="26" width="8.5703125" style="51" customWidth="1"/>
    <col min="27" max="16384" width="14.42578125" style="51"/>
  </cols>
  <sheetData>
    <row r="1" spans="1:4" s="50" customFormat="1" ht="15" customHeight="1">
      <c r="A1" s="73"/>
      <c r="B1" s="73"/>
      <c r="C1" s="73"/>
    </row>
    <row r="2" spans="1:4" ht="15" customHeight="1">
      <c r="A2" s="74"/>
      <c r="B2" s="74"/>
      <c r="C2" s="74"/>
    </row>
    <row r="3" spans="1:4" ht="15" customHeight="1">
      <c r="A3" s="74"/>
      <c r="B3" s="74"/>
      <c r="C3" s="74"/>
    </row>
    <row r="4" spans="1:4" ht="15" customHeight="1">
      <c r="A4" s="74"/>
      <c r="B4" s="74"/>
      <c r="C4" s="74"/>
    </row>
    <row r="5" spans="1:4" ht="15" customHeight="1">
      <c r="A5" s="74"/>
      <c r="B5" s="74"/>
      <c r="C5" s="74"/>
    </row>
    <row r="6" spans="1:4" s="53" customFormat="1" ht="31.5" customHeight="1">
      <c r="A6" s="74"/>
      <c r="B6" s="74"/>
      <c r="C6" s="74"/>
      <c r="D6" s="54"/>
    </row>
    <row r="7" spans="1:4" ht="22.5" customHeight="1">
      <c r="A7" s="75" t="s">
        <v>97</v>
      </c>
      <c r="B7" s="74"/>
      <c r="C7" s="74"/>
      <c r="D7" s="52"/>
    </row>
    <row r="8" spans="1:4" ht="29.25" customHeight="1">
      <c r="A8" s="214" t="s">
        <v>138</v>
      </c>
      <c r="B8" s="214"/>
      <c r="C8" s="214"/>
      <c r="D8" s="52"/>
    </row>
    <row r="9" spans="1:4" ht="20.100000000000001" customHeight="1">
      <c r="A9" s="49"/>
      <c r="B9" s="55"/>
      <c r="C9" s="55"/>
      <c r="D9" s="52"/>
    </row>
    <row r="10" spans="1:4" ht="12.75" customHeight="1">
      <c r="A10" s="56" t="s">
        <v>98</v>
      </c>
      <c r="B10" s="56" t="s">
        <v>99</v>
      </c>
      <c r="C10" s="56" t="s">
        <v>100</v>
      </c>
      <c r="D10" s="52"/>
    </row>
    <row r="11" spans="1:4" ht="17.100000000000001" customHeight="1">
      <c r="A11" s="57" t="s">
        <v>101</v>
      </c>
      <c r="B11" s="57" t="s">
        <v>102</v>
      </c>
      <c r="C11" s="57" t="s">
        <v>103</v>
      </c>
      <c r="D11" s="52"/>
    </row>
    <row r="12" spans="1:4" ht="17.100000000000001" customHeight="1">
      <c r="A12" s="57" t="s">
        <v>104</v>
      </c>
      <c r="B12" s="57" t="s">
        <v>105</v>
      </c>
      <c r="C12" s="57" t="s">
        <v>106</v>
      </c>
      <c r="D12" s="52"/>
    </row>
    <row r="13" spans="1:4" ht="17.100000000000001" customHeight="1">
      <c r="A13" s="57" t="s">
        <v>107</v>
      </c>
      <c r="B13" s="57" t="s">
        <v>102</v>
      </c>
      <c r="C13" s="57" t="s">
        <v>106</v>
      </c>
      <c r="D13" s="52"/>
    </row>
    <row r="14" spans="1:4" ht="17.100000000000001" customHeight="1">
      <c r="A14" s="57" t="s">
        <v>127</v>
      </c>
      <c r="B14" s="57" t="s">
        <v>124</v>
      </c>
      <c r="C14" s="57" t="s">
        <v>108</v>
      </c>
      <c r="D14" s="52"/>
    </row>
    <row r="15" spans="1:4" ht="17.100000000000001" customHeight="1">
      <c r="A15" s="57" t="s">
        <v>125</v>
      </c>
      <c r="B15" s="57" t="s">
        <v>126</v>
      </c>
      <c r="C15" s="57" t="s">
        <v>109</v>
      </c>
      <c r="D15" s="99"/>
    </row>
    <row r="16" spans="1:4" ht="17.100000000000001" customHeight="1">
      <c r="A16" s="57" t="s">
        <v>197</v>
      </c>
      <c r="B16" s="57" t="s">
        <v>201</v>
      </c>
      <c r="C16" s="57" t="s">
        <v>110</v>
      </c>
      <c r="D16" s="99"/>
    </row>
    <row r="17" spans="1:4" ht="17.100000000000001" customHeight="1">
      <c r="A17" s="57" t="s">
        <v>198</v>
      </c>
      <c r="B17" s="57" t="s">
        <v>201</v>
      </c>
      <c r="C17" s="57" t="s">
        <v>110</v>
      </c>
      <c r="D17" s="99"/>
    </row>
    <row r="18" spans="1:4" ht="17.100000000000001" customHeight="1">
      <c r="A18" s="57" t="s">
        <v>199</v>
      </c>
      <c r="B18" s="57" t="s">
        <v>201</v>
      </c>
      <c r="C18" s="57" t="s">
        <v>110</v>
      </c>
      <c r="D18" s="99"/>
    </row>
    <row r="19" spans="1:4" ht="17.100000000000001" customHeight="1">
      <c r="A19" s="57" t="s">
        <v>200</v>
      </c>
      <c r="B19" s="57" t="s">
        <v>201</v>
      </c>
      <c r="C19" s="57" t="s">
        <v>110</v>
      </c>
      <c r="D19" s="99"/>
    </row>
    <row r="20" spans="1:4" ht="17.100000000000001" customHeight="1">
      <c r="A20" s="57" t="s">
        <v>202</v>
      </c>
      <c r="B20" s="57" t="s">
        <v>201</v>
      </c>
      <c r="C20" s="57" t="s">
        <v>110</v>
      </c>
      <c r="D20" s="52"/>
    </row>
    <row r="21" spans="1:4" ht="17.100000000000001" customHeight="1">
      <c r="A21" s="57" t="s">
        <v>203</v>
      </c>
      <c r="B21" s="57" t="s">
        <v>201</v>
      </c>
      <c r="C21" s="57" t="s">
        <v>110</v>
      </c>
      <c r="D21" s="52"/>
    </row>
    <row r="22" spans="1:4" ht="17.100000000000001" customHeight="1">
      <c r="A22" s="57" t="s">
        <v>204</v>
      </c>
      <c r="B22" s="57" t="s">
        <v>201</v>
      </c>
      <c r="C22" s="57" t="s">
        <v>110</v>
      </c>
      <c r="D22" s="52"/>
    </row>
    <row r="23" spans="1:4" ht="17.100000000000001" customHeight="1">
      <c r="A23" s="57" t="s">
        <v>212</v>
      </c>
      <c r="B23" s="57" t="s">
        <v>124</v>
      </c>
      <c r="C23" s="57" t="s">
        <v>110</v>
      </c>
      <c r="D23" s="52"/>
    </row>
    <row r="24" spans="1:4" ht="17.100000000000001" customHeight="1">
      <c r="A24" s="57" t="s">
        <v>210</v>
      </c>
      <c r="B24" s="123" t="s">
        <v>211</v>
      </c>
      <c r="C24" s="57" t="s">
        <v>110</v>
      </c>
      <c r="D24" s="52"/>
    </row>
    <row r="25" spans="1:4" ht="12.75" customHeight="1">
      <c r="A25" s="124"/>
      <c r="B25" s="124"/>
      <c r="C25" s="124"/>
      <c r="D25" s="52"/>
    </row>
    <row r="26" spans="1:4" ht="12.75" customHeight="1">
      <c r="A26" s="125" t="s">
        <v>111</v>
      </c>
      <c r="B26" s="124"/>
      <c r="C26" s="124"/>
      <c r="D26" s="52"/>
    </row>
    <row r="27" spans="1:4" ht="12.75" customHeight="1">
      <c r="A27" s="126"/>
      <c r="B27" s="127"/>
      <c r="C27" s="127"/>
      <c r="D27" s="52"/>
    </row>
    <row r="28" spans="1:4" ht="12.75" customHeight="1">
      <c r="A28" s="127"/>
      <c r="B28" s="127"/>
      <c r="C28" s="127"/>
      <c r="D28" s="52"/>
    </row>
    <row r="29" spans="1:4" ht="12.75" customHeight="1">
      <c r="A29" s="127"/>
      <c r="B29" s="127"/>
      <c r="C29" s="127"/>
      <c r="D29" s="52"/>
    </row>
    <row r="30" spans="1:4" ht="12.75" customHeight="1">
      <c r="A30" s="127"/>
      <c r="B30" s="127"/>
      <c r="C30" s="127"/>
      <c r="D30" s="52"/>
    </row>
    <row r="31" spans="1:4" ht="12.75" customHeight="1">
      <c r="A31" s="127"/>
      <c r="B31" s="127"/>
      <c r="C31" s="127"/>
      <c r="D31" s="52"/>
    </row>
    <row r="32" spans="1:4" ht="12.75" customHeight="1">
      <c r="A32" s="52"/>
      <c r="B32" s="52"/>
      <c r="C32" s="52"/>
      <c r="D32" s="52"/>
    </row>
    <row r="33" spans="1:4" ht="12.75" customHeight="1">
      <c r="A33" s="52"/>
      <c r="B33" s="52"/>
      <c r="C33" s="52"/>
      <c r="D33" s="52"/>
    </row>
    <row r="34" spans="1:4" ht="12.75" customHeight="1">
      <c r="A34" s="52"/>
      <c r="B34" s="52"/>
      <c r="C34" s="52"/>
      <c r="D34" s="52"/>
    </row>
    <row r="35" spans="1:4" ht="12.75" customHeight="1">
      <c r="A35" s="52"/>
      <c r="B35" s="52"/>
      <c r="C35" s="52"/>
      <c r="D35" s="52"/>
    </row>
    <row r="36" spans="1:4" ht="12.75" customHeight="1">
      <c r="A36" s="52"/>
      <c r="B36" s="52"/>
      <c r="C36" s="52"/>
      <c r="D36" s="52"/>
    </row>
    <row r="37" spans="1:4" ht="12.75" customHeight="1">
      <c r="A37" s="52"/>
      <c r="B37" s="52"/>
      <c r="C37" s="52"/>
      <c r="D37" s="52"/>
    </row>
    <row r="38" spans="1:4" ht="12.75" customHeight="1">
      <c r="A38" s="52"/>
      <c r="B38" s="52"/>
      <c r="C38" s="52"/>
      <c r="D38" s="52"/>
    </row>
    <row r="39" spans="1:4" ht="12.75" customHeight="1">
      <c r="A39" s="37" t="s">
        <v>217</v>
      </c>
      <c r="B39" s="52"/>
      <c r="C39" s="52"/>
      <c r="D39" s="52"/>
    </row>
    <row r="40" spans="1:4" ht="12.75" customHeight="1">
      <c r="A40" s="52"/>
      <c r="B40" s="52"/>
      <c r="C40" s="52"/>
      <c r="D40" s="52"/>
    </row>
    <row r="41" spans="1:4" ht="12.75" customHeight="1">
      <c r="A41" s="52"/>
      <c r="B41" s="52"/>
      <c r="C41" s="52"/>
      <c r="D41" s="52"/>
    </row>
    <row r="42" spans="1:4" ht="12.75" customHeight="1">
      <c r="A42" s="52"/>
      <c r="B42" s="52"/>
      <c r="C42" s="52"/>
      <c r="D42" s="52"/>
    </row>
    <row r="43" spans="1:4" ht="12.75" customHeight="1">
      <c r="A43" s="52"/>
      <c r="B43" s="52"/>
      <c r="C43" s="52"/>
      <c r="D43" s="52"/>
    </row>
    <row r="44" spans="1:4" ht="12.75" customHeight="1">
      <c r="A44" s="52"/>
      <c r="B44" s="52"/>
      <c r="C44" s="52"/>
      <c r="D44" s="52"/>
    </row>
    <row r="45" spans="1:4" ht="12.75" customHeight="1">
      <c r="A45" s="52"/>
      <c r="B45" s="52"/>
      <c r="C45" s="52"/>
      <c r="D45" s="52"/>
    </row>
    <row r="46" spans="1:4" ht="12.75" customHeight="1">
      <c r="A46" s="52"/>
      <c r="B46" s="52"/>
      <c r="C46" s="52"/>
      <c r="D46" s="52"/>
    </row>
    <row r="47" spans="1:4" ht="12.75" customHeight="1">
      <c r="A47" s="52"/>
      <c r="B47" s="52"/>
      <c r="C47" s="52"/>
      <c r="D47" s="52"/>
    </row>
    <row r="48" spans="1:4" ht="12.75" customHeight="1">
      <c r="A48" s="52"/>
      <c r="B48" s="52"/>
      <c r="C48" s="52"/>
      <c r="D48" s="52"/>
    </row>
    <row r="49" spans="1:4" ht="12.75" customHeight="1">
      <c r="A49" s="52"/>
      <c r="B49" s="52"/>
      <c r="C49" s="52"/>
      <c r="D49" s="52"/>
    </row>
    <row r="50" spans="1:4" ht="12.75" customHeight="1">
      <c r="A50" s="52"/>
      <c r="B50" s="52"/>
      <c r="C50" s="52"/>
      <c r="D50" s="52"/>
    </row>
    <row r="51" spans="1:4" ht="12.75" customHeight="1">
      <c r="A51" s="52"/>
      <c r="B51" s="52"/>
      <c r="C51" s="52"/>
      <c r="D51" s="52"/>
    </row>
    <row r="52" spans="1:4" ht="12.75" customHeight="1">
      <c r="A52" s="52"/>
      <c r="B52" s="52"/>
      <c r="C52" s="52"/>
      <c r="D52" s="52"/>
    </row>
    <row r="53" spans="1:4" ht="12.75" customHeight="1">
      <c r="A53" s="52"/>
      <c r="B53" s="52"/>
      <c r="C53" s="52"/>
      <c r="D53" s="52"/>
    </row>
    <row r="54" spans="1:4" ht="12.75" customHeight="1">
      <c r="A54" s="52"/>
      <c r="B54" s="52"/>
      <c r="C54" s="52"/>
      <c r="D54" s="52"/>
    </row>
    <row r="55" spans="1:4" ht="12.75" customHeight="1">
      <c r="A55" s="52"/>
      <c r="B55" s="52"/>
      <c r="C55" s="52"/>
      <c r="D55" s="52"/>
    </row>
    <row r="56" spans="1:4" ht="12.75" customHeight="1">
      <c r="A56" s="52"/>
      <c r="B56" s="52"/>
      <c r="C56" s="52"/>
      <c r="D56" s="52"/>
    </row>
    <row r="57" spans="1:4" ht="12.75" customHeight="1">
      <c r="A57" s="52"/>
      <c r="B57" s="52"/>
      <c r="C57" s="52"/>
      <c r="D57" s="52"/>
    </row>
    <row r="58" spans="1:4" ht="12.75" customHeight="1">
      <c r="A58" s="52"/>
      <c r="B58" s="52"/>
      <c r="C58" s="52"/>
      <c r="D58" s="52"/>
    </row>
    <row r="59" spans="1:4" ht="12.75" customHeight="1">
      <c r="A59" s="52"/>
      <c r="B59" s="52"/>
      <c r="C59" s="52"/>
      <c r="D59" s="52"/>
    </row>
    <row r="60" spans="1:4" ht="12.75" customHeight="1">
      <c r="A60" s="52"/>
      <c r="B60" s="52"/>
      <c r="C60" s="52"/>
      <c r="D60" s="52"/>
    </row>
    <row r="61" spans="1:4" ht="12.75" customHeight="1">
      <c r="A61" s="52"/>
      <c r="B61" s="52"/>
      <c r="C61" s="52"/>
      <c r="D61" s="52"/>
    </row>
    <row r="62" spans="1:4" ht="12.75" customHeight="1">
      <c r="A62" s="52"/>
      <c r="B62" s="52"/>
      <c r="C62" s="52"/>
      <c r="D62" s="52"/>
    </row>
    <row r="63" spans="1:4" ht="12.75" customHeight="1">
      <c r="A63" s="52"/>
      <c r="B63" s="52"/>
      <c r="C63" s="52"/>
      <c r="D63" s="52"/>
    </row>
    <row r="64" spans="1:4" ht="12.75" customHeight="1">
      <c r="A64" s="52"/>
      <c r="B64" s="52"/>
      <c r="C64" s="52"/>
      <c r="D64" s="52"/>
    </row>
    <row r="65" spans="1:4" ht="12.75" customHeight="1">
      <c r="A65" s="52"/>
      <c r="B65" s="52"/>
      <c r="C65" s="52"/>
      <c r="D65" s="52"/>
    </row>
    <row r="66" spans="1:4" ht="12.75" customHeight="1">
      <c r="A66" s="52"/>
      <c r="B66" s="52"/>
      <c r="C66" s="52"/>
      <c r="D66" s="52"/>
    </row>
    <row r="67" spans="1:4" ht="12.75" customHeight="1">
      <c r="A67" s="52"/>
      <c r="B67" s="52"/>
      <c r="C67" s="52"/>
      <c r="D67" s="52"/>
    </row>
    <row r="68" spans="1:4" ht="12.75" customHeight="1">
      <c r="A68" s="52"/>
      <c r="B68" s="52"/>
      <c r="C68" s="52"/>
      <c r="D68" s="52"/>
    </row>
    <row r="69" spans="1:4" ht="12.75" customHeight="1">
      <c r="A69" s="52"/>
      <c r="B69" s="52"/>
      <c r="C69" s="52"/>
      <c r="D69" s="52"/>
    </row>
    <row r="70" spans="1:4" ht="12.75" customHeight="1">
      <c r="A70" s="52"/>
      <c r="B70" s="52"/>
      <c r="C70" s="52"/>
      <c r="D70" s="52"/>
    </row>
    <row r="71" spans="1:4" ht="12.75" customHeight="1">
      <c r="A71" s="52"/>
      <c r="B71" s="52"/>
      <c r="C71" s="52"/>
      <c r="D71" s="52"/>
    </row>
    <row r="72" spans="1:4" ht="12.75" customHeight="1">
      <c r="A72" s="52"/>
      <c r="B72" s="52"/>
      <c r="C72" s="52"/>
      <c r="D72" s="52"/>
    </row>
    <row r="73" spans="1:4" ht="12.75" customHeight="1">
      <c r="A73" s="52"/>
      <c r="B73" s="52"/>
      <c r="C73" s="52"/>
      <c r="D73" s="52"/>
    </row>
    <row r="74" spans="1:4" ht="12.75" customHeight="1">
      <c r="A74" s="52"/>
      <c r="B74" s="52"/>
      <c r="C74" s="52"/>
      <c r="D74" s="52"/>
    </row>
    <row r="75" spans="1:4" ht="12.75" customHeight="1">
      <c r="A75" s="52"/>
      <c r="B75" s="52"/>
      <c r="C75" s="52"/>
      <c r="D75" s="52"/>
    </row>
    <row r="76" spans="1:4" ht="12.75" customHeight="1">
      <c r="A76" s="52"/>
      <c r="B76" s="52"/>
      <c r="C76" s="52"/>
      <c r="D76" s="52"/>
    </row>
    <row r="77" spans="1:4" ht="12.75" customHeight="1">
      <c r="A77" s="52"/>
      <c r="B77" s="52"/>
      <c r="C77" s="52"/>
      <c r="D77" s="52"/>
    </row>
    <row r="78" spans="1:4" ht="12.75" customHeight="1">
      <c r="A78" s="52"/>
      <c r="B78" s="52"/>
      <c r="C78" s="52"/>
      <c r="D78" s="52"/>
    </row>
    <row r="79" spans="1:4" ht="12.75" customHeight="1">
      <c r="A79" s="52"/>
      <c r="B79" s="52"/>
      <c r="C79" s="52"/>
      <c r="D79" s="52"/>
    </row>
    <row r="80" spans="1:4" ht="12.75" customHeight="1">
      <c r="A80" s="52"/>
      <c r="B80" s="52"/>
      <c r="C80" s="52"/>
      <c r="D80" s="52"/>
    </row>
    <row r="81" spans="1:4" ht="12.75" customHeight="1">
      <c r="A81" s="52"/>
      <c r="B81" s="52"/>
      <c r="C81" s="52"/>
      <c r="D81" s="52"/>
    </row>
    <row r="82" spans="1:4" ht="12.75" customHeight="1">
      <c r="A82" s="52"/>
      <c r="B82" s="52"/>
      <c r="C82" s="52"/>
      <c r="D82" s="52"/>
    </row>
    <row r="83" spans="1:4" ht="12.75" customHeight="1">
      <c r="A83" s="52"/>
      <c r="B83" s="52"/>
      <c r="C83" s="52"/>
      <c r="D83" s="52"/>
    </row>
    <row r="84" spans="1:4" ht="12.75" customHeight="1">
      <c r="A84" s="52"/>
      <c r="B84" s="52"/>
      <c r="C84" s="52"/>
      <c r="D84" s="52"/>
    </row>
    <row r="85" spans="1:4" ht="12.75" customHeight="1">
      <c r="A85" s="52"/>
      <c r="B85" s="52"/>
      <c r="C85" s="52"/>
      <c r="D85" s="52"/>
    </row>
    <row r="86" spans="1:4" ht="12.75" customHeight="1">
      <c r="A86" s="52"/>
      <c r="B86" s="52"/>
      <c r="C86" s="52"/>
      <c r="D86" s="52"/>
    </row>
    <row r="87" spans="1:4" ht="12.75" customHeight="1">
      <c r="A87" s="52"/>
      <c r="B87" s="52"/>
      <c r="C87" s="52"/>
      <c r="D87" s="52"/>
    </row>
    <row r="88" spans="1:4" ht="12.75" customHeight="1">
      <c r="A88" s="52"/>
      <c r="B88" s="52"/>
      <c r="C88" s="52"/>
      <c r="D88" s="52"/>
    </row>
    <row r="89" spans="1:4" ht="12.75" customHeight="1">
      <c r="A89" s="52"/>
      <c r="B89" s="52"/>
      <c r="C89" s="52"/>
      <c r="D89" s="52"/>
    </row>
    <row r="90" spans="1:4" ht="12.75" customHeight="1">
      <c r="A90" s="52"/>
      <c r="B90" s="52"/>
      <c r="C90" s="52"/>
      <c r="D90" s="52"/>
    </row>
    <row r="91" spans="1:4" ht="12.75" customHeight="1">
      <c r="A91" s="52"/>
      <c r="B91" s="52"/>
      <c r="C91" s="52"/>
      <c r="D91" s="52"/>
    </row>
    <row r="92" spans="1:4" ht="12.75" customHeight="1">
      <c r="A92" s="52"/>
      <c r="B92" s="52"/>
      <c r="C92" s="52"/>
      <c r="D92" s="52"/>
    </row>
    <row r="93" spans="1:4" ht="12.75" customHeight="1">
      <c r="A93" s="52"/>
      <c r="B93" s="52"/>
      <c r="C93" s="52"/>
      <c r="D93" s="52"/>
    </row>
    <row r="94" spans="1:4" ht="12.75" customHeight="1">
      <c r="A94" s="52"/>
      <c r="B94" s="52"/>
      <c r="C94" s="52"/>
      <c r="D94" s="52"/>
    </row>
    <row r="95" spans="1:4" ht="12.75" customHeight="1">
      <c r="A95" s="52"/>
      <c r="B95" s="52"/>
      <c r="C95" s="52"/>
      <c r="D95" s="52"/>
    </row>
    <row r="96" spans="1:4" ht="12.75" customHeight="1">
      <c r="A96" s="52"/>
      <c r="B96" s="52"/>
      <c r="C96" s="52"/>
      <c r="D96" s="52"/>
    </row>
    <row r="97" spans="1:4" ht="12.75" customHeight="1">
      <c r="A97" s="52"/>
      <c r="B97" s="52"/>
      <c r="C97" s="52"/>
      <c r="D97" s="52"/>
    </row>
    <row r="98" spans="1:4" ht="12.75" customHeight="1">
      <c r="A98" s="52"/>
      <c r="B98" s="52"/>
      <c r="C98" s="52"/>
      <c r="D98" s="52"/>
    </row>
    <row r="99" spans="1:4" ht="12.75" customHeight="1">
      <c r="A99" s="52"/>
      <c r="B99" s="52"/>
      <c r="C99" s="52"/>
      <c r="D99" s="52"/>
    </row>
    <row r="100" spans="1:4" ht="12.75" customHeight="1">
      <c r="A100" s="52"/>
      <c r="B100" s="52"/>
      <c r="C100" s="52"/>
      <c r="D100" s="52"/>
    </row>
    <row r="101" spans="1:4" ht="12.75" customHeight="1">
      <c r="A101" s="52"/>
      <c r="B101" s="52"/>
      <c r="C101" s="52"/>
      <c r="D101" s="52"/>
    </row>
    <row r="102" spans="1:4" ht="12.75" customHeight="1">
      <c r="A102" s="52"/>
      <c r="B102" s="52"/>
      <c r="C102" s="52"/>
      <c r="D102" s="52"/>
    </row>
    <row r="103" spans="1:4" ht="12.75" customHeight="1">
      <c r="A103" s="52"/>
      <c r="B103" s="52"/>
      <c r="C103" s="52"/>
      <c r="D103" s="52"/>
    </row>
    <row r="104" spans="1:4" ht="12.75" customHeight="1">
      <c r="A104" s="52"/>
      <c r="B104" s="52"/>
      <c r="C104" s="52"/>
      <c r="D104" s="52"/>
    </row>
    <row r="105" spans="1:4" ht="12.75" customHeight="1">
      <c r="A105" s="52"/>
      <c r="B105" s="52"/>
      <c r="C105" s="52"/>
      <c r="D105" s="52"/>
    </row>
    <row r="106" spans="1:4" ht="12.75" customHeight="1">
      <c r="A106" s="52"/>
      <c r="B106" s="52"/>
      <c r="C106" s="52"/>
      <c r="D106" s="52"/>
    </row>
    <row r="107" spans="1:4" ht="12.75" customHeight="1">
      <c r="A107" s="52"/>
      <c r="B107" s="52"/>
      <c r="C107" s="52"/>
      <c r="D107" s="52"/>
    </row>
    <row r="108" spans="1:4" ht="12.75" customHeight="1">
      <c r="A108" s="52"/>
      <c r="B108" s="52"/>
      <c r="C108" s="52"/>
      <c r="D108" s="52"/>
    </row>
    <row r="109" spans="1:4" ht="12.75" customHeight="1">
      <c r="A109" s="52"/>
      <c r="B109" s="52"/>
      <c r="C109" s="52"/>
      <c r="D109" s="52"/>
    </row>
    <row r="110" spans="1:4" ht="12.75" customHeight="1">
      <c r="A110" s="52"/>
      <c r="B110" s="52"/>
      <c r="C110" s="52"/>
      <c r="D110" s="52"/>
    </row>
    <row r="111" spans="1:4" ht="12.75" customHeight="1">
      <c r="A111" s="52"/>
      <c r="B111" s="52"/>
      <c r="C111" s="52"/>
      <c r="D111" s="52"/>
    </row>
    <row r="112" spans="1:4" ht="12.75" customHeight="1">
      <c r="A112" s="52"/>
      <c r="B112" s="52"/>
      <c r="C112" s="52"/>
      <c r="D112" s="52"/>
    </row>
    <row r="113" spans="1:4" ht="12.75" customHeight="1">
      <c r="A113" s="52"/>
      <c r="B113" s="52"/>
      <c r="C113" s="52"/>
      <c r="D113" s="52"/>
    </row>
    <row r="114" spans="1:4" ht="12.75" customHeight="1">
      <c r="A114" s="52"/>
      <c r="B114" s="52"/>
      <c r="C114" s="52"/>
      <c r="D114" s="52"/>
    </row>
    <row r="115" spans="1:4" ht="12.75" customHeight="1">
      <c r="A115" s="52"/>
      <c r="B115" s="52"/>
      <c r="C115" s="52"/>
      <c r="D115" s="52"/>
    </row>
    <row r="116" spans="1:4" ht="12.75" customHeight="1">
      <c r="A116" s="52"/>
      <c r="B116" s="52"/>
      <c r="C116" s="52"/>
      <c r="D116" s="52"/>
    </row>
    <row r="117" spans="1:4" ht="12.75" customHeight="1">
      <c r="A117" s="52"/>
      <c r="B117" s="52"/>
      <c r="C117" s="52"/>
      <c r="D117" s="52"/>
    </row>
    <row r="118" spans="1:4" ht="12.75" customHeight="1">
      <c r="A118" s="52"/>
      <c r="B118" s="52"/>
      <c r="C118" s="52"/>
      <c r="D118" s="52"/>
    </row>
    <row r="119" spans="1:4" ht="12.75" customHeight="1">
      <c r="A119" s="52"/>
      <c r="B119" s="52"/>
      <c r="C119" s="52"/>
      <c r="D119" s="52"/>
    </row>
    <row r="120" spans="1:4" ht="12.75" customHeight="1">
      <c r="A120" s="52"/>
      <c r="B120" s="52"/>
      <c r="C120" s="52"/>
      <c r="D120" s="52"/>
    </row>
    <row r="121" spans="1:4" ht="12.75" customHeight="1">
      <c r="A121" s="52"/>
      <c r="B121" s="52"/>
      <c r="C121" s="52"/>
      <c r="D121" s="52"/>
    </row>
    <row r="122" spans="1:4" ht="12.75" customHeight="1">
      <c r="A122" s="52"/>
      <c r="B122" s="52"/>
      <c r="C122" s="52"/>
      <c r="D122" s="52"/>
    </row>
    <row r="123" spans="1:4" ht="12.75" customHeight="1">
      <c r="A123" s="52"/>
      <c r="B123" s="52"/>
      <c r="C123" s="52"/>
      <c r="D123" s="52"/>
    </row>
    <row r="124" spans="1:4" ht="12.75" customHeight="1">
      <c r="A124" s="52"/>
      <c r="B124" s="52"/>
      <c r="C124" s="52"/>
      <c r="D124" s="52"/>
    </row>
    <row r="125" spans="1:4" ht="12.75" customHeight="1">
      <c r="A125" s="52"/>
      <c r="B125" s="52"/>
      <c r="C125" s="52"/>
      <c r="D125" s="52"/>
    </row>
    <row r="126" spans="1:4" ht="12.75" customHeight="1">
      <c r="A126" s="52"/>
      <c r="B126" s="52"/>
      <c r="C126" s="52"/>
      <c r="D126" s="52"/>
    </row>
    <row r="127" spans="1:4" ht="12.75" customHeight="1">
      <c r="A127" s="52"/>
      <c r="B127" s="52"/>
      <c r="C127" s="52"/>
      <c r="D127" s="52"/>
    </row>
    <row r="128" spans="1:4" ht="12.75" customHeight="1">
      <c r="A128" s="52"/>
      <c r="B128" s="52"/>
      <c r="C128" s="52"/>
      <c r="D128" s="52"/>
    </row>
    <row r="129" spans="1:4" ht="12.75" customHeight="1">
      <c r="A129" s="52"/>
      <c r="B129" s="52"/>
      <c r="C129" s="52"/>
      <c r="D129" s="52"/>
    </row>
    <row r="130" spans="1:4" ht="12.75" customHeight="1">
      <c r="A130" s="52"/>
      <c r="B130" s="52"/>
      <c r="C130" s="52"/>
      <c r="D130" s="52"/>
    </row>
    <row r="131" spans="1:4" ht="12.75" customHeight="1">
      <c r="A131" s="52"/>
      <c r="B131" s="52"/>
      <c r="C131" s="52"/>
      <c r="D131" s="52"/>
    </row>
    <row r="132" spans="1:4" ht="12.75" customHeight="1">
      <c r="A132" s="52"/>
      <c r="B132" s="52"/>
      <c r="C132" s="52"/>
      <c r="D132" s="52"/>
    </row>
    <row r="133" spans="1:4" ht="12.75" customHeight="1">
      <c r="A133" s="52"/>
      <c r="B133" s="52"/>
      <c r="C133" s="52"/>
      <c r="D133" s="52"/>
    </row>
    <row r="134" spans="1:4" ht="12.75" customHeight="1">
      <c r="A134" s="52"/>
      <c r="B134" s="52"/>
      <c r="C134" s="52"/>
      <c r="D134" s="52"/>
    </row>
    <row r="135" spans="1:4" ht="12.75" customHeight="1">
      <c r="A135" s="52"/>
      <c r="B135" s="52"/>
      <c r="C135" s="52"/>
      <c r="D135" s="52"/>
    </row>
    <row r="136" spans="1:4" ht="12.75" customHeight="1">
      <c r="A136" s="52"/>
      <c r="B136" s="52"/>
      <c r="C136" s="52"/>
      <c r="D136" s="52"/>
    </row>
    <row r="137" spans="1:4" ht="12.75" customHeight="1">
      <c r="A137" s="52"/>
      <c r="B137" s="52"/>
      <c r="C137" s="52"/>
      <c r="D137" s="52"/>
    </row>
    <row r="138" spans="1:4" ht="12.75" customHeight="1">
      <c r="A138" s="52"/>
      <c r="B138" s="52"/>
      <c r="C138" s="52"/>
      <c r="D138" s="52"/>
    </row>
    <row r="139" spans="1:4" ht="12.75" customHeight="1">
      <c r="A139" s="52"/>
      <c r="B139" s="52"/>
      <c r="C139" s="52"/>
      <c r="D139" s="52"/>
    </row>
    <row r="140" spans="1:4" ht="12.75" customHeight="1">
      <c r="A140" s="52"/>
      <c r="B140" s="52"/>
      <c r="C140" s="52"/>
      <c r="D140" s="52"/>
    </row>
    <row r="141" spans="1:4" ht="12.75" customHeight="1">
      <c r="A141" s="52"/>
      <c r="B141" s="52"/>
      <c r="C141" s="52"/>
      <c r="D141" s="52"/>
    </row>
    <row r="142" spans="1:4" ht="12.75" customHeight="1">
      <c r="A142" s="52"/>
      <c r="B142" s="52"/>
      <c r="C142" s="52"/>
      <c r="D142" s="52"/>
    </row>
    <row r="143" spans="1:4" ht="12.75" customHeight="1">
      <c r="A143" s="52"/>
      <c r="B143" s="52"/>
      <c r="C143" s="52"/>
      <c r="D143" s="52"/>
    </row>
    <row r="144" spans="1:4" ht="12.75" customHeight="1">
      <c r="A144" s="52"/>
      <c r="B144" s="52"/>
      <c r="C144" s="52"/>
      <c r="D144" s="52"/>
    </row>
    <row r="145" spans="1:4" ht="12.75" customHeight="1">
      <c r="A145" s="52"/>
      <c r="B145" s="52"/>
      <c r="C145" s="52"/>
      <c r="D145" s="52"/>
    </row>
    <row r="146" spans="1:4" ht="12.75" customHeight="1">
      <c r="A146" s="52"/>
      <c r="B146" s="52"/>
      <c r="C146" s="52"/>
      <c r="D146" s="52"/>
    </row>
    <row r="147" spans="1:4" ht="12.75" customHeight="1">
      <c r="A147" s="52"/>
      <c r="B147" s="52"/>
      <c r="C147" s="52"/>
      <c r="D147" s="52"/>
    </row>
    <row r="148" spans="1:4" ht="12.75" customHeight="1">
      <c r="A148" s="52"/>
      <c r="B148" s="52"/>
      <c r="C148" s="52"/>
      <c r="D148" s="52"/>
    </row>
    <row r="149" spans="1:4" ht="12.75" customHeight="1">
      <c r="A149" s="52"/>
      <c r="B149" s="52"/>
      <c r="C149" s="52"/>
      <c r="D149" s="52"/>
    </row>
    <row r="150" spans="1:4" ht="12.75" customHeight="1">
      <c r="A150" s="52"/>
      <c r="B150" s="52"/>
      <c r="C150" s="52"/>
      <c r="D150" s="52"/>
    </row>
    <row r="151" spans="1:4" ht="12.75" customHeight="1">
      <c r="A151" s="52"/>
      <c r="B151" s="52"/>
      <c r="C151" s="52"/>
      <c r="D151" s="52"/>
    </row>
    <row r="152" spans="1:4" ht="12.75" customHeight="1">
      <c r="A152" s="52"/>
      <c r="B152" s="52"/>
      <c r="C152" s="52"/>
      <c r="D152" s="52"/>
    </row>
    <row r="153" spans="1:4" ht="12.75" customHeight="1">
      <c r="A153" s="52"/>
      <c r="B153" s="52"/>
      <c r="C153" s="52"/>
      <c r="D153" s="52"/>
    </row>
    <row r="154" spans="1:4" ht="12.75" customHeight="1">
      <c r="A154" s="52"/>
      <c r="B154" s="52"/>
      <c r="C154" s="52"/>
      <c r="D154" s="52"/>
    </row>
    <row r="155" spans="1:4" ht="12.75" customHeight="1">
      <c r="A155" s="52"/>
      <c r="B155" s="52"/>
      <c r="C155" s="52"/>
      <c r="D155" s="52"/>
    </row>
    <row r="156" spans="1:4" ht="12.75" customHeight="1">
      <c r="A156" s="52"/>
      <c r="B156" s="52"/>
      <c r="C156" s="52"/>
      <c r="D156" s="52"/>
    </row>
    <row r="157" spans="1:4" ht="12.75" customHeight="1">
      <c r="A157" s="52"/>
      <c r="B157" s="52"/>
      <c r="C157" s="52"/>
      <c r="D157" s="52"/>
    </row>
    <row r="158" spans="1:4" ht="12.75" customHeight="1">
      <c r="A158" s="52"/>
      <c r="B158" s="52"/>
      <c r="C158" s="52"/>
      <c r="D158" s="52"/>
    </row>
    <row r="159" spans="1:4" ht="12.75" customHeight="1">
      <c r="A159" s="52"/>
      <c r="B159" s="52"/>
      <c r="C159" s="52"/>
      <c r="D159" s="52"/>
    </row>
    <row r="160" spans="1:4" ht="12.75" customHeight="1">
      <c r="A160" s="52"/>
      <c r="B160" s="52"/>
      <c r="C160" s="52"/>
      <c r="D160" s="52"/>
    </row>
    <row r="161" spans="1:4" ht="12.75" customHeight="1">
      <c r="A161" s="52"/>
      <c r="B161" s="52"/>
      <c r="C161" s="52"/>
      <c r="D161" s="52"/>
    </row>
    <row r="162" spans="1:4" ht="12.75" customHeight="1">
      <c r="A162" s="52"/>
      <c r="B162" s="52"/>
      <c r="C162" s="52"/>
      <c r="D162" s="52"/>
    </row>
    <row r="163" spans="1:4" ht="12.75" customHeight="1">
      <c r="A163" s="52"/>
      <c r="B163" s="52"/>
      <c r="C163" s="52"/>
      <c r="D163" s="52"/>
    </row>
    <row r="164" spans="1:4" ht="12.75" customHeight="1">
      <c r="A164" s="52"/>
      <c r="B164" s="52"/>
      <c r="C164" s="52"/>
      <c r="D164" s="52"/>
    </row>
    <row r="165" spans="1:4" ht="12.75" customHeight="1">
      <c r="A165" s="52"/>
      <c r="B165" s="52"/>
      <c r="C165" s="52"/>
      <c r="D165" s="52"/>
    </row>
    <row r="166" spans="1:4" ht="12.75" customHeight="1">
      <c r="A166" s="52"/>
      <c r="B166" s="52"/>
      <c r="C166" s="52"/>
      <c r="D166" s="52"/>
    </row>
    <row r="167" spans="1:4" ht="12.75" customHeight="1">
      <c r="A167" s="52"/>
      <c r="B167" s="52"/>
      <c r="C167" s="52"/>
      <c r="D167" s="52"/>
    </row>
    <row r="168" spans="1:4" ht="12.75" customHeight="1">
      <c r="A168" s="52"/>
      <c r="B168" s="52"/>
      <c r="C168" s="52"/>
      <c r="D168" s="52"/>
    </row>
    <row r="169" spans="1:4" ht="12.75" customHeight="1">
      <c r="A169" s="52"/>
      <c r="B169" s="52"/>
      <c r="C169" s="52"/>
      <c r="D169" s="52"/>
    </row>
    <row r="170" spans="1:4" ht="12.75" customHeight="1">
      <c r="A170" s="52"/>
      <c r="B170" s="52"/>
      <c r="C170" s="52"/>
      <c r="D170" s="52"/>
    </row>
    <row r="171" spans="1:4" ht="12.75" customHeight="1">
      <c r="A171" s="52"/>
      <c r="B171" s="52"/>
      <c r="C171" s="52"/>
      <c r="D171" s="52"/>
    </row>
    <row r="172" spans="1:4" ht="12.75" customHeight="1">
      <c r="A172" s="52"/>
      <c r="B172" s="52"/>
      <c r="C172" s="52"/>
      <c r="D172" s="52"/>
    </row>
    <row r="173" spans="1:4" ht="12.75" customHeight="1">
      <c r="A173" s="52"/>
      <c r="B173" s="52"/>
      <c r="C173" s="52"/>
      <c r="D173" s="52"/>
    </row>
    <row r="174" spans="1:4" ht="12.75" customHeight="1">
      <c r="A174" s="52"/>
      <c r="B174" s="52"/>
      <c r="C174" s="52"/>
      <c r="D174" s="52"/>
    </row>
    <row r="175" spans="1:4" ht="12.75" customHeight="1">
      <c r="A175" s="52"/>
      <c r="B175" s="52"/>
      <c r="C175" s="52"/>
      <c r="D175" s="52"/>
    </row>
    <row r="176" spans="1:4" ht="12.75" customHeight="1">
      <c r="A176" s="52"/>
      <c r="B176" s="52"/>
      <c r="C176" s="52"/>
      <c r="D176" s="52"/>
    </row>
    <row r="177" spans="1:4" ht="12.75" customHeight="1">
      <c r="A177" s="52"/>
      <c r="B177" s="52"/>
      <c r="C177" s="52"/>
      <c r="D177" s="52"/>
    </row>
    <row r="178" spans="1:4" ht="12.75" customHeight="1">
      <c r="A178" s="52"/>
      <c r="B178" s="52"/>
      <c r="C178" s="52"/>
      <c r="D178" s="52"/>
    </row>
    <row r="179" spans="1:4" ht="12.75" customHeight="1">
      <c r="A179" s="52"/>
      <c r="B179" s="52"/>
      <c r="C179" s="52"/>
      <c r="D179" s="52"/>
    </row>
    <row r="180" spans="1:4" ht="12.75" customHeight="1">
      <c r="A180" s="52"/>
      <c r="B180" s="52"/>
      <c r="C180" s="52"/>
      <c r="D180" s="52"/>
    </row>
    <row r="181" spans="1:4" ht="12.75" customHeight="1">
      <c r="A181" s="52"/>
      <c r="B181" s="52"/>
      <c r="C181" s="52"/>
      <c r="D181" s="52"/>
    </row>
    <row r="182" spans="1:4" ht="12.75" customHeight="1">
      <c r="A182" s="52"/>
      <c r="B182" s="52"/>
      <c r="C182" s="52"/>
      <c r="D182" s="52"/>
    </row>
    <row r="183" spans="1:4" ht="12.75" customHeight="1">
      <c r="A183" s="52"/>
      <c r="B183" s="52"/>
      <c r="C183" s="52"/>
      <c r="D183" s="52"/>
    </row>
    <row r="184" spans="1:4" ht="12.75" customHeight="1">
      <c r="A184" s="52"/>
      <c r="B184" s="52"/>
      <c r="C184" s="52"/>
      <c r="D184" s="52"/>
    </row>
    <row r="185" spans="1:4" ht="12.75" customHeight="1">
      <c r="A185" s="52"/>
      <c r="B185" s="52"/>
      <c r="C185" s="52"/>
      <c r="D185" s="52"/>
    </row>
    <row r="186" spans="1:4" ht="12.75" customHeight="1">
      <c r="A186" s="52"/>
      <c r="B186" s="52"/>
      <c r="C186" s="52"/>
      <c r="D186" s="52"/>
    </row>
    <row r="187" spans="1:4" ht="12.75" customHeight="1">
      <c r="A187" s="52"/>
      <c r="B187" s="52"/>
      <c r="C187" s="52"/>
      <c r="D187" s="52"/>
    </row>
    <row r="188" spans="1:4" ht="12.75" customHeight="1">
      <c r="A188" s="52"/>
      <c r="B188" s="52"/>
      <c r="C188" s="52"/>
      <c r="D188" s="52"/>
    </row>
    <row r="189" spans="1:4" ht="12.75" customHeight="1">
      <c r="A189" s="52"/>
      <c r="B189" s="52"/>
      <c r="C189" s="52"/>
      <c r="D189" s="52"/>
    </row>
    <row r="190" spans="1:4" ht="12.75" customHeight="1">
      <c r="A190" s="52"/>
      <c r="B190" s="52"/>
      <c r="C190" s="52"/>
      <c r="D190" s="52"/>
    </row>
    <row r="191" spans="1:4" ht="12.75" customHeight="1">
      <c r="A191" s="52"/>
      <c r="B191" s="52"/>
      <c r="C191" s="52"/>
      <c r="D191" s="52"/>
    </row>
    <row r="192" spans="1:4" ht="12.75" customHeight="1">
      <c r="A192" s="52"/>
      <c r="B192" s="52"/>
      <c r="C192" s="52"/>
      <c r="D192" s="52"/>
    </row>
    <row r="193" spans="1:4" ht="12.75" customHeight="1">
      <c r="A193" s="52"/>
      <c r="B193" s="52"/>
      <c r="C193" s="52"/>
      <c r="D193" s="52"/>
    </row>
    <row r="194" spans="1:4" ht="12.75" customHeight="1">
      <c r="A194" s="52"/>
      <c r="B194" s="52"/>
      <c r="C194" s="52"/>
      <c r="D194" s="52"/>
    </row>
    <row r="195" spans="1:4" ht="12.75" customHeight="1">
      <c r="A195" s="52"/>
      <c r="B195" s="52"/>
      <c r="C195" s="52"/>
      <c r="D195" s="52"/>
    </row>
    <row r="196" spans="1:4" ht="12.75" customHeight="1">
      <c r="A196" s="52"/>
      <c r="B196" s="52"/>
      <c r="C196" s="52"/>
      <c r="D196" s="52"/>
    </row>
    <row r="197" spans="1:4" ht="12.75" customHeight="1">
      <c r="A197" s="52"/>
      <c r="B197" s="52"/>
      <c r="C197" s="52"/>
      <c r="D197" s="52"/>
    </row>
    <row r="198" spans="1:4" ht="12.75" customHeight="1">
      <c r="A198" s="52"/>
      <c r="B198" s="52"/>
      <c r="C198" s="52"/>
      <c r="D198" s="52"/>
    </row>
    <row r="199" spans="1:4" ht="12.75" customHeight="1">
      <c r="A199" s="52"/>
      <c r="B199" s="52"/>
      <c r="C199" s="52"/>
      <c r="D199" s="52"/>
    </row>
    <row r="200" spans="1:4" ht="12.75" customHeight="1">
      <c r="A200" s="52"/>
      <c r="B200" s="52"/>
      <c r="C200" s="52"/>
      <c r="D200" s="52"/>
    </row>
    <row r="201" spans="1:4" ht="12.75" customHeight="1">
      <c r="A201" s="52"/>
      <c r="B201" s="52"/>
      <c r="C201" s="52"/>
      <c r="D201" s="52"/>
    </row>
    <row r="202" spans="1:4" ht="12.75" customHeight="1">
      <c r="A202" s="52"/>
      <c r="B202" s="52"/>
      <c r="C202" s="52"/>
      <c r="D202" s="52"/>
    </row>
    <row r="203" spans="1:4" ht="12.75" customHeight="1">
      <c r="A203" s="52"/>
      <c r="B203" s="52"/>
      <c r="C203" s="52"/>
      <c r="D203" s="52"/>
    </row>
    <row r="204" spans="1:4" ht="12.75" customHeight="1">
      <c r="A204" s="52"/>
      <c r="B204" s="52"/>
      <c r="C204" s="52"/>
      <c r="D204" s="52"/>
    </row>
    <row r="205" spans="1:4" ht="12.75" customHeight="1">
      <c r="A205" s="52"/>
      <c r="B205" s="52"/>
      <c r="C205" s="52"/>
      <c r="D205" s="52"/>
    </row>
    <row r="206" spans="1:4" ht="12.75" customHeight="1">
      <c r="A206" s="52"/>
      <c r="B206" s="52"/>
      <c r="C206" s="52"/>
      <c r="D206" s="52"/>
    </row>
    <row r="207" spans="1:4" ht="12.75" customHeight="1">
      <c r="A207" s="52"/>
      <c r="B207" s="52"/>
      <c r="C207" s="52"/>
      <c r="D207" s="52"/>
    </row>
    <row r="208" spans="1:4" ht="12.75" customHeight="1">
      <c r="A208" s="52"/>
      <c r="B208" s="52"/>
      <c r="C208" s="52"/>
      <c r="D208" s="52"/>
    </row>
    <row r="209" spans="1:4" ht="12.75" customHeight="1">
      <c r="A209" s="52"/>
      <c r="B209" s="52"/>
      <c r="C209" s="52"/>
      <c r="D209" s="52"/>
    </row>
    <row r="210" spans="1:4" ht="12.75" customHeight="1">
      <c r="A210" s="52"/>
      <c r="B210" s="52"/>
      <c r="C210" s="52"/>
      <c r="D210" s="52"/>
    </row>
    <row r="211" spans="1:4" ht="12.75" customHeight="1">
      <c r="A211" s="52"/>
      <c r="B211" s="52"/>
      <c r="C211" s="52"/>
      <c r="D211" s="52"/>
    </row>
    <row r="212" spans="1:4" ht="12.75" customHeight="1">
      <c r="A212" s="52"/>
      <c r="B212" s="52"/>
      <c r="C212" s="52"/>
      <c r="D212" s="52"/>
    </row>
    <row r="213" spans="1:4" ht="12.75" customHeight="1">
      <c r="A213" s="52"/>
      <c r="B213" s="52"/>
      <c r="C213" s="52"/>
      <c r="D213" s="52"/>
    </row>
    <row r="214" spans="1:4" ht="12.75" customHeight="1">
      <c r="A214" s="52"/>
      <c r="B214" s="52"/>
      <c r="C214" s="52"/>
      <c r="D214" s="52"/>
    </row>
    <row r="215" spans="1:4" ht="12.75" customHeight="1">
      <c r="A215" s="52"/>
      <c r="B215" s="52"/>
      <c r="C215" s="52"/>
      <c r="D215" s="52"/>
    </row>
    <row r="216" spans="1:4" ht="12.75" customHeight="1">
      <c r="A216" s="52"/>
      <c r="B216" s="52"/>
      <c r="C216" s="52"/>
      <c r="D216" s="52"/>
    </row>
    <row r="217" spans="1:4" ht="12.75" customHeight="1">
      <c r="A217" s="52"/>
      <c r="B217" s="52"/>
      <c r="C217" s="52"/>
      <c r="D217" s="52"/>
    </row>
    <row r="218" spans="1:4" ht="12.75" customHeight="1">
      <c r="A218" s="52"/>
      <c r="B218" s="52"/>
      <c r="C218" s="52"/>
      <c r="D218" s="52"/>
    </row>
    <row r="219" spans="1:4" ht="12.75" customHeight="1">
      <c r="A219" s="52"/>
      <c r="B219" s="52"/>
      <c r="C219" s="52"/>
      <c r="D219" s="52"/>
    </row>
    <row r="220" spans="1:4" ht="12.75" customHeight="1">
      <c r="A220" s="52"/>
      <c r="B220" s="52"/>
      <c r="C220" s="52"/>
      <c r="D220" s="52"/>
    </row>
    <row r="221" spans="1:4" ht="12.75" customHeight="1">
      <c r="A221" s="52"/>
      <c r="B221" s="52"/>
      <c r="C221" s="52"/>
      <c r="D221" s="52"/>
    </row>
    <row r="222" spans="1:4" ht="12.75" customHeight="1">
      <c r="A222" s="52"/>
      <c r="B222" s="52"/>
      <c r="C222" s="52"/>
      <c r="D222" s="52"/>
    </row>
    <row r="223" spans="1:4" ht="12.75" customHeight="1">
      <c r="A223" s="52"/>
      <c r="B223" s="52"/>
      <c r="C223" s="52"/>
      <c r="D223" s="52"/>
    </row>
    <row r="224" spans="1:4" ht="12.75" customHeight="1">
      <c r="A224" s="52"/>
      <c r="B224" s="52"/>
      <c r="C224" s="52"/>
      <c r="D224" s="52"/>
    </row>
    <row r="225" spans="1:4" ht="12.75" customHeight="1">
      <c r="A225" s="52"/>
      <c r="B225" s="52"/>
      <c r="C225" s="52"/>
      <c r="D225" s="52"/>
    </row>
    <row r="226" spans="1:4" ht="12.75" customHeight="1">
      <c r="A226" s="52"/>
      <c r="B226" s="52"/>
      <c r="C226" s="52"/>
      <c r="D226" s="52"/>
    </row>
    <row r="227" spans="1:4" ht="12.75" customHeight="1">
      <c r="A227" s="52"/>
      <c r="B227" s="52"/>
      <c r="C227" s="52"/>
      <c r="D227" s="52"/>
    </row>
    <row r="228" spans="1:4" ht="12.75" customHeight="1">
      <c r="A228" s="52"/>
      <c r="B228" s="52"/>
      <c r="C228" s="52"/>
      <c r="D228" s="52"/>
    </row>
    <row r="229" spans="1:4" ht="12.75" customHeight="1">
      <c r="A229" s="52"/>
      <c r="B229" s="52"/>
      <c r="C229" s="52"/>
      <c r="D229" s="52"/>
    </row>
    <row r="230" spans="1:4" ht="12.75" customHeight="1">
      <c r="A230" s="52"/>
      <c r="B230" s="52"/>
      <c r="C230" s="52"/>
      <c r="D230" s="52"/>
    </row>
    <row r="231" spans="1:4" ht="12.75" customHeight="1">
      <c r="A231" s="52"/>
      <c r="B231" s="52"/>
      <c r="C231" s="52"/>
      <c r="D231" s="52"/>
    </row>
    <row r="232" spans="1:4" ht="12.75" customHeight="1">
      <c r="A232" s="52"/>
      <c r="B232" s="52"/>
      <c r="C232" s="52"/>
      <c r="D232" s="52"/>
    </row>
    <row r="233" spans="1:4" ht="12.75" customHeight="1">
      <c r="A233" s="52"/>
      <c r="B233" s="52"/>
      <c r="C233" s="52"/>
      <c r="D233" s="52"/>
    </row>
    <row r="234" spans="1:4" ht="12.75" customHeight="1">
      <c r="A234" s="52"/>
      <c r="B234" s="52"/>
      <c r="C234" s="52"/>
      <c r="D234" s="52"/>
    </row>
    <row r="235" spans="1:4" ht="12.75" customHeight="1">
      <c r="A235" s="52"/>
      <c r="B235" s="52"/>
      <c r="C235" s="52"/>
      <c r="D235" s="52"/>
    </row>
    <row r="236" spans="1:4" ht="12.75" customHeight="1">
      <c r="A236" s="52"/>
      <c r="B236" s="52"/>
      <c r="C236" s="52"/>
      <c r="D236" s="52"/>
    </row>
    <row r="237" spans="1:4" ht="12.75" customHeight="1">
      <c r="A237" s="52"/>
      <c r="B237" s="52"/>
      <c r="C237" s="52"/>
      <c r="D237" s="52"/>
    </row>
    <row r="238" spans="1:4" ht="12.75" customHeight="1">
      <c r="A238" s="52"/>
      <c r="B238" s="52"/>
      <c r="C238" s="52"/>
      <c r="D238" s="52"/>
    </row>
    <row r="239" spans="1:4" ht="12.75" customHeight="1">
      <c r="A239" s="52"/>
      <c r="B239" s="52"/>
      <c r="C239" s="52"/>
      <c r="D239" s="52"/>
    </row>
    <row r="240" spans="1:4" ht="12.75" customHeight="1">
      <c r="A240" s="52"/>
      <c r="B240" s="52"/>
      <c r="C240" s="52"/>
      <c r="D240" s="52"/>
    </row>
    <row r="241" spans="1:4" ht="12.75" customHeight="1">
      <c r="A241" s="52"/>
      <c r="B241" s="52"/>
      <c r="C241" s="52"/>
      <c r="D241" s="52"/>
    </row>
    <row r="242" spans="1:4" ht="12.75" customHeight="1">
      <c r="A242" s="52"/>
      <c r="B242" s="52"/>
      <c r="C242" s="52"/>
      <c r="D242" s="52"/>
    </row>
    <row r="243" spans="1:4" ht="12.75" customHeight="1">
      <c r="A243" s="52"/>
      <c r="B243" s="52"/>
      <c r="C243" s="52"/>
      <c r="D243" s="52"/>
    </row>
    <row r="244" spans="1:4" ht="12.75" customHeight="1">
      <c r="A244" s="52"/>
      <c r="B244" s="52"/>
      <c r="C244" s="52"/>
      <c r="D244" s="52"/>
    </row>
    <row r="245" spans="1:4" ht="12.75" customHeight="1">
      <c r="A245" s="52"/>
      <c r="B245" s="52"/>
      <c r="C245" s="52"/>
      <c r="D245" s="52"/>
    </row>
    <row r="246" spans="1:4" ht="12.75" customHeight="1">
      <c r="A246" s="52"/>
      <c r="B246" s="52"/>
      <c r="C246" s="52"/>
      <c r="D246" s="52"/>
    </row>
    <row r="247" spans="1:4" ht="12.75" customHeight="1">
      <c r="A247" s="52"/>
      <c r="B247" s="52"/>
      <c r="C247" s="52"/>
      <c r="D247" s="52"/>
    </row>
    <row r="248" spans="1:4" ht="12.75" customHeight="1">
      <c r="A248" s="52"/>
      <c r="B248" s="52"/>
      <c r="C248" s="52"/>
      <c r="D248" s="52"/>
    </row>
    <row r="249" spans="1:4" ht="12.75" customHeight="1">
      <c r="A249" s="52"/>
      <c r="B249" s="52"/>
      <c r="C249" s="52"/>
      <c r="D249" s="52"/>
    </row>
    <row r="250" spans="1:4" ht="12.75" customHeight="1">
      <c r="A250" s="52"/>
      <c r="B250" s="52"/>
      <c r="C250" s="52"/>
      <c r="D250" s="52"/>
    </row>
    <row r="251" spans="1:4" ht="12.75" customHeight="1">
      <c r="A251" s="52"/>
      <c r="B251" s="52"/>
      <c r="C251" s="52"/>
      <c r="D251" s="52"/>
    </row>
    <row r="252" spans="1:4" ht="12.75" customHeight="1">
      <c r="A252" s="52"/>
      <c r="B252" s="52"/>
      <c r="C252" s="52"/>
      <c r="D252" s="52"/>
    </row>
    <row r="253" spans="1:4" ht="12.75" customHeight="1">
      <c r="A253" s="52"/>
      <c r="B253" s="52"/>
      <c r="C253" s="52"/>
      <c r="D253" s="52"/>
    </row>
    <row r="254" spans="1:4" ht="12.75" customHeight="1">
      <c r="A254" s="52"/>
      <c r="B254" s="52"/>
      <c r="C254" s="52"/>
      <c r="D254" s="52"/>
    </row>
    <row r="255" spans="1:4" ht="12.75" customHeight="1">
      <c r="A255" s="52"/>
      <c r="B255" s="52"/>
      <c r="C255" s="52"/>
      <c r="D255" s="52"/>
    </row>
    <row r="256" spans="1:4" ht="12.75" customHeight="1">
      <c r="A256" s="52"/>
      <c r="B256" s="52"/>
      <c r="C256" s="52"/>
      <c r="D256" s="52"/>
    </row>
    <row r="257" spans="1:4" ht="12.75" customHeight="1">
      <c r="A257" s="52"/>
      <c r="B257" s="52"/>
      <c r="C257" s="52"/>
      <c r="D257" s="52"/>
    </row>
    <row r="258" spans="1:4" ht="12.75" customHeight="1">
      <c r="A258" s="52"/>
      <c r="B258" s="52"/>
      <c r="C258" s="52"/>
      <c r="D258" s="52"/>
    </row>
    <row r="259" spans="1:4" ht="12.75" customHeight="1">
      <c r="A259" s="52"/>
      <c r="B259" s="52"/>
      <c r="C259" s="52"/>
      <c r="D259" s="52"/>
    </row>
    <row r="260" spans="1:4" ht="12.75" customHeight="1">
      <c r="A260" s="52"/>
      <c r="B260" s="52"/>
      <c r="C260" s="52"/>
      <c r="D260" s="52"/>
    </row>
    <row r="261" spans="1:4" ht="12.75" customHeight="1">
      <c r="A261" s="52"/>
      <c r="B261" s="52"/>
      <c r="C261" s="52"/>
      <c r="D261" s="52"/>
    </row>
    <row r="262" spans="1:4" ht="12.75" customHeight="1">
      <c r="A262" s="52"/>
      <c r="B262" s="52"/>
      <c r="C262" s="52"/>
      <c r="D262" s="52"/>
    </row>
    <row r="263" spans="1:4" ht="12.75" customHeight="1">
      <c r="A263" s="52"/>
      <c r="B263" s="52"/>
      <c r="C263" s="52"/>
      <c r="D263" s="52"/>
    </row>
    <row r="264" spans="1:4" ht="12.75" customHeight="1">
      <c r="A264" s="52"/>
      <c r="B264" s="52"/>
      <c r="C264" s="52"/>
      <c r="D264" s="52"/>
    </row>
    <row r="265" spans="1:4" ht="12.75" customHeight="1">
      <c r="A265" s="52"/>
      <c r="B265" s="52"/>
      <c r="C265" s="52"/>
      <c r="D265" s="52"/>
    </row>
    <row r="266" spans="1:4" ht="12.75" customHeight="1">
      <c r="A266" s="52"/>
      <c r="B266" s="52"/>
      <c r="C266" s="52"/>
      <c r="D266" s="52"/>
    </row>
    <row r="267" spans="1:4" ht="12.75" customHeight="1">
      <c r="A267" s="52"/>
      <c r="B267" s="52"/>
      <c r="C267" s="52"/>
      <c r="D267" s="52"/>
    </row>
    <row r="268" spans="1:4" ht="12.75" customHeight="1">
      <c r="A268" s="52"/>
      <c r="B268" s="52"/>
      <c r="C268" s="52"/>
      <c r="D268" s="52"/>
    </row>
    <row r="269" spans="1:4" ht="12.75" customHeight="1">
      <c r="A269" s="52"/>
      <c r="B269" s="52"/>
      <c r="C269" s="52"/>
      <c r="D269" s="52"/>
    </row>
    <row r="270" spans="1:4" ht="12.75" customHeight="1">
      <c r="A270" s="52"/>
      <c r="B270" s="52"/>
      <c r="C270" s="52"/>
      <c r="D270" s="52"/>
    </row>
    <row r="271" spans="1:4" ht="12.75" customHeight="1">
      <c r="A271" s="52"/>
      <c r="B271" s="52"/>
      <c r="C271" s="52"/>
      <c r="D271" s="52"/>
    </row>
    <row r="272" spans="1:4" ht="12.75" customHeight="1">
      <c r="A272" s="52"/>
      <c r="B272" s="52"/>
      <c r="C272" s="52"/>
      <c r="D272" s="52"/>
    </row>
    <row r="273" spans="1:4" ht="12.75" customHeight="1">
      <c r="A273" s="52"/>
      <c r="B273" s="52"/>
      <c r="C273" s="52"/>
      <c r="D273" s="52"/>
    </row>
    <row r="274" spans="1:4" ht="12.75" customHeight="1">
      <c r="A274" s="52"/>
      <c r="B274" s="52"/>
      <c r="C274" s="52"/>
      <c r="D274" s="52"/>
    </row>
    <row r="275" spans="1:4" ht="12.75" customHeight="1">
      <c r="A275" s="52"/>
      <c r="B275" s="52"/>
      <c r="C275" s="52"/>
      <c r="D275" s="52"/>
    </row>
    <row r="276" spans="1:4" ht="12.75" customHeight="1">
      <c r="A276" s="52"/>
      <c r="B276" s="52"/>
      <c r="C276" s="52"/>
      <c r="D276" s="52"/>
    </row>
    <row r="277" spans="1:4" ht="12.75" customHeight="1">
      <c r="A277" s="52"/>
      <c r="B277" s="52"/>
      <c r="C277" s="52"/>
      <c r="D277" s="52"/>
    </row>
    <row r="278" spans="1:4" ht="12.75" customHeight="1">
      <c r="A278" s="52"/>
      <c r="B278" s="52"/>
      <c r="C278" s="52"/>
      <c r="D278" s="52"/>
    </row>
    <row r="279" spans="1:4" ht="12.75" customHeight="1">
      <c r="A279" s="52"/>
      <c r="B279" s="52"/>
      <c r="C279" s="52"/>
      <c r="D279" s="52"/>
    </row>
    <row r="280" spans="1:4" ht="12.75" customHeight="1">
      <c r="A280" s="52"/>
      <c r="B280" s="52"/>
      <c r="C280" s="52"/>
      <c r="D280" s="52"/>
    </row>
    <row r="281" spans="1:4" ht="12.75" customHeight="1">
      <c r="A281" s="52"/>
      <c r="B281" s="52"/>
      <c r="C281" s="52"/>
      <c r="D281" s="52"/>
    </row>
    <row r="282" spans="1:4" ht="12.75" customHeight="1">
      <c r="A282" s="52"/>
      <c r="B282" s="52"/>
      <c r="C282" s="52"/>
      <c r="D282" s="52"/>
    </row>
    <row r="283" spans="1:4" ht="12.75" customHeight="1">
      <c r="A283" s="52"/>
      <c r="B283" s="52"/>
      <c r="C283" s="52"/>
      <c r="D283" s="52"/>
    </row>
    <row r="284" spans="1:4" ht="12.75" customHeight="1">
      <c r="A284" s="52"/>
      <c r="B284" s="52"/>
      <c r="C284" s="52"/>
      <c r="D284" s="52"/>
    </row>
    <row r="285" spans="1:4" ht="12.75" customHeight="1">
      <c r="A285" s="52"/>
      <c r="B285" s="52"/>
      <c r="C285" s="52"/>
      <c r="D285" s="52"/>
    </row>
    <row r="286" spans="1:4" ht="12.75" customHeight="1">
      <c r="A286" s="52"/>
      <c r="B286" s="52"/>
      <c r="C286" s="52"/>
      <c r="D286" s="52"/>
    </row>
    <row r="287" spans="1:4" ht="12.75" customHeight="1">
      <c r="A287" s="52"/>
      <c r="B287" s="52"/>
      <c r="C287" s="52"/>
      <c r="D287" s="52"/>
    </row>
    <row r="288" spans="1:4" ht="12.75" customHeight="1">
      <c r="A288" s="52"/>
      <c r="B288" s="52"/>
      <c r="C288" s="52"/>
      <c r="D288" s="52"/>
    </row>
    <row r="289" spans="1:4" ht="12.75" customHeight="1">
      <c r="A289" s="52"/>
      <c r="B289" s="52"/>
      <c r="C289" s="52"/>
      <c r="D289" s="52"/>
    </row>
    <row r="290" spans="1:4" ht="12.75" customHeight="1">
      <c r="A290" s="52"/>
      <c r="B290" s="52"/>
      <c r="C290" s="52"/>
      <c r="D290" s="52"/>
    </row>
    <row r="291" spans="1:4" ht="12.75" customHeight="1">
      <c r="A291" s="52"/>
      <c r="B291" s="52"/>
      <c r="C291" s="52"/>
      <c r="D291" s="52"/>
    </row>
    <row r="292" spans="1:4" ht="12.75" customHeight="1">
      <c r="A292" s="52"/>
      <c r="B292" s="52"/>
      <c r="C292" s="52"/>
      <c r="D292" s="52"/>
    </row>
    <row r="293" spans="1:4" ht="12.75" customHeight="1">
      <c r="A293" s="52"/>
      <c r="B293" s="52"/>
      <c r="C293" s="52"/>
      <c r="D293" s="52"/>
    </row>
    <row r="294" spans="1:4" ht="12.75" customHeight="1">
      <c r="A294" s="52"/>
      <c r="B294" s="52"/>
      <c r="C294" s="52"/>
      <c r="D294" s="52"/>
    </row>
    <row r="295" spans="1:4" ht="12.75" customHeight="1">
      <c r="A295" s="52"/>
      <c r="B295" s="52"/>
      <c r="C295" s="52"/>
      <c r="D295" s="52"/>
    </row>
    <row r="296" spans="1:4" ht="12.75" customHeight="1">
      <c r="A296" s="52"/>
      <c r="B296" s="52"/>
      <c r="C296" s="52"/>
      <c r="D296" s="52"/>
    </row>
    <row r="297" spans="1:4" ht="12.75" customHeight="1">
      <c r="A297" s="52"/>
      <c r="B297" s="52"/>
      <c r="C297" s="52"/>
      <c r="D297" s="52"/>
    </row>
    <row r="298" spans="1:4" ht="12.75" customHeight="1">
      <c r="A298" s="52"/>
      <c r="B298" s="52"/>
      <c r="C298" s="52"/>
      <c r="D298" s="52"/>
    </row>
    <row r="299" spans="1:4" ht="12.75" customHeight="1">
      <c r="A299" s="52"/>
      <c r="B299" s="52"/>
      <c r="C299" s="52"/>
      <c r="D299" s="52"/>
    </row>
    <row r="300" spans="1:4" ht="12.75" customHeight="1">
      <c r="A300" s="52"/>
      <c r="B300" s="52"/>
      <c r="C300" s="52"/>
      <c r="D300" s="52"/>
    </row>
    <row r="301" spans="1:4" ht="12.75" customHeight="1">
      <c r="A301" s="52"/>
      <c r="B301" s="52"/>
      <c r="C301" s="52"/>
      <c r="D301" s="52"/>
    </row>
    <row r="302" spans="1:4" ht="12.75" customHeight="1">
      <c r="A302" s="52"/>
      <c r="B302" s="52"/>
      <c r="C302" s="52"/>
      <c r="D302" s="52"/>
    </row>
    <row r="303" spans="1:4" ht="12.75" customHeight="1">
      <c r="A303" s="52"/>
      <c r="B303" s="52"/>
      <c r="C303" s="52"/>
      <c r="D303" s="52"/>
    </row>
    <row r="304" spans="1:4" ht="12.75" customHeight="1">
      <c r="A304" s="52"/>
      <c r="B304" s="52"/>
      <c r="C304" s="52"/>
      <c r="D304" s="52"/>
    </row>
    <row r="305" spans="1:4" ht="12.75" customHeight="1">
      <c r="A305" s="52"/>
      <c r="B305" s="52"/>
      <c r="C305" s="52"/>
      <c r="D305" s="52"/>
    </row>
    <row r="306" spans="1:4" ht="12.75" customHeight="1">
      <c r="A306" s="52"/>
      <c r="B306" s="52"/>
      <c r="C306" s="52"/>
      <c r="D306" s="52"/>
    </row>
    <row r="307" spans="1:4" ht="12.75" customHeight="1">
      <c r="A307" s="52"/>
      <c r="B307" s="52"/>
      <c r="C307" s="52"/>
      <c r="D307" s="52"/>
    </row>
    <row r="308" spans="1:4" ht="12.75" customHeight="1">
      <c r="A308" s="52"/>
      <c r="B308" s="52"/>
      <c r="C308" s="52"/>
      <c r="D308" s="52"/>
    </row>
    <row r="309" spans="1:4" ht="12.75" customHeight="1">
      <c r="A309" s="52"/>
      <c r="B309" s="52"/>
      <c r="C309" s="52"/>
      <c r="D309" s="52"/>
    </row>
    <row r="310" spans="1:4" ht="12.75" customHeight="1">
      <c r="A310" s="52"/>
      <c r="B310" s="52"/>
      <c r="C310" s="52"/>
      <c r="D310" s="52"/>
    </row>
    <row r="311" spans="1:4" ht="12.75" customHeight="1">
      <c r="A311" s="52"/>
      <c r="B311" s="52"/>
      <c r="C311" s="52"/>
      <c r="D311" s="52"/>
    </row>
    <row r="312" spans="1:4" ht="12.75" customHeight="1">
      <c r="A312" s="52"/>
      <c r="B312" s="52"/>
      <c r="C312" s="52"/>
      <c r="D312" s="52"/>
    </row>
    <row r="313" spans="1:4" ht="12.75" customHeight="1">
      <c r="A313" s="52"/>
      <c r="B313" s="52"/>
      <c r="C313" s="52"/>
      <c r="D313" s="52"/>
    </row>
    <row r="314" spans="1:4" ht="12.75" customHeight="1">
      <c r="A314" s="52"/>
      <c r="B314" s="52"/>
      <c r="C314" s="52"/>
      <c r="D314" s="52"/>
    </row>
    <row r="315" spans="1:4" ht="12.75" customHeight="1">
      <c r="A315" s="52"/>
      <c r="B315" s="52"/>
      <c r="C315" s="52"/>
      <c r="D315" s="52"/>
    </row>
    <row r="316" spans="1:4" ht="12.75" customHeight="1">
      <c r="A316" s="52"/>
      <c r="B316" s="52"/>
      <c r="C316" s="52"/>
      <c r="D316" s="52"/>
    </row>
    <row r="317" spans="1:4" ht="12.75" customHeight="1">
      <c r="A317" s="52"/>
      <c r="B317" s="52"/>
      <c r="C317" s="52"/>
      <c r="D317" s="52"/>
    </row>
    <row r="318" spans="1:4" ht="12.75" customHeight="1">
      <c r="A318" s="52"/>
      <c r="B318" s="52"/>
      <c r="C318" s="52"/>
      <c r="D318" s="52"/>
    </row>
    <row r="319" spans="1:4" ht="12.75" customHeight="1">
      <c r="A319" s="52"/>
      <c r="B319" s="52"/>
      <c r="C319" s="52"/>
      <c r="D319" s="52"/>
    </row>
    <row r="320" spans="1:4" ht="12.75" customHeight="1">
      <c r="A320" s="52"/>
      <c r="B320" s="52"/>
      <c r="C320" s="52"/>
      <c r="D320" s="52"/>
    </row>
    <row r="321" spans="1:4" ht="12.75" customHeight="1">
      <c r="A321" s="52"/>
      <c r="B321" s="52"/>
      <c r="C321" s="52"/>
      <c r="D321" s="52"/>
    </row>
    <row r="322" spans="1:4" ht="12.75" customHeight="1">
      <c r="A322" s="52"/>
      <c r="B322" s="52"/>
      <c r="C322" s="52"/>
      <c r="D322" s="52"/>
    </row>
    <row r="323" spans="1:4" ht="12.75" customHeight="1">
      <c r="A323" s="52"/>
      <c r="B323" s="52"/>
      <c r="C323" s="52"/>
      <c r="D323" s="52"/>
    </row>
    <row r="324" spans="1:4" ht="12.75" customHeight="1">
      <c r="A324" s="52"/>
      <c r="B324" s="52"/>
      <c r="C324" s="52"/>
      <c r="D324" s="52"/>
    </row>
    <row r="325" spans="1:4" ht="12.75" customHeight="1">
      <c r="A325" s="52"/>
      <c r="B325" s="52"/>
      <c r="C325" s="52"/>
      <c r="D325" s="52"/>
    </row>
    <row r="326" spans="1:4" ht="12.75" customHeight="1">
      <c r="A326" s="52"/>
      <c r="B326" s="52"/>
      <c r="C326" s="52"/>
      <c r="D326" s="52"/>
    </row>
    <row r="327" spans="1:4" ht="12.75" customHeight="1">
      <c r="A327" s="52"/>
      <c r="B327" s="52"/>
      <c r="C327" s="52"/>
      <c r="D327" s="52"/>
    </row>
    <row r="328" spans="1:4" ht="12.75" customHeight="1">
      <c r="A328" s="52"/>
      <c r="B328" s="52"/>
      <c r="C328" s="52"/>
      <c r="D328" s="52"/>
    </row>
    <row r="329" spans="1:4" ht="12.75" customHeight="1">
      <c r="A329" s="52"/>
      <c r="B329" s="52"/>
      <c r="C329" s="52"/>
      <c r="D329" s="52"/>
    </row>
    <row r="330" spans="1:4" ht="12.75" customHeight="1">
      <c r="A330" s="52"/>
      <c r="B330" s="52"/>
      <c r="C330" s="52"/>
      <c r="D330" s="52"/>
    </row>
    <row r="331" spans="1:4" ht="12.75" customHeight="1">
      <c r="A331" s="52"/>
      <c r="B331" s="52"/>
      <c r="C331" s="52"/>
      <c r="D331" s="52"/>
    </row>
    <row r="332" spans="1:4" ht="12.75" customHeight="1">
      <c r="A332" s="52"/>
      <c r="B332" s="52"/>
      <c r="C332" s="52"/>
      <c r="D332" s="52"/>
    </row>
    <row r="333" spans="1:4" ht="12.75" customHeight="1">
      <c r="A333" s="52"/>
      <c r="B333" s="52"/>
      <c r="C333" s="52"/>
      <c r="D333" s="52"/>
    </row>
    <row r="334" spans="1:4" ht="12.75" customHeight="1">
      <c r="A334" s="52"/>
      <c r="B334" s="52"/>
      <c r="C334" s="52"/>
      <c r="D334" s="52"/>
    </row>
    <row r="335" spans="1:4" ht="12.75" customHeight="1">
      <c r="A335" s="52"/>
      <c r="B335" s="52"/>
      <c r="C335" s="52"/>
      <c r="D335" s="52"/>
    </row>
    <row r="336" spans="1:4" ht="12.75" customHeight="1">
      <c r="A336" s="52"/>
      <c r="B336" s="52"/>
      <c r="C336" s="52"/>
      <c r="D336" s="52"/>
    </row>
    <row r="337" spans="1:4" ht="12.75" customHeight="1">
      <c r="A337" s="52"/>
      <c r="B337" s="52"/>
      <c r="C337" s="52"/>
      <c r="D337" s="52"/>
    </row>
    <row r="338" spans="1:4" ht="12.75" customHeight="1">
      <c r="A338" s="52"/>
      <c r="B338" s="52"/>
      <c r="C338" s="52"/>
      <c r="D338" s="52"/>
    </row>
    <row r="339" spans="1:4" ht="12.75" customHeight="1">
      <c r="A339" s="52"/>
      <c r="B339" s="52"/>
      <c r="C339" s="52"/>
      <c r="D339" s="52"/>
    </row>
    <row r="340" spans="1:4" ht="12.75" customHeight="1">
      <c r="A340" s="52"/>
      <c r="B340" s="52"/>
      <c r="C340" s="52"/>
      <c r="D340" s="52"/>
    </row>
    <row r="341" spans="1:4" ht="12.75" customHeight="1">
      <c r="A341" s="52"/>
      <c r="B341" s="52"/>
      <c r="C341" s="52"/>
      <c r="D341" s="52"/>
    </row>
    <row r="342" spans="1:4" ht="12.75" customHeight="1">
      <c r="A342" s="52"/>
      <c r="B342" s="52"/>
      <c r="C342" s="52"/>
      <c r="D342" s="52"/>
    </row>
    <row r="343" spans="1:4" ht="12.75" customHeight="1">
      <c r="A343" s="52"/>
      <c r="B343" s="52"/>
      <c r="C343" s="52"/>
      <c r="D343" s="52"/>
    </row>
    <row r="344" spans="1:4" ht="12.75" customHeight="1">
      <c r="A344" s="52"/>
      <c r="B344" s="52"/>
      <c r="C344" s="52"/>
      <c r="D344" s="52"/>
    </row>
    <row r="345" spans="1:4" ht="12.75" customHeight="1">
      <c r="A345" s="52"/>
      <c r="B345" s="52"/>
      <c r="C345" s="52"/>
      <c r="D345" s="52"/>
    </row>
    <row r="346" spans="1:4" ht="12.75" customHeight="1">
      <c r="A346" s="52"/>
      <c r="B346" s="52"/>
      <c r="C346" s="52"/>
      <c r="D346" s="52"/>
    </row>
    <row r="347" spans="1:4" ht="12.75" customHeight="1">
      <c r="A347" s="52"/>
      <c r="B347" s="52"/>
      <c r="C347" s="52"/>
      <c r="D347" s="52"/>
    </row>
    <row r="348" spans="1:4" ht="12.75" customHeight="1">
      <c r="A348" s="52"/>
      <c r="B348" s="52"/>
      <c r="C348" s="52"/>
      <c r="D348" s="52"/>
    </row>
    <row r="349" spans="1:4" ht="12.75" customHeight="1">
      <c r="A349" s="52"/>
      <c r="B349" s="52"/>
      <c r="C349" s="52"/>
      <c r="D349" s="52"/>
    </row>
    <row r="350" spans="1:4" ht="12.75" customHeight="1">
      <c r="A350" s="52"/>
      <c r="B350" s="52"/>
      <c r="C350" s="52"/>
      <c r="D350" s="52"/>
    </row>
    <row r="351" spans="1:4" ht="12.75" customHeight="1">
      <c r="A351" s="52"/>
      <c r="B351" s="52"/>
      <c r="C351" s="52"/>
      <c r="D351" s="52"/>
    </row>
    <row r="352" spans="1:4" ht="12.75" customHeight="1">
      <c r="A352" s="52"/>
      <c r="B352" s="52"/>
      <c r="C352" s="52"/>
      <c r="D352" s="52"/>
    </row>
    <row r="353" spans="1:4" ht="12.75" customHeight="1">
      <c r="A353" s="52"/>
      <c r="B353" s="52"/>
      <c r="C353" s="52"/>
      <c r="D353" s="52"/>
    </row>
    <row r="354" spans="1:4" ht="12.75" customHeight="1">
      <c r="A354" s="52"/>
      <c r="B354" s="52"/>
      <c r="C354" s="52"/>
      <c r="D354" s="52"/>
    </row>
    <row r="355" spans="1:4" ht="12.75" customHeight="1">
      <c r="A355" s="52"/>
      <c r="B355" s="52"/>
      <c r="C355" s="52"/>
      <c r="D355" s="52"/>
    </row>
    <row r="356" spans="1:4" ht="12.75" customHeight="1">
      <c r="A356" s="52"/>
      <c r="B356" s="52"/>
      <c r="C356" s="52"/>
      <c r="D356" s="52"/>
    </row>
    <row r="357" spans="1:4" ht="12.75" customHeight="1">
      <c r="A357" s="52"/>
      <c r="B357" s="52"/>
      <c r="C357" s="52"/>
      <c r="D357" s="52"/>
    </row>
    <row r="358" spans="1:4" ht="12.75" customHeight="1">
      <c r="A358" s="52"/>
      <c r="B358" s="52"/>
      <c r="C358" s="52"/>
      <c r="D358" s="52"/>
    </row>
    <row r="359" spans="1:4" ht="12.75" customHeight="1">
      <c r="A359" s="52"/>
      <c r="B359" s="52"/>
      <c r="C359" s="52"/>
      <c r="D359" s="52"/>
    </row>
    <row r="360" spans="1:4" ht="12.75" customHeight="1">
      <c r="A360" s="52"/>
      <c r="B360" s="52"/>
      <c r="C360" s="52"/>
      <c r="D360" s="52"/>
    </row>
    <row r="361" spans="1:4" ht="12.75" customHeight="1">
      <c r="A361" s="52"/>
      <c r="B361" s="52"/>
      <c r="C361" s="52"/>
      <c r="D361" s="52"/>
    </row>
    <row r="362" spans="1:4" ht="12.75" customHeight="1">
      <c r="A362" s="52"/>
      <c r="B362" s="52"/>
      <c r="C362" s="52"/>
      <c r="D362" s="52"/>
    </row>
    <row r="363" spans="1:4" ht="12.75" customHeight="1">
      <c r="A363" s="52"/>
      <c r="B363" s="52"/>
      <c r="C363" s="52"/>
      <c r="D363" s="52"/>
    </row>
    <row r="364" spans="1:4" ht="12.75" customHeight="1">
      <c r="A364" s="52"/>
      <c r="B364" s="52"/>
      <c r="C364" s="52"/>
      <c r="D364" s="52"/>
    </row>
    <row r="365" spans="1:4" ht="12.75" customHeight="1">
      <c r="A365" s="52"/>
      <c r="B365" s="52"/>
      <c r="C365" s="52"/>
      <c r="D365" s="52"/>
    </row>
    <row r="366" spans="1:4" ht="12.75" customHeight="1">
      <c r="A366" s="52"/>
      <c r="B366" s="52"/>
      <c r="C366" s="52"/>
      <c r="D366" s="52"/>
    </row>
    <row r="367" spans="1:4" ht="12.75" customHeight="1">
      <c r="A367" s="52"/>
      <c r="B367" s="52"/>
      <c r="C367" s="52"/>
      <c r="D367" s="52"/>
    </row>
    <row r="368" spans="1:4" ht="12.75" customHeight="1">
      <c r="A368" s="52"/>
      <c r="B368" s="52"/>
      <c r="C368" s="52"/>
      <c r="D368" s="52"/>
    </row>
    <row r="369" spans="1:4" ht="12.75" customHeight="1">
      <c r="A369" s="52"/>
      <c r="B369" s="52"/>
      <c r="C369" s="52"/>
      <c r="D369" s="52"/>
    </row>
    <row r="370" spans="1:4" ht="12.75" customHeight="1">
      <c r="A370" s="52"/>
      <c r="B370" s="52"/>
      <c r="C370" s="52"/>
      <c r="D370" s="52"/>
    </row>
    <row r="371" spans="1:4" ht="12.75" customHeight="1">
      <c r="A371" s="52"/>
      <c r="B371" s="52"/>
      <c r="C371" s="52"/>
      <c r="D371" s="52"/>
    </row>
    <row r="372" spans="1:4" ht="12.75" customHeight="1">
      <c r="A372" s="52"/>
      <c r="B372" s="52"/>
      <c r="C372" s="52"/>
      <c r="D372" s="52"/>
    </row>
    <row r="373" spans="1:4" ht="12.75" customHeight="1">
      <c r="A373" s="52"/>
      <c r="B373" s="52"/>
      <c r="C373" s="52"/>
      <c r="D373" s="52"/>
    </row>
    <row r="374" spans="1:4" ht="12.75" customHeight="1">
      <c r="A374" s="52"/>
      <c r="B374" s="52"/>
      <c r="C374" s="52"/>
      <c r="D374" s="52"/>
    </row>
    <row r="375" spans="1:4" ht="12.75" customHeight="1">
      <c r="A375" s="52"/>
      <c r="B375" s="52"/>
      <c r="C375" s="52"/>
      <c r="D375" s="52"/>
    </row>
    <row r="376" spans="1:4" ht="12.75" customHeight="1">
      <c r="A376" s="52"/>
      <c r="B376" s="52"/>
      <c r="C376" s="52"/>
      <c r="D376" s="52"/>
    </row>
    <row r="377" spans="1:4" ht="12.75" customHeight="1">
      <c r="A377" s="52"/>
      <c r="B377" s="52"/>
      <c r="C377" s="52"/>
      <c r="D377" s="52"/>
    </row>
    <row r="378" spans="1:4" ht="12.75" customHeight="1">
      <c r="A378" s="52"/>
      <c r="B378" s="52"/>
      <c r="C378" s="52"/>
      <c r="D378" s="52"/>
    </row>
    <row r="379" spans="1:4" ht="12.75" customHeight="1">
      <c r="A379" s="52"/>
      <c r="B379" s="52"/>
      <c r="C379" s="52"/>
      <c r="D379" s="52"/>
    </row>
    <row r="380" spans="1:4" ht="12.75" customHeight="1">
      <c r="A380" s="52"/>
      <c r="B380" s="52"/>
      <c r="C380" s="52"/>
      <c r="D380" s="52"/>
    </row>
    <row r="381" spans="1:4" ht="12.75" customHeight="1">
      <c r="A381" s="52"/>
      <c r="B381" s="52"/>
      <c r="C381" s="52"/>
      <c r="D381" s="52"/>
    </row>
    <row r="382" spans="1:4" ht="12.75" customHeight="1">
      <c r="A382" s="52"/>
      <c r="B382" s="52"/>
      <c r="C382" s="52"/>
      <c r="D382" s="52"/>
    </row>
    <row r="383" spans="1:4" ht="12.75" customHeight="1">
      <c r="A383" s="52"/>
      <c r="B383" s="52"/>
      <c r="C383" s="52"/>
      <c r="D383" s="52"/>
    </row>
    <row r="384" spans="1:4" ht="12.75" customHeight="1">
      <c r="A384" s="52"/>
      <c r="B384" s="52"/>
      <c r="C384" s="52"/>
      <c r="D384" s="52"/>
    </row>
    <row r="385" spans="1:4" ht="12.75" customHeight="1">
      <c r="A385" s="52"/>
      <c r="B385" s="52"/>
      <c r="C385" s="52"/>
      <c r="D385" s="52"/>
    </row>
    <row r="386" spans="1:4" ht="12.75" customHeight="1">
      <c r="A386" s="52"/>
      <c r="B386" s="52"/>
      <c r="C386" s="52"/>
      <c r="D386" s="52"/>
    </row>
    <row r="387" spans="1:4" ht="12.75" customHeight="1">
      <c r="A387" s="52"/>
      <c r="B387" s="52"/>
      <c r="C387" s="52"/>
      <c r="D387" s="52"/>
    </row>
    <row r="388" spans="1:4" ht="12.75" customHeight="1">
      <c r="A388" s="52"/>
      <c r="B388" s="52"/>
      <c r="C388" s="52"/>
      <c r="D388" s="52"/>
    </row>
    <row r="389" spans="1:4" ht="12.75" customHeight="1">
      <c r="A389" s="52"/>
      <c r="B389" s="52"/>
      <c r="C389" s="52"/>
      <c r="D389" s="52"/>
    </row>
    <row r="390" spans="1:4" ht="12.75" customHeight="1">
      <c r="A390" s="52"/>
      <c r="B390" s="52"/>
      <c r="C390" s="52"/>
      <c r="D390" s="52"/>
    </row>
    <row r="391" spans="1:4" ht="12.75" customHeight="1">
      <c r="A391" s="52"/>
      <c r="B391" s="52"/>
      <c r="C391" s="52"/>
      <c r="D391" s="52"/>
    </row>
    <row r="392" spans="1:4" ht="12.75" customHeight="1">
      <c r="A392" s="52"/>
      <c r="B392" s="52"/>
      <c r="C392" s="52"/>
      <c r="D392" s="52"/>
    </row>
    <row r="393" spans="1:4" ht="12.75" customHeight="1">
      <c r="A393" s="52"/>
      <c r="B393" s="52"/>
      <c r="C393" s="52"/>
      <c r="D393" s="52"/>
    </row>
    <row r="394" spans="1:4" ht="12.75" customHeight="1">
      <c r="A394" s="52"/>
      <c r="B394" s="52"/>
      <c r="C394" s="52"/>
      <c r="D394" s="52"/>
    </row>
    <row r="395" spans="1:4" ht="12.75" customHeight="1">
      <c r="A395" s="52"/>
      <c r="B395" s="52"/>
      <c r="C395" s="52"/>
      <c r="D395" s="52"/>
    </row>
    <row r="396" spans="1:4" ht="12.75" customHeight="1">
      <c r="A396" s="52"/>
      <c r="B396" s="52"/>
      <c r="C396" s="52"/>
      <c r="D396" s="52"/>
    </row>
    <row r="397" spans="1:4" ht="12.75" customHeight="1">
      <c r="A397" s="52"/>
      <c r="B397" s="52"/>
      <c r="C397" s="52"/>
      <c r="D397" s="52"/>
    </row>
    <row r="398" spans="1:4" ht="12.75" customHeight="1">
      <c r="A398" s="52"/>
      <c r="B398" s="52"/>
      <c r="C398" s="52"/>
      <c r="D398" s="52"/>
    </row>
    <row r="399" spans="1:4" ht="12.75" customHeight="1">
      <c r="A399" s="52"/>
      <c r="B399" s="52"/>
      <c r="C399" s="52"/>
      <c r="D399" s="52"/>
    </row>
    <row r="400" spans="1:4" ht="12.75" customHeight="1">
      <c r="A400" s="52"/>
      <c r="B400" s="52"/>
      <c r="C400" s="52"/>
      <c r="D400" s="52"/>
    </row>
    <row r="401" spans="1:4" ht="12.75" customHeight="1">
      <c r="A401" s="52"/>
      <c r="B401" s="52"/>
      <c r="C401" s="52"/>
      <c r="D401" s="52"/>
    </row>
    <row r="402" spans="1:4" ht="12.75" customHeight="1">
      <c r="A402" s="52"/>
      <c r="B402" s="52"/>
      <c r="C402" s="52"/>
      <c r="D402" s="52"/>
    </row>
    <row r="403" spans="1:4" ht="12.75" customHeight="1">
      <c r="A403" s="52"/>
      <c r="B403" s="52"/>
      <c r="C403" s="52"/>
      <c r="D403" s="52"/>
    </row>
    <row r="404" spans="1:4" ht="12.75" customHeight="1">
      <c r="A404" s="52"/>
      <c r="B404" s="52"/>
      <c r="C404" s="52"/>
      <c r="D404" s="52"/>
    </row>
    <row r="405" spans="1:4" ht="12.75" customHeight="1">
      <c r="A405" s="52"/>
      <c r="B405" s="52"/>
      <c r="C405" s="52"/>
      <c r="D405" s="52"/>
    </row>
    <row r="406" spans="1:4" ht="12.75" customHeight="1">
      <c r="A406" s="52"/>
      <c r="B406" s="52"/>
      <c r="C406" s="52"/>
      <c r="D406" s="52"/>
    </row>
    <row r="407" spans="1:4" ht="12.75" customHeight="1">
      <c r="A407" s="52"/>
      <c r="B407" s="52"/>
      <c r="C407" s="52"/>
      <c r="D407" s="52"/>
    </row>
    <row r="408" spans="1:4" ht="12.75" customHeight="1">
      <c r="A408" s="52"/>
      <c r="B408" s="52"/>
      <c r="C408" s="52"/>
      <c r="D408" s="52"/>
    </row>
    <row r="409" spans="1:4" ht="12.75" customHeight="1">
      <c r="A409" s="52"/>
      <c r="B409" s="52"/>
      <c r="C409" s="52"/>
      <c r="D409" s="52"/>
    </row>
    <row r="410" spans="1:4" ht="12.75" customHeight="1">
      <c r="A410" s="52"/>
      <c r="B410" s="52"/>
      <c r="C410" s="52"/>
      <c r="D410" s="52"/>
    </row>
    <row r="411" spans="1:4" ht="12.75" customHeight="1">
      <c r="A411" s="52"/>
      <c r="B411" s="52"/>
      <c r="C411" s="52"/>
      <c r="D411" s="52"/>
    </row>
    <row r="412" spans="1:4" ht="12.75" customHeight="1">
      <c r="A412" s="52"/>
      <c r="B412" s="52"/>
      <c r="C412" s="52"/>
      <c r="D412" s="52"/>
    </row>
    <row r="413" spans="1:4" ht="12.75" customHeight="1">
      <c r="A413" s="52"/>
      <c r="B413" s="52"/>
      <c r="C413" s="52"/>
      <c r="D413" s="52"/>
    </row>
    <row r="414" spans="1:4" ht="12.75" customHeight="1">
      <c r="A414" s="52"/>
      <c r="B414" s="52"/>
      <c r="C414" s="52"/>
      <c r="D414" s="52"/>
    </row>
    <row r="415" spans="1:4" ht="12.75" customHeight="1">
      <c r="A415" s="52"/>
      <c r="B415" s="52"/>
      <c r="C415" s="52"/>
      <c r="D415" s="52"/>
    </row>
    <row r="416" spans="1:4" ht="12.75" customHeight="1">
      <c r="A416" s="52"/>
      <c r="B416" s="52"/>
      <c r="C416" s="52"/>
      <c r="D416" s="52"/>
    </row>
    <row r="417" spans="1:4" ht="12.75" customHeight="1">
      <c r="A417" s="52"/>
      <c r="B417" s="52"/>
      <c r="C417" s="52"/>
      <c r="D417" s="52"/>
    </row>
    <row r="418" spans="1:4" ht="12.75" customHeight="1">
      <c r="A418" s="52"/>
      <c r="B418" s="52"/>
      <c r="C418" s="52"/>
      <c r="D418" s="52"/>
    </row>
    <row r="419" spans="1:4" ht="12.75" customHeight="1">
      <c r="A419" s="52"/>
      <c r="B419" s="52"/>
      <c r="C419" s="52"/>
      <c r="D419" s="52"/>
    </row>
    <row r="420" spans="1:4" ht="12.75" customHeight="1">
      <c r="A420" s="52"/>
      <c r="B420" s="52"/>
      <c r="C420" s="52"/>
      <c r="D420" s="52"/>
    </row>
    <row r="421" spans="1:4" ht="12.75" customHeight="1">
      <c r="A421" s="52"/>
      <c r="B421" s="52"/>
      <c r="C421" s="52"/>
      <c r="D421" s="52"/>
    </row>
    <row r="422" spans="1:4" ht="12.75" customHeight="1">
      <c r="A422" s="52"/>
      <c r="B422" s="52"/>
      <c r="C422" s="52"/>
      <c r="D422" s="52"/>
    </row>
    <row r="423" spans="1:4" ht="12.75" customHeight="1">
      <c r="A423" s="52"/>
      <c r="B423" s="52"/>
      <c r="C423" s="52"/>
      <c r="D423" s="52"/>
    </row>
    <row r="424" spans="1:4" ht="12.75" customHeight="1">
      <c r="A424" s="52"/>
      <c r="B424" s="52"/>
      <c r="C424" s="52"/>
      <c r="D424" s="52"/>
    </row>
    <row r="425" spans="1:4" ht="12.75" customHeight="1">
      <c r="A425" s="52"/>
      <c r="B425" s="52"/>
      <c r="C425" s="52"/>
      <c r="D425" s="52"/>
    </row>
    <row r="426" spans="1:4" ht="12.75" customHeight="1">
      <c r="A426" s="52"/>
      <c r="B426" s="52"/>
      <c r="C426" s="52"/>
      <c r="D426" s="52"/>
    </row>
    <row r="427" spans="1:4" ht="12.75" customHeight="1">
      <c r="A427" s="52"/>
      <c r="B427" s="52"/>
      <c r="C427" s="52"/>
      <c r="D427" s="52"/>
    </row>
    <row r="428" spans="1:4" ht="12.75" customHeight="1">
      <c r="A428" s="52"/>
      <c r="B428" s="52"/>
      <c r="C428" s="52"/>
      <c r="D428" s="52"/>
    </row>
    <row r="429" spans="1:4" ht="12.75" customHeight="1">
      <c r="A429" s="52"/>
      <c r="B429" s="52"/>
      <c r="C429" s="52"/>
      <c r="D429" s="52"/>
    </row>
    <row r="430" spans="1:4" ht="12.75" customHeight="1">
      <c r="A430" s="52"/>
      <c r="B430" s="52"/>
      <c r="C430" s="52"/>
      <c r="D430" s="52"/>
    </row>
    <row r="431" spans="1:4" ht="12.75" customHeight="1">
      <c r="A431" s="52"/>
      <c r="B431" s="52"/>
      <c r="C431" s="52"/>
      <c r="D431" s="52"/>
    </row>
    <row r="432" spans="1:4" ht="12.75" customHeight="1">
      <c r="A432" s="52"/>
      <c r="B432" s="52"/>
      <c r="C432" s="52"/>
      <c r="D432" s="52"/>
    </row>
    <row r="433" spans="1:4" ht="12.75" customHeight="1">
      <c r="A433" s="52"/>
      <c r="B433" s="52"/>
      <c r="C433" s="52"/>
      <c r="D433" s="52"/>
    </row>
    <row r="434" spans="1:4" ht="12.75" customHeight="1">
      <c r="A434" s="52"/>
      <c r="B434" s="52"/>
      <c r="C434" s="52"/>
      <c r="D434" s="52"/>
    </row>
    <row r="435" spans="1:4" ht="12.75" customHeight="1">
      <c r="A435" s="52"/>
      <c r="B435" s="52"/>
      <c r="C435" s="52"/>
      <c r="D435" s="52"/>
    </row>
    <row r="436" spans="1:4" ht="12.75" customHeight="1">
      <c r="A436" s="52"/>
      <c r="B436" s="52"/>
      <c r="C436" s="52"/>
      <c r="D436" s="52"/>
    </row>
    <row r="437" spans="1:4" ht="12.75" customHeight="1">
      <c r="A437" s="52"/>
      <c r="B437" s="52"/>
      <c r="C437" s="52"/>
      <c r="D437" s="52"/>
    </row>
    <row r="438" spans="1:4" ht="12.75" customHeight="1">
      <c r="A438" s="52"/>
      <c r="B438" s="52"/>
      <c r="C438" s="52"/>
      <c r="D438" s="52"/>
    </row>
    <row r="439" spans="1:4" ht="12.75" customHeight="1">
      <c r="A439" s="52"/>
      <c r="B439" s="52"/>
      <c r="C439" s="52"/>
      <c r="D439" s="52"/>
    </row>
    <row r="440" spans="1:4" ht="12.75" customHeight="1">
      <c r="A440" s="52"/>
      <c r="B440" s="52"/>
      <c r="C440" s="52"/>
      <c r="D440" s="52"/>
    </row>
    <row r="441" spans="1:4" ht="12.75" customHeight="1">
      <c r="A441" s="52"/>
      <c r="B441" s="52"/>
      <c r="C441" s="52"/>
      <c r="D441" s="52"/>
    </row>
    <row r="442" spans="1:4" ht="12.75" customHeight="1">
      <c r="A442" s="52"/>
      <c r="B442" s="52"/>
      <c r="C442" s="52"/>
      <c r="D442" s="52"/>
    </row>
    <row r="443" spans="1:4" ht="12.75" customHeight="1">
      <c r="A443" s="52"/>
      <c r="B443" s="52"/>
      <c r="C443" s="52"/>
      <c r="D443" s="52"/>
    </row>
    <row r="444" spans="1:4" ht="12.75" customHeight="1">
      <c r="A444" s="52"/>
      <c r="B444" s="52"/>
      <c r="C444" s="52"/>
      <c r="D444" s="52"/>
    </row>
    <row r="445" spans="1:4" ht="12.75" customHeight="1">
      <c r="A445" s="52"/>
      <c r="B445" s="52"/>
      <c r="C445" s="52"/>
      <c r="D445" s="52"/>
    </row>
    <row r="446" spans="1:4" ht="12.75" customHeight="1">
      <c r="A446" s="52"/>
      <c r="B446" s="52"/>
      <c r="C446" s="52"/>
      <c r="D446" s="52"/>
    </row>
    <row r="447" spans="1:4" ht="12.75" customHeight="1">
      <c r="A447" s="52"/>
      <c r="B447" s="52"/>
      <c r="C447" s="52"/>
      <c r="D447" s="52"/>
    </row>
    <row r="448" spans="1:4" ht="12.75" customHeight="1">
      <c r="A448" s="52"/>
      <c r="B448" s="52"/>
      <c r="C448" s="52"/>
      <c r="D448" s="52"/>
    </row>
    <row r="449" spans="1:4" ht="12.75" customHeight="1">
      <c r="A449" s="52"/>
      <c r="B449" s="52"/>
      <c r="C449" s="52"/>
      <c r="D449" s="52"/>
    </row>
    <row r="450" spans="1:4" ht="12.75" customHeight="1">
      <c r="A450" s="52"/>
      <c r="B450" s="52"/>
      <c r="C450" s="52"/>
      <c r="D450" s="52"/>
    </row>
    <row r="451" spans="1:4" ht="12.75" customHeight="1">
      <c r="A451" s="52"/>
      <c r="B451" s="52"/>
      <c r="C451" s="52"/>
      <c r="D451" s="52"/>
    </row>
    <row r="452" spans="1:4" ht="12.75" customHeight="1">
      <c r="A452" s="52"/>
      <c r="B452" s="52"/>
      <c r="C452" s="52"/>
      <c r="D452" s="52"/>
    </row>
    <row r="453" spans="1:4" ht="12.75" customHeight="1">
      <c r="A453" s="52"/>
      <c r="B453" s="52"/>
      <c r="C453" s="52"/>
      <c r="D453" s="52"/>
    </row>
    <row r="454" spans="1:4" ht="12.75" customHeight="1">
      <c r="A454" s="52"/>
      <c r="B454" s="52"/>
      <c r="C454" s="52"/>
      <c r="D454" s="52"/>
    </row>
    <row r="455" spans="1:4" ht="12.75" customHeight="1">
      <c r="A455" s="52"/>
      <c r="B455" s="52"/>
      <c r="C455" s="52"/>
      <c r="D455" s="52"/>
    </row>
    <row r="456" spans="1:4" ht="12.75" customHeight="1">
      <c r="A456" s="52"/>
      <c r="B456" s="52"/>
      <c r="C456" s="52"/>
      <c r="D456" s="52"/>
    </row>
    <row r="457" spans="1:4" ht="12.75" customHeight="1">
      <c r="A457" s="52"/>
      <c r="B457" s="52"/>
      <c r="C457" s="52"/>
      <c r="D457" s="52"/>
    </row>
    <row r="458" spans="1:4" ht="12.75" customHeight="1">
      <c r="A458" s="52"/>
      <c r="B458" s="52"/>
      <c r="C458" s="52"/>
      <c r="D458" s="52"/>
    </row>
    <row r="459" spans="1:4" ht="12.75" customHeight="1">
      <c r="A459" s="52"/>
      <c r="B459" s="52"/>
      <c r="C459" s="52"/>
      <c r="D459" s="52"/>
    </row>
    <row r="460" spans="1:4" ht="12.75" customHeight="1">
      <c r="A460" s="52"/>
      <c r="B460" s="52"/>
      <c r="C460" s="52"/>
      <c r="D460" s="52"/>
    </row>
    <row r="461" spans="1:4" ht="12.75" customHeight="1">
      <c r="A461" s="52"/>
      <c r="B461" s="52"/>
      <c r="C461" s="52"/>
      <c r="D461" s="52"/>
    </row>
    <row r="462" spans="1:4" ht="12.75" customHeight="1">
      <c r="A462" s="52"/>
      <c r="B462" s="52"/>
      <c r="C462" s="52"/>
      <c r="D462" s="52"/>
    </row>
    <row r="463" spans="1:4" ht="12.75" customHeight="1">
      <c r="A463" s="52"/>
      <c r="B463" s="52"/>
      <c r="C463" s="52"/>
      <c r="D463" s="52"/>
    </row>
    <row r="464" spans="1:4" ht="12.75" customHeight="1">
      <c r="A464" s="52"/>
      <c r="B464" s="52"/>
      <c r="C464" s="52"/>
      <c r="D464" s="52"/>
    </row>
    <row r="465" spans="1:4" ht="12.75" customHeight="1">
      <c r="A465" s="52"/>
      <c r="B465" s="52"/>
      <c r="C465" s="52"/>
      <c r="D465" s="52"/>
    </row>
    <row r="466" spans="1:4" ht="12.75" customHeight="1">
      <c r="A466" s="52"/>
      <c r="B466" s="52"/>
      <c r="C466" s="52"/>
      <c r="D466" s="52"/>
    </row>
    <row r="467" spans="1:4" ht="12.75" customHeight="1">
      <c r="A467" s="52"/>
      <c r="B467" s="52"/>
      <c r="C467" s="52"/>
      <c r="D467" s="52"/>
    </row>
    <row r="468" spans="1:4" ht="12.75" customHeight="1">
      <c r="A468" s="52"/>
      <c r="B468" s="52"/>
      <c r="C468" s="52"/>
      <c r="D468" s="52"/>
    </row>
    <row r="469" spans="1:4" ht="12.75" customHeight="1">
      <c r="A469" s="52"/>
      <c r="B469" s="52"/>
      <c r="C469" s="52"/>
      <c r="D469" s="52"/>
    </row>
    <row r="470" spans="1:4" ht="12.75" customHeight="1">
      <c r="A470" s="52"/>
      <c r="B470" s="52"/>
      <c r="C470" s="52"/>
      <c r="D470" s="52"/>
    </row>
    <row r="471" spans="1:4" ht="12.75" customHeight="1">
      <c r="A471" s="52"/>
      <c r="B471" s="52"/>
      <c r="C471" s="52"/>
      <c r="D471" s="52"/>
    </row>
    <row r="472" spans="1:4" ht="12.75" customHeight="1">
      <c r="A472" s="52"/>
      <c r="B472" s="52"/>
      <c r="C472" s="52"/>
      <c r="D472" s="52"/>
    </row>
    <row r="473" spans="1:4" ht="12.75" customHeight="1">
      <c r="A473" s="52"/>
      <c r="B473" s="52"/>
      <c r="C473" s="52"/>
      <c r="D473" s="52"/>
    </row>
    <row r="474" spans="1:4" ht="12.75" customHeight="1">
      <c r="A474" s="52"/>
      <c r="B474" s="52"/>
      <c r="C474" s="52"/>
      <c r="D474" s="52"/>
    </row>
    <row r="475" spans="1:4" ht="12.75" customHeight="1">
      <c r="A475" s="52"/>
      <c r="B475" s="52"/>
      <c r="C475" s="52"/>
      <c r="D475" s="52"/>
    </row>
    <row r="476" spans="1:4" ht="12.75" customHeight="1">
      <c r="A476" s="52"/>
      <c r="B476" s="52"/>
      <c r="C476" s="52"/>
      <c r="D476" s="52"/>
    </row>
    <row r="477" spans="1:4" ht="12.75" customHeight="1">
      <c r="A477" s="52"/>
      <c r="B477" s="52"/>
      <c r="C477" s="52"/>
      <c r="D477" s="52"/>
    </row>
    <row r="478" spans="1:4" ht="12.75" customHeight="1">
      <c r="A478" s="52"/>
      <c r="B478" s="52"/>
      <c r="C478" s="52"/>
      <c r="D478" s="52"/>
    </row>
    <row r="479" spans="1:4" ht="12.75" customHeight="1">
      <c r="A479" s="52"/>
      <c r="B479" s="52"/>
      <c r="C479" s="52"/>
      <c r="D479" s="52"/>
    </row>
    <row r="480" spans="1:4" ht="12.75" customHeight="1">
      <c r="A480" s="52"/>
      <c r="B480" s="52"/>
      <c r="C480" s="52"/>
      <c r="D480" s="52"/>
    </row>
    <row r="481" spans="1:4" ht="12.75" customHeight="1">
      <c r="A481" s="52"/>
      <c r="B481" s="52"/>
      <c r="C481" s="52"/>
      <c r="D481" s="52"/>
    </row>
    <row r="482" spans="1:4" ht="12.75" customHeight="1">
      <c r="A482" s="52"/>
      <c r="B482" s="52"/>
      <c r="C482" s="52"/>
      <c r="D482" s="52"/>
    </row>
    <row r="483" spans="1:4" ht="12.75" customHeight="1">
      <c r="A483" s="52"/>
      <c r="B483" s="52"/>
      <c r="C483" s="52"/>
      <c r="D483" s="52"/>
    </row>
    <row r="484" spans="1:4" ht="12.75" customHeight="1">
      <c r="A484" s="52"/>
      <c r="B484" s="52"/>
      <c r="C484" s="52"/>
      <c r="D484" s="52"/>
    </row>
    <row r="485" spans="1:4" ht="12.75" customHeight="1">
      <c r="A485" s="52"/>
      <c r="B485" s="52"/>
      <c r="C485" s="52"/>
      <c r="D485" s="52"/>
    </row>
    <row r="486" spans="1:4" ht="12.75" customHeight="1">
      <c r="A486" s="52"/>
      <c r="B486" s="52"/>
      <c r="C486" s="52"/>
      <c r="D486" s="52"/>
    </row>
    <row r="487" spans="1:4" ht="12.75" customHeight="1">
      <c r="A487" s="52"/>
      <c r="B487" s="52"/>
      <c r="C487" s="52"/>
      <c r="D487" s="52"/>
    </row>
    <row r="488" spans="1:4" ht="12.75" customHeight="1">
      <c r="A488" s="52"/>
      <c r="B488" s="52"/>
      <c r="C488" s="52"/>
      <c r="D488" s="52"/>
    </row>
    <row r="489" spans="1:4" ht="12.75" customHeight="1">
      <c r="A489" s="52"/>
      <c r="B489" s="52"/>
      <c r="C489" s="52"/>
      <c r="D489" s="52"/>
    </row>
    <row r="490" spans="1:4" ht="12.75" customHeight="1">
      <c r="A490" s="52"/>
      <c r="B490" s="52"/>
      <c r="C490" s="52"/>
      <c r="D490" s="52"/>
    </row>
    <row r="491" spans="1:4" ht="12.75" customHeight="1">
      <c r="A491" s="52"/>
      <c r="B491" s="52"/>
      <c r="C491" s="52"/>
      <c r="D491" s="52"/>
    </row>
    <row r="492" spans="1:4" ht="12.75" customHeight="1">
      <c r="A492" s="52"/>
      <c r="B492" s="52"/>
      <c r="C492" s="52"/>
      <c r="D492" s="52"/>
    </row>
    <row r="493" spans="1:4" ht="12.75" customHeight="1">
      <c r="A493" s="52"/>
      <c r="B493" s="52"/>
      <c r="C493" s="52"/>
      <c r="D493" s="52"/>
    </row>
    <row r="494" spans="1:4" ht="12.75" customHeight="1">
      <c r="A494" s="52"/>
      <c r="B494" s="52"/>
      <c r="C494" s="52"/>
      <c r="D494" s="52"/>
    </row>
    <row r="495" spans="1:4" ht="12.75" customHeight="1">
      <c r="A495" s="52"/>
      <c r="B495" s="52"/>
      <c r="C495" s="52"/>
      <c r="D495" s="52"/>
    </row>
    <row r="496" spans="1:4" ht="12.75" customHeight="1">
      <c r="A496" s="52"/>
      <c r="B496" s="52"/>
      <c r="C496" s="52"/>
      <c r="D496" s="52"/>
    </row>
    <row r="497" spans="1:4" ht="12.75" customHeight="1">
      <c r="A497" s="52"/>
      <c r="B497" s="52"/>
      <c r="C497" s="52"/>
      <c r="D497" s="52"/>
    </row>
    <row r="498" spans="1:4" ht="12.75" customHeight="1">
      <c r="A498" s="52"/>
      <c r="B498" s="52"/>
      <c r="C498" s="52"/>
      <c r="D498" s="52"/>
    </row>
    <row r="499" spans="1:4" ht="12.75" customHeight="1">
      <c r="A499" s="52"/>
      <c r="B499" s="52"/>
      <c r="C499" s="52"/>
      <c r="D499" s="52"/>
    </row>
    <row r="500" spans="1:4" ht="12.75" customHeight="1">
      <c r="A500" s="52"/>
      <c r="B500" s="52"/>
      <c r="C500" s="52"/>
      <c r="D500" s="52"/>
    </row>
    <row r="501" spans="1:4" ht="12.75" customHeight="1">
      <c r="A501" s="52"/>
      <c r="B501" s="52"/>
      <c r="C501" s="52"/>
      <c r="D501" s="52"/>
    </row>
    <row r="502" spans="1:4" ht="12.75" customHeight="1">
      <c r="A502" s="52"/>
      <c r="B502" s="52"/>
      <c r="C502" s="52"/>
      <c r="D502" s="52"/>
    </row>
    <row r="503" spans="1:4" ht="12.75" customHeight="1">
      <c r="A503" s="52"/>
      <c r="B503" s="52"/>
      <c r="C503" s="52"/>
      <c r="D503" s="52"/>
    </row>
    <row r="504" spans="1:4" ht="12.75" customHeight="1">
      <c r="A504" s="52"/>
      <c r="B504" s="52"/>
      <c r="C504" s="52"/>
      <c r="D504" s="52"/>
    </row>
    <row r="505" spans="1:4" ht="12.75" customHeight="1">
      <c r="A505" s="52"/>
      <c r="B505" s="52"/>
      <c r="C505" s="52"/>
      <c r="D505" s="52"/>
    </row>
    <row r="506" spans="1:4" ht="12.75" customHeight="1">
      <c r="A506" s="52"/>
      <c r="B506" s="52"/>
      <c r="C506" s="52"/>
      <c r="D506" s="52"/>
    </row>
    <row r="507" spans="1:4" ht="12.75" customHeight="1">
      <c r="A507" s="52"/>
      <c r="B507" s="52"/>
      <c r="C507" s="52"/>
      <c r="D507" s="52"/>
    </row>
    <row r="508" spans="1:4" ht="12.75" customHeight="1">
      <c r="A508" s="52"/>
      <c r="B508" s="52"/>
      <c r="C508" s="52"/>
      <c r="D508" s="52"/>
    </row>
    <row r="509" spans="1:4" ht="12.75" customHeight="1">
      <c r="A509" s="52"/>
      <c r="B509" s="52"/>
      <c r="C509" s="52"/>
      <c r="D509" s="52"/>
    </row>
    <row r="510" spans="1:4" ht="12.75" customHeight="1">
      <c r="A510" s="52"/>
      <c r="B510" s="52"/>
      <c r="C510" s="52"/>
      <c r="D510" s="52"/>
    </row>
    <row r="511" spans="1:4" ht="12.75" customHeight="1">
      <c r="A511" s="52"/>
      <c r="B511" s="52"/>
      <c r="C511" s="52"/>
      <c r="D511" s="52"/>
    </row>
    <row r="512" spans="1:4" ht="12.75" customHeight="1">
      <c r="A512" s="52"/>
      <c r="B512" s="52"/>
      <c r="C512" s="52"/>
      <c r="D512" s="52"/>
    </row>
    <row r="513" spans="1:4" ht="12.75" customHeight="1">
      <c r="A513" s="52"/>
      <c r="B513" s="52"/>
      <c r="C513" s="52"/>
      <c r="D513" s="52"/>
    </row>
    <row r="514" spans="1:4" ht="12.75" customHeight="1">
      <c r="A514" s="52"/>
      <c r="B514" s="52"/>
      <c r="C514" s="52"/>
      <c r="D514" s="52"/>
    </row>
    <row r="515" spans="1:4" ht="12.75" customHeight="1">
      <c r="A515" s="52"/>
      <c r="B515" s="52"/>
      <c r="C515" s="52"/>
      <c r="D515" s="52"/>
    </row>
    <row r="516" spans="1:4" ht="12.75" customHeight="1">
      <c r="A516" s="52"/>
      <c r="B516" s="52"/>
      <c r="C516" s="52"/>
      <c r="D516" s="52"/>
    </row>
    <row r="517" spans="1:4" ht="12.75" customHeight="1">
      <c r="A517" s="52"/>
      <c r="B517" s="52"/>
      <c r="C517" s="52"/>
      <c r="D517" s="52"/>
    </row>
    <row r="518" spans="1:4" ht="12.75" customHeight="1">
      <c r="A518" s="52"/>
      <c r="B518" s="52"/>
      <c r="C518" s="52"/>
      <c r="D518" s="52"/>
    </row>
    <row r="519" spans="1:4" ht="12.75" customHeight="1">
      <c r="A519" s="52"/>
      <c r="B519" s="52"/>
      <c r="C519" s="52"/>
      <c r="D519" s="52"/>
    </row>
    <row r="520" spans="1:4" ht="12.75" customHeight="1">
      <c r="A520" s="52"/>
      <c r="B520" s="52"/>
      <c r="C520" s="52"/>
      <c r="D520" s="52"/>
    </row>
    <row r="521" spans="1:4" ht="12.75" customHeight="1">
      <c r="A521" s="52"/>
      <c r="B521" s="52"/>
      <c r="C521" s="52"/>
      <c r="D521" s="52"/>
    </row>
    <row r="522" spans="1:4" ht="12.75" customHeight="1">
      <c r="A522" s="52"/>
      <c r="B522" s="52"/>
      <c r="C522" s="52"/>
      <c r="D522" s="52"/>
    </row>
    <row r="523" spans="1:4" ht="12.75" customHeight="1">
      <c r="A523" s="52"/>
      <c r="B523" s="52"/>
      <c r="C523" s="52"/>
      <c r="D523" s="52"/>
    </row>
    <row r="524" spans="1:4" ht="12.75" customHeight="1">
      <c r="A524" s="52"/>
      <c r="B524" s="52"/>
      <c r="C524" s="52"/>
      <c r="D524" s="52"/>
    </row>
    <row r="525" spans="1:4" ht="12.75" customHeight="1">
      <c r="A525" s="52"/>
      <c r="B525" s="52"/>
      <c r="C525" s="52"/>
      <c r="D525" s="52"/>
    </row>
    <row r="526" spans="1:4" ht="12.75" customHeight="1">
      <c r="A526" s="52"/>
      <c r="B526" s="52"/>
      <c r="C526" s="52"/>
      <c r="D526" s="52"/>
    </row>
    <row r="527" spans="1:4" ht="12.75" customHeight="1">
      <c r="A527" s="52"/>
      <c r="B527" s="52"/>
      <c r="C527" s="52"/>
      <c r="D527" s="52"/>
    </row>
    <row r="528" spans="1:4" ht="12.75" customHeight="1">
      <c r="A528" s="52"/>
      <c r="B528" s="52"/>
      <c r="C528" s="52"/>
      <c r="D528" s="52"/>
    </row>
    <row r="529" spans="1:4" ht="12.75" customHeight="1">
      <c r="A529" s="52"/>
      <c r="B529" s="52"/>
      <c r="C529" s="52"/>
      <c r="D529" s="52"/>
    </row>
    <row r="530" spans="1:4" ht="12.75" customHeight="1">
      <c r="A530" s="52"/>
      <c r="B530" s="52"/>
      <c r="C530" s="52"/>
      <c r="D530" s="52"/>
    </row>
    <row r="531" spans="1:4" ht="12.75" customHeight="1">
      <c r="A531" s="52"/>
      <c r="B531" s="52"/>
      <c r="C531" s="52"/>
      <c r="D531" s="52"/>
    </row>
    <row r="532" spans="1:4" ht="12.75" customHeight="1">
      <c r="A532" s="52"/>
      <c r="B532" s="52"/>
      <c r="C532" s="52"/>
      <c r="D532" s="52"/>
    </row>
    <row r="533" spans="1:4" ht="12.75" customHeight="1">
      <c r="A533" s="52"/>
      <c r="B533" s="52"/>
      <c r="C533" s="52"/>
      <c r="D533" s="52"/>
    </row>
    <row r="534" spans="1:4" ht="12.75" customHeight="1">
      <c r="A534" s="52"/>
      <c r="B534" s="52"/>
      <c r="C534" s="52"/>
      <c r="D534" s="52"/>
    </row>
    <row r="535" spans="1:4" ht="12.75" customHeight="1">
      <c r="A535" s="52"/>
      <c r="B535" s="52"/>
      <c r="C535" s="52"/>
      <c r="D535" s="52"/>
    </row>
    <row r="536" spans="1:4" ht="12.75" customHeight="1">
      <c r="A536" s="52"/>
      <c r="B536" s="52"/>
      <c r="C536" s="52"/>
      <c r="D536" s="52"/>
    </row>
    <row r="537" spans="1:4" ht="12.75" customHeight="1">
      <c r="A537" s="52"/>
      <c r="B537" s="52"/>
      <c r="C537" s="52"/>
      <c r="D537" s="52"/>
    </row>
    <row r="538" spans="1:4" ht="12.75" customHeight="1">
      <c r="A538" s="52"/>
      <c r="B538" s="52"/>
      <c r="C538" s="52"/>
      <c r="D538" s="52"/>
    </row>
    <row r="539" spans="1:4" ht="12.75" customHeight="1">
      <c r="A539" s="52"/>
      <c r="B539" s="52"/>
      <c r="C539" s="52"/>
      <c r="D539" s="52"/>
    </row>
    <row r="540" spans="1:4" ht="12.75" customHeight="1">
      <c r="A540" s="52"/>
      <c r="B540" s="52"/>
      <c r="C540" s="52"/>
      <c r="D540" s="52"/>
    </row>
    <row r="541" spans="1:4" ht="12.75" customHeight="1">
      <c r="A541" s="52"/>
      <c r="B541" s="52"/>
      <c r="C541" s="52"/>
      <c r="D541" s="52"/>
    </row>
    <row r="542" spans="1:4" ht="12.75" customHeight="1">
      <c r="A542" s="52"/>
      <c r="B542" s="52"/>
      <c r="C542" s="52"/>
      <c r="D542" s="52"/>
    </row>
    <row r="543" spans="1:4" ht="12.75" customHeight="1">
      <c r="A543" s="52"/>
      <c r="B543" s="52"/>
      <c r="C543" s="52"/>
      <c r="D543" s="52"/>
    </row>
    <row r="544" spans="1:4" ht="12.75" customHeight="1">
      <c r="A544" s="52"/>
      <c r="B544" s="52"/>
      <c r="C544" s="52"/>
      <c r="D544" s="52"/>
    </row>
    <row r="545" spans="1:4" ht="12.75" customHeight="1">
      <c r="A545" s="52"/>
      <c r="B545" s="52"/>
      <c r="C545" s="52"/>
      <c r="D545" s="52"/>
    </row>
    <row r="546" spans="1:4" ht="12.75" customHeight="1">
      <c r="A546" s="52"/>
      <c r="B546" s="52"/>
      <c r="C546" s="52"/>
      <c r="D546" s="52"/>
    </row>
    <row r="547" spans="1:4" ht="12.75" customHeight="1">
      <c r="A547" s="52"/>
      <c r="B547" s="52"/>
      <c r="C547" s="52"/>
      <c r="D547" s="52"/>
    </row>
    <row r="548" spans="1:4" ht="12.75" customHeight="1">
      <c r="A548" s="52"/>
      <c r="B548" s="52"/>
      <c r="C548" s="52"/>
      <c r="D548" s="52"/>
    </row>
    <row r="549" spans="1:4" ht="12.75" customHeight="1">
      <c r="A549" s="52"/>
      <c r="B549" s="52"/>
      <c r="C549" s="52"/>
      <c r="D549" s="52"/>
    </row>
    <row r="550" spans="1:4" ht="12.75" customHeight="1">
      <c r="A550" s="52"/>
      <c r="B550" s="52"/>
      <c r="C550" s="52"/>
      <c r="D550" s="52"/>
    </row>
    <row r="551" spans="1:4" ht="12.75" customHeight="1">
      <c r="A551" s="52"/>
      <c r="B551" s="52"/>
      <c r="C551" s="52"/>
      <c r="D551" s="52"/>
    </row>
    <row r="552" spans="1:4" ht="12.75" customHeight="1">
      <c r="A552" s="52"/>
      <c r="B552" s="52"/>
      <c r="C552" s="52"/>
      <c r="D552" s="52"/>
    </row>
    <row r="553" spans="1:4" ht="12.75" customHeight="1">
      <c r="A553" s="52"/>
      <c r="B553" s="52"/>
      <c r="C553" s="52"/>
      <c r="D553" s="52"/>
    </row>
    <row r="554" spans="1:4" ht="12.75" customHeight="1">
      <c r="A554" s="52"/>
      <c r="B554" s="52"/>
      <c r="C554" s="52"/>
      <c r="D554" s="52"/>
    </row>
    <row r="555" spans="1:4" ht="12.75" customHeight="1">
      <c r="A555" s="52"/>
      <c r="B555" s="52"/>
      <c r="C555" s="52"/>
      <c r="D555" s="52"/>
    </row>
    <row r="556" spans="1:4" ht="12.75" customHeight="1">
      <c r="A556" s="52"/>
      <c r="B556" s="52"/>
      <c r="C556" s="52"/>
      <c r="D556" s="52"/>
    </row>
    <row r="557" spans="1:4" ht="12.75" customHeight="1">
      <c r="A557" s="52"/>
      <c r="B557" s="52"/>
      <c r="C557" s="52"/>
      <c r="D557" s="52"/>
    </row>
    <row r="558" spans="1:4" ht="12.75" customHeight="1">
      <c r="A558" s="52"/>
      <c r="B558" s="52"/>
      <c r="C558" s="52"/>
      <c r="D558" s="52"/>
    </row>
    <row r="559" spans="1:4" ht="12.75" customHeight="1">
      <c r="A559" s="52"/>
      <c r="B559" s="52"/>
      <c r="C559" s="52"/>
      <c r="D559" s="52"/>
    </row>
    <row r="560" spans="1:4" ht="12.75" customHeight="1">
      <c r="A560" s="52"/>
      <c r="B560" s="52"/>
      <c r="C560" s="52"/>
      <c r="D560" s="52"/>
    </row>
    <row r="561" spans="1:4" ht="12.75" customHeight="1">
      <c r="A561" s="52"/>
      <c r="B561" s="52"/>
      <c r="C561" s="52"/>
      <c r="D561" s="52"/>
    </row>
    <row r="562" spans="1:4" ht="12.75" customHeight="1">
      <c r="A562" s="52"/>
      <c r="B562" s="52"/>
      <c r="C562" s="52"/>
      <c r="D562" s="52"/>
    </row>
    <row r="563" spans="1:4" ht="12.75" customHeight="1">
      <c r="A563" s="52"/>
      <c r="B563" s="52"/>
      <c r="C563" s="52"/>
      <c r="D563" s="52"/>
    </row>
    <row r="564" spans="1:4" ht="12.75" customHeight="1">
      <c r="A564" s="52"/>
      <c r="B564" s="52"/>
      <c r="C564" s="52"/>
      <c r="D564" s="52"/>
    </row>
    <row r="565" spans="1:4" ht="12.75" customHeight="1">
      <c r="A565" s="52"/>
      <c r="B565" s="52"/>
      <c r="C565" s="52"/>
      <c r="D565" s="52"/>
    </row>
    <row r="566" spans="1:4" ht="12.75" customHeight="1">
      <c r="A566" s="52"/>
      <c r="B566" s="52"/>
      <c r="C566" s="52"/>
      <c r="D566" s="52"/>
    </row>
    <row r="567" spans="1:4" ht="12.75" customHeight="1">
      <c r="A567" s="52"/>
      <c r="B567" s="52"/>
      <c r="C567" s="52"/>
      <c r="D567" s="52"/>
    </row>
    <row r="568" spans="1:4" ht="12.75" customHeight="1">
      <c r="A568" s="52"/>
      <c r="B568" s="52"/>
      <c r="C568" s="52"/>
      <c r="D568" s="52"/>
    </row>
    <row r="569" spans="1:4" ht="12.75" customHeight="1">
      <c r="A569" s="52"/>
      <c r="B569" s="52"/>
      <c r="C569" s="52"/>
      <c r="D569" s="52"/>
    </row>
    <row r="570" spans="1:4" ht="12.75" customHeight="1">
      <c r="A570" s="52"/>
      <c r="B570" s="52"/>
      <c r="C570" s="52"/>
      <c r="D570" s="52"/>
    </row>
    <row r="571" spans="1:4" ht="12.75" customHeight="1">
      <c r="A571" s="52"/>
      <c r="B571" s="52"/>
      <c r="C571" s="52"/>
      <c r="D571" s="52"/>
    </row>
    <row r="572" spans="1:4" ht="12.75" customHeight="1">
      <c r="A572" s="52"/>
      <c r="B572" s="52"/>
      <c r="C572" s="52"/>
      <c r="D572" s="52"/>
    </row>
    <row r="573" spans="1:4" ht="12.75" customHeight="1">
      <c r="A573" s="52"/>
      <c r="B573" s="52"/>
      <c r="C573" s="52"/>
      <c r="D573" s="52"/>
    </row>
    <row r="574" spans="1:4" ht="12.75" customHeight="1">
      <c r="A574" s="52"/>
      <c r="B574" s="52"/>
      <c r="C574" s="52"/>
      <c r="D574" s="52"/>
    </row>
    <row r="575" spans="1:4" ht="12.75" customHeight="1">
      <c r="A575" s="52"/>
      <c r="B575" s="52"/>
      <c r="C575" s="52"/>
      <c r="D575" s="52"/>
    </row>
    <row r="576" spans="1:4" ht="12.75" customHeight="1">
      <c r="A576" s="52"/>
      <c r="B576" s="52"/>
      <c r="C576" s="52"/>
      <c r="D576" s="52"/>
    </row>
    <row r="577" spans="1:4" ht="12.75" customHeight="1">
      <c r="A577" s="52"/>
      <c r="B577" s="52"/>
      <c r="C577" s="52"/>
      <c r="D577" s="52"/>
    </row>
    <row r="578" spans="1:4" ht="12.75" customHeight="1">
      <c r="A578" s="52"/>
      <c r="B578" s="52"/>
      <c r="C578" s="52"/>
      <c r="D578" s="52"/>
    </row>
    <row r="579" spans="1:4" ht="12.75" customHeight="1">
      <c r="A579" s="52"/>
      <c r="B579" s="52"/>
      <c r="C579" s="52"/>
      <c r="D579" s="52"/>
    </row>
    <row r="580" spans="1:4" ht="12.75" customHeight="1">
      <c r="A580" s="52"/>
      <c r="B580" s="52"/>
      <c r="C580" s="52"/>
      <c r="D580" s="52"/>
    </row>
    <row r="581" spans="1:4" ht="12.75" customHeight="1">
      <c r="A581" s="52"/>
      <c r="B581" s="52"/>
      <c r="C581" s="52"/>
      <c r="D581" s="52"/>
    </row>
    <row r="582" spans="1:4" ht="12.75" customHeight="1">
      <c r="A582" s="52"/>
      <c r="B582" s="52"/>
      <c r="C582" s="52"/>
      <c r="D582" s="52"/>
    </row>
    <row r="583" spans="1:4" ht="12.75" customHeight="1">
      <c r="A583" s="52"/>
      <c r="B583" s="52"/>
      <c r="C583" s="52"/>
      <c r="D583" s="52"/>
    </row>
    <row r="584" spans="1:4" ht="12.75" customHeight="1">
      <c r="A584" s="52"/>
      <c r="B584" s="52"/>
      <c r="C584" s="52"/>
      <c r="D584" s="52"/>
    </row>
    <row r="585" spans="1:4" ht="12.75" customHeight="1">
      <c r="A585" s="52"/>
      <c r="B585" s="52"/>
      <c r="C585" s="52"/>
      <c r="D585" s="52"/>
    </row>
    <row r="586" spans="1:4" ht="12.75" customHeight="1">
      <c r="A586" s="52"/>
      <c r="B586" s="52"/>
      <c r="C586" s="52"/>
      <c r="D586" s="52"/>
    </row>
    <row r="587" spans="1:4" ht="12.75" customHeight="1">
      <c r="A587" s="52"/>
      <c r="B587" s="52"/>
      <c r="C587" s="52"/>
      <c r="D587" s="52"/>
    </row>
    <row r="588" spans="1:4" ht="12.75" customHeight="1">
      <c r="A588" s="52"/>
      <c r="B588" s="52"/>
      <c r="C588" s="52"/>
      <c r="D588" s="52"/>
    </row>
    <row r="589" spans="1:4" ht="12.75" customHeight="1">
      <c r="A589" s="52"/>
      <c r="B589" s="52"/>
      <c r="C589" s="52"/>
      <c r="D589" s="52"/>
    </row>
    <row r="590" spans="1:4" ht="12.75" customHeight="1">
      <c r="A590" s="52"/>
      <c r="B590" s="52"/>
      <c r="C590" s="52"/>
      <c r="D590" s="52"/>
    </row>
    <row r="591" spans="1:4" ht="12.75" customHeight="1">
      <c r="A591" s="52"/>
      <c r="B591" s="52"/>
      <c r="C591" s="52"/>
      <c r="D591" s="52"/>
    </row>
    <row r="592" spans="1:4" ht="12.75" customHeight="1">
      <c r="A592" s="52"/>
      <c r="B592" s="52"/>
      <c r="C592" s="52"/>
      <c r="D592" s="52"/>
    </row>
    <row r="593" spans="1:4" ht="12.75" customHeight="1">
      <c r="A593" s="52"/>
      <c r="B593" s="52"/>
      <c r="C593" s="52"/>
      <c r="D593" s="52"/>
    </row>
    <row r="594" spans="1:4" ht="12.75" customHeight="1">
      <c r="A594" s="52"/>
      <c r="B594" s="52"/>
      <c r="C594" s="52"/>
      <c r="D594" s="52"/>
    </row>
    <row r="595" spans="1:4" ht="12.75" customHeight="1">
      <c r="A595" s="52"/>
      <c r="B595" s="52"/>
      <c r="C595" s="52"/>
      <c r="D595" s="52"/>
    </row>
    <row r="596" spans="1:4" ht="12.75" customHeight="1">
      <c r="A596" s="52"/>
      <c r="B596" s="52"/>
      <c r="C596" s="52"/>
      <c r="D596" s="52"/>
    </row>
    <row r="597" spans="1:4" ht="12.75" customHeight="1">
      <c r="A597" s="52"/>
      <c r="B597" s="52"/>
      <c r="C597" s="52"/>
      <c r="D597" s="52"/>
    </row>
    <row r="598" spans="1:4" ht="12.75" customHeight="1">
      <c r="A598" s="52"/>
      <c r="B598" s="52"/>
      <c r="C598" s="52"/>
      <c r="D598" s="52"/>
    </row>
    <row r="599" spans="1:4" ht="12.75" customHeight="1">
      <c r="A599" s="52"/>
      <c r="B599" s="52"/>
      <c r="C599" s="52"/>
      <c r="D599" s="52"/>
    </row>
    <row r="600" spans="1:4" ht="12.75" customHeight="1">
      <c r="A600" s="52"/>
      <c r="B600" s="52"/>
      <c r="C600" s="52"/>
      <c r="D600" s="52"/>
    </row>
    <row r="601" spans="1:4" ht="12.75" customHeight="1">
      <c r="A601" s="52"/>
      <c r="B601" s="52"/>
      <c r="C601" s="52"/>
      <c r="D601" s="52"/>
    </row>
    <row r="602" spans="1:4" ht="12.75" customHeight="1">
      <c r="A602" s="52"/>
      <c r="B602" s="52"/>
      <c r="C602" s="52"/>
      <c r="D602" s="52"/>
    </row>
    <row r="603" spans="1:4" ht="12.75" customHeight="1">
      <c r="A603" s="52"/>
      <c r="B603" s="52"/>
      <c r="C603" s="52"/>
      <c r="D603" s="52"/>
    </row>
    <row r="604" spans="1:4" ht="12.75" customHeight="1">
      <c r="A604" s="52"/>
      <c r="B604" s="52"/>
      <c r="C604" s="52"/>
      <c r="D604" s="52"/>
    </row>
    <row r="605" spans="1:4" ht="12.75" customHeight="1">
      <c r="A605" s="52"/>
      <c r="B605" s="52"/>
      <c r="C605" s="52"/>
      <c r="D605" s="52"/>
    </row>
    <row r="606" spans="1:4" ht="12.75" customHeight="1">
      <c r="A606" s="52"/>
      <c r="B606" s="52"/>
      <c r="C606" s="52"/>
      <c r="D606" s="52"/>
    </row>
    <row r="607" spans="1:4" ht="12.75" customHeight="1">
      <c r="A607" s="52"/>
      <c r="B607" s="52"/>
      <c r="C607" s="52"/>
      <c r="D607" s="52"/>
    </row>
    <row r="608" spans="1:4" ht="12.75" customHeight="1">
      <c r="A608" s="52"/>
      <c r="B608" s="52"/>
      <c r="C608" s="52"/>
      <c r="D608" s="52"/>
    </row>
    <row r="609" spans="1:4" ht="12.75" customHeight="1">
      <c r="A609" s="52"/>
      <c r="B609" s="52"/>
      <c r="C609" s="52"/>
      <c r="D609" s="52"/>
    </row>
    <row r="610" spans="1:4" ht="12.75" customHeight="1">
      <c r="A610" s="52"/>
      <c r="B610" s="52"/>
      <c r="C610" s="52"/>
      <c r="D610" s="52"/>
    </row>
    <row r="611" spans="1:4" ht="12.75" customHeight="1">
      <c r="A611" s="52"/>
      <c r="B611" s="52"/>
      <c r="C611" s="52"/>
      <c r="D611" s="52"/>
    </row>
    <row r="612" spans="1:4" ht="12.75" customHeight="1">
      <c r="A612" s="52"/>
      <c r="B612" s="52"/>
      <c r="C612" s="52"/>
      <c r="D612" s="52"/>
    </row>
    <row r="613" spans="1:4" ht="12.75" customHeight="1">
      <c r="A613" s="52"/>
      <c r="B613" s="52"/>
      <c r="C613" s="52"/>
      <c r="D613" s="52"/>
    </row>
    <row r="614" spans="1:4" ht="12.75" customHeight="1">
      <c r="A614" s="52"/>
      <c r="B614" s="52"/>
      <c r="C614" s="52"/>
      <c r="D614" s="52"/>
    </row>
    <row r="615" spans="1:4" ht="12.75" customHeight="1">
      <c r="A615" s="52"/>
      <c r="B615" s="52"/>
      <c r="C615" s="52"/>
      <c r="D615" s="52"/>
    </row>
    <row r="616" spans="1:4" ht="12.75" customHeight="1">
      <c r="A616" s="52"/>
      <c r="B616" s="52"/>
      <c r="C616" s="52"/>
      <c r="D616" s="52"/>
    </row>
    <row r="617" spans="1:4" ht="12.75" customHeight="1">
      <c r="A617" s="52"/>
      <c r="B617" s="52"/>
      <c r="C617" s="52"/>
      <c r="D617" s="52"/>
    </row>
    <row r="618" spans="1:4" ht="12.75" customHeight="1">
      <c r="A618" s="52"/>
      <c r="B618" s="52"/>
      <c r="C618" s="52"/>
      <c r="D618" s="52"/>
    </row>
    <row r="619" spans="1:4" ht="12.75" customHeight="1">
      <c r="A619" s="52"/>
      <c r="B619" s="52"/>
      <c r="C619" s="52"/>
      <c r="D619" s="52"/>
    </row>
    <row r="620" spans="1:4" ht="12.75" customHeight="1">
      <c r="A620" s="52"/>
      <c r="B620" s="52"/>
      <c r="C620" s="52"/>
      <c r="D620" s="52"/>
    </row>
    <row r="621" spans="1:4" ht="12.75" customHeight="1">
      <c r="A621" s="52"/>
      <c r="B621" s="52"/>
      <c r="C621" s="52"/>
      <c r="D621" s="52"/>
    </row>
    <row r="622" spans="1:4" ht="12.75" customHeight="1">
      <c r="A622" s="52"/>
      <c r="B622" s="52"/>
      <c r="C622" s="52"/>
      <c r="D622" s="52"/>
    </row>
    <row r="623" spans="1:4" ht="12.75" customHeight="1">
      <c r="A623" s="52"/>
      <c r="B623" s="52"/>
      <c r="C623" s="52"/>
      <c r="D623" s="52"/>
    </row>
    <row r="624" spans="1:4" ht="12.75" customHeight="1">
      <c r="A624" s="52"/>
      <c r="B624" s="52"/>
      <c r="C624" s="52"/>
      <c r="D624" s="52"/>
    </row>
    <row r="625" spans="1:4" ht="12.75" customHeight="1">
      <c r="A625" s="52"/>
      <c r="B625" s="52"/>
      <c r="C625" s="52"/>
      <c r="D625" s="52"/>
    </row>
    <row r="626" spans="1:4" ht="12.75" customHeight="1">
      <c r="A626" s="52"/>
      <c r="B626" s="52"/>
      <c r="C626" s="52"/>
      <c r="D626" s="52"/>
    </row>
    <row r="627" spans="1:4" ht="12.75" customHeight="1">
      <c r="A627" s="52"/>
      <c r="B627" s="52"/>
      <c r="C627" s="52"/>
      <c r="D627" s="52"/>
    </row>
    <row r="628" spans="1:4" ht="12.75" customHeight="1">
      <c r="A628" s="52"/>
      <c r="B628" s="52"/>
      <c r="C628" s="52"/>
      <c r="D628" s="52"/>
    </row>
    <row r="629" spans="1:4" ht="12.75" customHeight="1">
      <c r="A629" s="52"/>
      <c r="B629" s="52"/>
      <c r="C629" s="52"/>
      <c r="D629" s="52"/>
    </row>
    <row r="630" spans="1:4" ht="12.75" customHeight="1">
      <c r="A630" s="52"/>
      <c r="B630" s="52"/>
      <c r="C630" s="52"/>
      <c r="D630" s="52"/>
    </row>
    <row r="631" spans="1:4" ht="12.75" customHeight="1">
      <c r="A631" s="52"/>
      <c r="B631" s="52"/>
      <c r="C631" s="52"/>
      <c r="D631" s="52"/>
    </row>
    <row r="632" spans="1:4" ht="12.75" customHeight="1">
      <c r="A632" s="52"/>
      <c r="B632" s="52"/>
      <c r="C632" s="52"/>
      <c r="D632" s="52"/>
    </row>
    <row r="633" spans="1:4" ht="12.75" customHeight="1">
      <c r="A633" s="52"/>
      <c r="B633" s="52"/>
      <c r="C633" s="52"/>
      <c r="D633" s="52"/>
    </row>
    <row r="634" spans="1:4" ht="12.75" customHeight="1">
      <c r="A634" s="52"/>
      <c r="B634" s="52"/>
      <c r="C634" s="52"/>
      <c r="D634" s="52"/>
    </row>
    <row r="635" spans="1:4" ht="12.75" customHeight="1">
      <c r="A635" s="52"/>
      <c r="B635" s="52"/>
      <c r="C635" s="52"/>
      <c r="D635" s="52"/>
    </row>
    <row r="636" spans="1:4" ht="12.75" customHeight="1">
      <c r="A636" s="52"/>
      <c r="B636" s="52"/>
      <c r="C636" s="52"/>
      <c r="D636" s="52"/>
    </row>
    <row r="637" spans="1:4" ht="12.75" customHeight="1">
      <c r="A637" s="52"/>
      <c r="B637" s="52"/>
      <c r="C637" s="52"/>
      <c r="D637" s="52"/>
    </row>
    <row r="638" spans="1:4" ht="12.75" customHeight="1">
      <c r="A638" s="52"/>
      <c r="B638" s="52"/>
      <c r="C638" s="52"/>
      <c r="D638" s="52"/>
    </row>
    <row r="639" spans="1:4" ht="12.75" customHeight="1">
      <c r="A639" s="52"/>
      <c r="B639" s="52"/>
      <c r="C639" s="52"/>
      <c r="D639" s="52"/>
    </row>
    <row r="640" spans="1:4" ht="12.75" customHeight="1">
      <c r="A640" s="52"/>
      <c r="B640" s="52"/>
      <c r="C640" s="52"/>
      <c r="D640" s="52"/>
    </row>
    <row r="641" spans="1:4" ht="12.75" customHeight="1">
      <c r="A641" s="52"/>
      <c r="B641" s="52"/>
      <c r="C641" s="52"/>
      <c r="D641" s="52"/>
    </row>
    <row r="642" spans="1:4" ht="12.75" customHeight="1">
      <c r="A642" s="52"/>
      <c r="B642" s="52"/>
      <c r="C642" s="52"/>
      <c r="D642" s="52"/>
    </row>
    <row r="643" spans="1:4" ht="12.75" customHeight="1">
      <c r="A643" s="52"/>
      <c r="B643" s="52"/>
      <c r="C643" s="52"/>
      <c r="D643" s="52"/>
    </row>
    <row r="644" spans="1:4" ht="12.75" customHeight="1">
      <c r="A644" s="52"/>
      <c r="B644" s="52"/>
      <c r="C644" s="52"/>
      <c r="D644" s="52"/>
    </row>
    <row r="645" spans="1:4" ht="12.75" customHeight="1">
      <c r="A645" s="52"/>
      <c r="B645" s="52"/>
      <c r="C645" s="52"/>
      <c r="D645" s="52"/>
    </row>
    <row r="646" spans="1:4" ht="12.75" customHeight="1">
      <c r="A646" s="52"/>
      <c r="B646" s="52"/>
      <c r="C646" s="52"/>
      <c r="D646" s="52"/>
    </row>
    <row r="647" spans="1:4" ht="12.75" customHeight="1">
      <c r="A647" s="52"/>
      <c r="B647" s="52"/>
      <c r="C647" s="52"/>
      <c r="D647" s="52"/>
    </row>
    <row r="648" spans="1:4" ht="12.75" customHeight="1">
      <c r="A648" s="52"/>
      <c r="B648" s="52"/>
      <c r="C648" s="52"/>
      <c r="D648" s="52"/>
    </row>
    <row r="649" spans="1:4" ht="12.75" customHeight="1">
      <c r="A649" s="52"/>
      <c r="B649" s="52"/>
      <c r="C649" s="52"/>
      <c r="D649" s="52"/>
    </row>
    <row r="650" spans="1:4" ht="12.75" customHeight="1">
      <c r="A650" s="52"/>
      <c r="B650" s="52"/>
      <c r="C650" s="52"/>
      <c r="D650" s="52"/>
    </row>
    <row r="651" spans="1:4" ht="12.75" customHeight="1">
      <c r="A651" s="52"/>
      <c r="B651" s="52"/>
      <c r="C651" s="52"/>
      <c r="D651" s="52"/>
    </row>
    <row r="652" spans="1:4" ht="12.75" customHeight="1">
      <c r="A652" s="52"/>
      <c r="B652" s="52"/>
      <c r="C652" s="52"/>
      <c r="D652" s="52"/>
    </row>
    <row r="653" spans="1:4" ht="12.75" customHeight="1">
      <c r="A653" s="52"/>
      <c r="B653" s="52"/>
      <c r="C653" s="52"/>
      <c r="D653" s="52"/>
    </row>
    <row r="654" spans="1:4" ht="12.75" customHeight="1">
      <c r="A654" s="52"/>
      <c r="B654" s="52"/>
      <c r="C654" s="52"/>
      <c r="D654" s="52"/>
    </row>
    <row r="655" spans="1:4" ht="12.75" customHeight="1">
      <c r="A655" s="52"/>
      <c r="B655" s="52"/>
      <c r="C655" s="52"/>
      <c r="D655" s="52"/>
    </row>
    <row r="656" spans="1:4" ht="12.75" customHeight="1">
      <c r="A656" s="52"/>
      <c r="B656" s="52"/>
      <c r="C656" s="52"/>
      <c r="D656" s="52"/>
    </row>
    <row r="657" spans="1:4" ht="12.75" customHeight="1">
      <c r="A657" s="52"/>
      <c r="B657" s="52"/>
      <c r="C657" s="52"/>
      <c r="D657" s="52"/>
    </row>
    <row r="658" spans="1:4" ht="12.75" customHeight="1">
      <c r="A658" s="52"/>
      <c r="B658" s="52"/>
      <c r="C658" s="52"/>
      <c r="D658" s="52"/>
    </row>
    <row r="659" spans="1:4" ht="12.75" customHeight="1">
      <c r="A659" s="52"/>
      <c r="B659" s="52"/>
      <c r="C659" s="52"/>
      <c r="D659" s="52"/>
    </row>
    <row r="660" spans="1:4" ht="12.75" customHeight="1">
      <c r="A660" s="52"/>
      <c r="B660" s="52"/>
      <c r="C660" s="52"/>
      <c r="D660" s="52"/>
    </row>
    <row r="661" spans="1:4" ht="12.75" customHeight="1">
      <c r="A661" s="52"/>
      <c r="B661" s="52"/>
      <c r="C661" s="52"/>
      <c r="D661" s="52"/>
    </row>
    <row r="662" spans="1:4" ht="12.75" customHeight="1">
      <c r="A662" s="52"/>
      <c r="B662" s="52"/>
      <c r="C662" s="52"/>
      <c r="D662" s="52"/>
    </row>
    <row r="663" spans="1:4" ht="12.75" customHeight="1">
      <c r="A663" s="52"/>
      <c r="B663" s="52"/>
      <c r="C663" s="52"/>
      <c r="D663" s="52"/>
    </row>
    <row r="664" spans="1:4" ht="12.75" customHeight="1">
      <c r="A664" s="52"/>
      <c r="B664" s="52"/>
      <c r="C664" s="52"/>
      <c r="D664" s="52"/>
    </row>
    <row r="665" spans="1:4" ht="12.75" customHeight="1">
      <c r="A665" s="52"/>
      <c r="B665" s="52"/>
      <c r="C665" s="52"/>
      <c r="D665" s="52"/>
    </row>
    <row r="666" spans="1:4" ht="12.75" customHeight="1">
      <c r="A666" s="52"/>
      <c r="B666" s="52"/>
      <c r="C666" s="52"/>
      <c r="D666" s="52"/>
    </row>
    <row r="667" spans="1:4" ht="12.75" customHeight="1">
      <c r="A667" s="52"/>
      <c r="B667" s="52"/>
      <c r="C667" s="52"/>
      <c r="D667" s="52"/>
    </row>
    <row r="668" spans="1:4" ht="12.75" customHeight="1">
      <c r="A668" s="52"/>
      <c r="B668" s="52"/>
      <c r="C668" s="52"/>
      <c r="D668" s="52"/>
    </row>
    <row r="669" spans="1:4" ht="12.75" customHeight="1">
      <c r="A669" s="52"/>
      <c r="B669" s="52"/>
      <c r="C669" s="52"/>
      <c r="D669" s="52"/>
    </row>
    <row r="670" spans="1:4" ht="12.75" customHeight="1">
      <c r="A670" s="52"/>
      <c r="B670" s="52"/>
      <c r="C670" s="52"/>
      <c r="D670" s="52"/>
    </row>
    <row r="671" spans="1:4" ht="12.75" customHeight="1">
      <c r="A671" s="52"/>
      <c r="B671" s="52"/>
      <c r="C671" s="52"/>
      <c r="D671" s="52"/>
    </row>
    <row r="672" spans="1:4" ht="12.75" customHeight="1">
      <c r="A672" s="52"/>
      <c r="B672" s="52"/>
      <c r="C672" s="52"/>
      <c r="D672" s="52"/>
    </row>
    <row r="673" spans="1:4" ht="12.75" customHeight="1">
      <c r="A673" s="52"/>
      <c r="B673" s="52"/>
      <c r="C673" s="52"/>
      <c r="D673" s="52"/>
    </row>
    <row r="674" spans="1:4" ht="12.75" customHeight="1">
      <c r="A674" s="52"/>
      <c r="B674" s="52"/>
      <c r="C674" s="52"/>
      <c r="D674" s="52"/>
    </row>
    <row r="675" spans="1:4" ht="12.75" customHeight="1">
      <c r="A675" s="52"/>
      <c r="B675" s="52"/>
      <c r="C675" s="52"/>
      <c r="D675" s="52"/>
    </row>
    <row r="676" spans="1:4" ht="12.75" customHeight="1">
      <c r="A676" s="52"/>
      <c r="B676" s="52"/>
      <c r="C676" s="52"/>
      <c r="D676" s="52"/>
    </row>
    <row r="677" spans="1:4" ht="12.75" customHeight="1">
      <c r="A677" s="52"/>
      <c r="B677" s="52"/>
      <c r="C677" s="52"/>
      <c r="D677" s="52"/>
    </row>
    <row r="678" spans="1:4" ht="12.75" customHeight="1">
      <c r="A678" s="52"/>
      <c r="B678" s="52"/>
      <c r="C678" s="52"/>
      <c r="D678" s="52"/>
    </row>
    <row r="679" spans="1:4" ht="12.75" customHeight="1">
      <c r="A679" s="52"/>
      <c r="B679" s="52"/>
      <c r="C679" s="52"/>
      <c r="D679" s="52"/>
    </row>
    <row r="680" spans="1:4" ht="12.75" customHeight="1">
      <c r="A680" s="52"/>
      <c r="B680" s="52"/>
      <c r="C680" s="52"/>
      <c r="D680" s="52"/>
    </row>
    <row r="681" spans="1:4" ht="12.75" customHeight="1">
      <c r="A681" s="52"/>
      <c r="B681" s="52"/>
      <c r="C681" s="52"/>
      <c r="D681" s="52"/>
    </row>
    <row r="682" spans="1:4" ht="12.75" customHeight="1">
      <c r="A682" s="52"/>
      <c r="B682" s="52"/>
      <c r="C682" s="52"/>
      <c r="D682" s="52"/>
    </row>
    <row r="683" spans="1:4" ht="12.75" customHeight="1">
      <c r="A683" s="52"/>
      <c r="B683" s="52"/>
      <c r="C683" s="52"/>
      <c r="D683" s="52"/>
    </row>
    <row r="684" spans="1:4" ht="12.75" customHeight="1">
      <c r="A684" s="52"/>
      <c r="B684" s="52"/>
      <c r="C684" s="52"/>
      <c r="D684" s="52"/>
    </row>
    <row r="685" spans="1:4" ht="12.75" customHeight="1">
      <c r="A685" s="52"/>
      <c r="B685" s="52"/>
      <c r="C685" s="52"/>
      <c r="D685" s="52"/>
    </row>
    <row r="686" spans="1:4" ht="12.75" customHeight="1">
      <c r="A686" s="52"/>
      <c r="B686" s="52"/>
      <c r="C686" s="52"/>
      <c r="D686" s="52"/>
    </row>
    <row r="687" spans="1:4" ht="12.75" customHeight="1">
      <c r="A687" s="52"/>
      <c r="B687" s="52"/>
      <c r="C687" s="52"/>
      <c r="D687" s="52"/>
    </row>
    <row r="688" spans="1:4" ht="12.75" customHeight="1">
      <c r="A688" s="52"/>
      <c r="B688" s="52"/>
      <c r="C688" s="52"/>
      <c r="D688" s="52"/>
    </row>
    <row r="689" spans="1:4" ht="12.75" customHeight="1">
      <c r="A689" s="52"/>
      <c r="B689" s="52"/>
      <c r="C689" s="52"/>
      <c r="D689" s="52"/>
    </row>
    <row r="690" spans="1:4" ht="12.75" customHeight="1">
      <c r="A690" s="52"/>
      <c r="B690" s="52"/>
      <c r="C690" s="52"/>
      <c r="D690" s="52"/>
    </row>
    <row r="691" spans="1:4" ht="12.75" customHeight="1">
      <c r="A691" s="52"/>
      <c r="B691" s="52"/>
      <c r="C691" s="52"/>
      <c r="D691" s="52"/>
    </row>
    <row r="692" spans="1:4" ht="12.75" customHeight="1">
      <c r="A692" s="52"/>
      <c r="B692" s="52"/>
      <c r="C692" s="52"/>
      <c r="D692" s="52"/>
    </row>
    <row r="693" spans="1:4" ht="12.75" customHeight="1">
      <c r="A693" s="52"/>
      <c r="B693" s="52"/>
      <c r="C693" s="52"/>
      <c r="D693" s="52"/>
    </row>
    <row r="694" spans="1:4" ht="12.75" customHeight="1">
      <c r="A694" s="52"/>
      <c r="B694" s="52"/>
      <c r="C694" s="52"/>
      <c r="D694" s="52"/>
    </row>
    <row r="695" spans="1:4" ht="12.75" customHeight="1">
      <c r="A695" s="52"/>
      <c r="B695" s="52"/>
      <c r="C695" s="52"/>
      <c r="D695" s="52"/>
    </row>
    <row r="696" spans="1:4" ht="12.75" customHeight="1">
      <c r="A696" s="52"/>
      <c r="B696" s="52"/>
      <c r="C696" s="52"/>
      <c r="D696" s="52"/>
    </row>
    <row r="697" spans="1:4" ht="12.75" customHeight="1">
      <c r="A697" s="52"/>
      <c r="B697" s="52"/>
      <c r="C697" s="52"/>
      <c r="D697" s="52"/>
    </row>
    <row r="698" spans="1:4" ht="12.75" customHeight="1">
      <c r="A698" s="52"/>
      <c r="B698" s="52"/>
      <c r="C698" s="52"/>
      <c r="D698" s="52"/>
    </row>
    <row r="699" spans="1:4" ht="12.75" customHeight="1">
      <c r="A699" s="52"/>
      <c r="B699" s="52"/>
      <c r="C699" s="52"/>
      <c r="D699" s="52"/>
    </row>
    <row r="700" spans="1:4" ht="12.75" customHeight="1">
      <c r="A700" s="52"/>
      <c r="B700" s="52"/>
      <c r="C700" s="52"/>
      <c r="D700" s="52"/>
    </row>
    <row r="701" spans="1:4" ht="12.75" customHeight="1">
      <c r="A701" s="52"/>
      <c r="B701" s="52"/>
      <c r="C701" s="52"/>
      <c r="D701" s="52"/>
    </row>
    <row r="702" spans="1:4" ht="12.75" customHeight="1">
      <c r="A702" s="52"/>
      <c r="B702" s="52"/>
      <c r="C702" s="52"/>
      <c r="D702" s="52"/>
    </row>
    <row r="703" spans="1:4" ht="12.75" customHeight="1">
      <c r="A703" s="52"/>
      <c r="B703" s="52"/>
      <c r="C703" s="52"/>
      <c r="D703" s="52"/>
    </row>
    <row r="704" spans="1:4" ht="12.75" customHeight="1">
      <c r="A704" s="52"/>
      <c r="B704" s="52"/>
      <c r="C704" s="52"/>
      <c r="D704" s="52"/>
    </row>
    <row r="705" spans="1:4" ht="12.75" customHeight="1">
      <c r="A705" s="52"/>
      <c r="B705" s="52"/>
      <c r="C705" s="52"/>
      <c r="D705" s="52"/>
    </row>
    <row r="706" spans="1:4" ht="12.75" customHeight="1">
      <c r="A706" s="52"/>
      <c r="B706" s="52"/>
      <c r="C706" s="52"/>
      <c r="D706" s="52"/>
    </row>
    <row r="707" spans="1:4" ht="12.75" customHeight="1">
      <c r="A707" s="52"/>
      <c r="B707" s="52"/>
      <c r="C707" s="52"/>
      <c r="D707" s="52"/>
    </row>
    <row r="708" spans="1:4" ht="12.75" customHeight="1">
      <c r="A708" s="52"/>
      <c r="B708" s="52"/>
      <c r="C708" s="52"/>
      <c r="D708" s="52"/>
    </row>
    <row r="709" spans="1:4" ht="12.75" customHeight="1">
      <c r="A709" s="52"/>
      <c r="B709" s="52"/>
      <c r="C709" s="52"/>
      <c r="D709" s="52"/>
    </row>
    <row r="710" spans="1:4" ht="12.75" customHeight="1">
      <c r="A710" s="52"/>
      <c r="B710" s="52"/>
      <c r="C710" s="52"/>
      <c r="D710" s="52"/>
    </row>
    <row r="711" spans="1:4" ht="12.75" customHeight="1">
      <c r="A711" s="52"/>
      <c r="B711" s="52"/>
      <c r="C711" s="52"/>
      <c r="D711" s="52"/>
    </row>
    <row r="712" spans="1:4" ht="12.75" customHeight="1">
      <c r="A712" s="52"/>
      <c r="B712" s="52"/>
      <c r="C712" s="52"/>
      <c r="D712" s="52"/>
    </row>
    <row r="713" spans="1:4" ht="12.75" customHeight="1">
      <c r="A713" s="52"/>
      <c r="B713" s="52"/>
      <c r="C713" s="52"/>
      <c r="D713" s="52"/>
    </row>
    <row r="714" spans="1:4" ht="12.75" customHeight="1">
      <c r="A714" s="52"/>
      <c r="B714" s="52"/>
      <c r="C714" s="52"/>
      <c r="D714" s="52"/>
    </row>
    <row r="715" spans="1:4" ht="12.75" customHeight="1">
      <c r="A715" s="52"/>
      <c r="B715" s="52"/>
      <c r="C715" s="52"/>
      <c r="D715" s="52"/>
    </row>
    <row r="716" spans="1:4" ht="12.75" customHeight="1">
      <c r="A716" s="52"/>
      <c r="B716" s="52"/>
      <c r="C716" s="52"/>
      <c r="D716" s="52"/>
    </row>
    <row r="717" spans="1:4" ht="12.75" customHeight="1">
      <c r="A717" s="52"/>
      <c r="B717" s="52"/>
      <c r="C717" s="52"/>
      <c r="D717" s="52"/>
    </row>
    <row r="718" spans="1:4" ht="12.75" customHeight="1">
      <c r="A718" s="52"/>
      <c r="B718" s="52"/>
      <c r="C718" s="52"/>
      <c r="D718" s="52"/>
    </row>
    <row r="719" spans="1:4" ht="12.75" customHeight="1">
      <c r="A719" s="52"/>
      <c r="B719" s="52"/>
      <c r="C719" s="52"/>
      <c r="D719" s="52"/>
    </row>
    <row r="720" spans="1:4" ht="12.75" customHeight="1">
      <c r="A720" s="52"/>
      <c r="B720" s="52"/>
      <c r="C720" s="52"/>
      <c r="D720" s="52"/>
    </row>
    <row r="721" spans="1:4" ht="12.75" customHeight="1">
      <c r="A721" s="52"/>
      <c r="B721" s="52"/>
      <c r="C721" s="52"/>
      <c r="D721" s="52"/>
    </row>
    <row r="722" spans="1:4" ht="12.75" customHeight="1">
      <c r="A722" s="52"/>
      <c r="B722" s="52"/>
      <c r="C722" s="52"/>
      <c r="D722" s="52"/>
    </row>
    <row r="723" spans="1:4" ht="12.75" customHeight="1">
      <c r="A723" s="52"/>
      <c r="B723" s="52"/>
      <c r="C723" s="52"/>
      <c r="D723" s="52"/>
    </row>
    <row r="724" spans="1:4" ht="12.75" customHeight="1">
      <c r="A724" s="52"/>
      <c r="B724" s="52"/>
      <c r="C724" s="52"/>
      <c r="D724" s="52"/>
    </row>
    <row r="725" spans="1:4" ht="12.75" customHeight="1">
      <c r="A725" s="52"/>
      <c r="B725" s="52"/>
      <c r="C725" s="52"/>
      <c r="D725" s="52"/>
    </row>
    <row r="726" spans="1:4" ht="12.75" customHeight="1">
      <c r="A726" s="52"/>
      <c r="B726" s="52"/>
      <c r="C726" s="52"/>
      <c r="D726" s="52"/>
    </row>
    <row r="727" spans="1:4" ht="12.75" customHeight="1">
      <c r="A727" s="52"/>
      <c r="B727" s="52"/>
      <c r="C727" s="52"/>
      <c r="D727" s="52"/>
    </row>
    <row r="728" spans="1:4" ht="12.75" customHeight="1">
      <c r="A728" s="52"/>
      <c r="B728" s="52"/>
      <c r="C728" s="52"/>
      <c r="D728" s="52"/>
    </row>
    <row r="729" spans="1:4" ht="12.75" customHeight="1">
      <c r="A729" s="52"/>
      <c r="B729" s="52"/>
      <c r="C729" s="52"/>
      <c r="D729" s="52"/>
    </row>
    <row r="730" spans="1:4" ht="12.75" customHeight="1">
      <c r="A730" s="52"/>
      <c r="B730" s="52"/>
      <c r="C730" s="52"/>
      <c r="D730" s="52"/>
    </row>
    <row r="731" spans="1:4" ht="12.75" customHeight="1">
      <c r="A731" s="52"/>
      <c r="B731" s="52"/>
      <c r="C731" s="52"/>
      <c r="D731" s="52"/>
    </row>
    <row r="732" spans="1:4" ht="12.75" customHeight="1">
      <c r="A732" s="52"/>
      <c r="B732" s="52"/>
      <c r="C732" s="52"/>
      <c r="D732" s="52"/>
    </row>
    <row r="733" spans="1:4" ht="12.75" customHeight="1">
      <c r="A733" s="52"/>
      <c r="B733" s="52"/>
      <c r="C733" s="52"/>
      <c r="D733" s="52"/>
    </row>
    <row r="734" spans="1:4" ht="12.75" customHeight="1">
      <c r="A734" s="52"/>
      <c r="B734" s="52"/>
      <c r="C734" s="52"/>
      <c r="D734" s="52"/>
    </row>
    <row r="735" spans="1:4" ht="12.75" customHeight="1">
      <c r="A735" s="52"/>
      <c r="B735" s="52"/>
      <c r="C735" s="52"/>
      <c r="D735" s="52"/>
    </row>
    <row r="736" spans="1:4" ht="12.75" customHeight="1">
      <c r="A736" s="52"/>
      <c r="B736" s="52"/>
      <c r="C736" s="52"/>
      <c r="D736" s="52"/>
    </row>
    <row r="737" spans="1:4" ht="12.75" customHeight="1">
      <c r="A737" s="52"/>
      <c r="B737" s="52"/>
      <c r="C737" s="52"/>
      <c r="D737" s="52"/>
    </row>
    <row r="738" spans="1:4" ht="12.75" customHeight="1">
      <c r="A738" s="52"/>
      <c r="B738" s="52"/>
      <c r="C738" s="52"/>
      <c r="D738" s="52"/>
    </row>
    <row r="739" spans="1:4" ht="12.75" customHeight="1">
      <c r="A739" s="52"/>
      <c r="B739" s="52"/>
      <c r="C739" s="52"/>
      <c r="D739" s="52"/>
    </row>
    <row r="740" spans="1:4" ht="12.75" customHeight="1">
      <c r="A740" s="52"/>
      <c r="B740" s="52"/>
      <c r="C740" s="52"/>
      <c r="D740" s="52"/>
    </row>
    <row r="741" spans="1:4" ht="12.75" customHeight="1">
      <c r="A741" s="52"/>
      <c r="B741" s="52"/>
      <c r="C741" s="52"/>
      <c r="D741" s="52"/>
    </row>
    <row r="742" spans="1:4" ht="12.75" customHeight="1">
      <c r="A742" s="52"/>
      <c r="B742" s="52"/>
      <c r="C742" s="52"/>
      <c r="D742" s="52"/>
    </row>
    <row r="743" spans="1:4" ht="12.75" customHeight="1">
      <c r="A743" s="52"/>
      <c r="B743" s="52"/>
      <c r="C743" s="52"/>
      <c r="D743" s="52"/>
    </row>
    <row r="744" spans="1:4" ht="12.75" customHeight="1">
      <c r="A744" s="52"/>
      <c r="B744" s="52"/>
      <c r="C744" s="52"/>
      <c r="D744" s="52"/>
    </row>
    <row r="745" spans="1:4" ht="12.75" customHeight="1">
      <c r="A745" s="52"/>
      <c r="B745" s="52"/>
      <c r="C745" s="52"/>
      <c r="D745" s="52"/>
    </row>
    <row r="746" spans="1:4" ht="12.75" customHeight="1">
      <c r="A746" s="52"/>
      <c r="B746" s="52"/>
      <c r="C746" s="52"/>
      <c r="D746" s="52"/>
    </row>
    <row r="747" spans="1:4" ht="12.75" customHeight="1">
      <c r="A747" s="52"/>
      <c r="B747" s="52"/>
      <c r="C747" s="52"/>
      <c r="D747" s="52"/>
    </row>
    <row r="748" spans="1:4" ht="12.75" customHeight="1">
      <c r="A748" s="52"/>
      <c r="B748" s="52"/>
      <c r="C748" s="52"/>
      <c r="D748" s="52"/>
    </row>
    <row r="749" spans="1:4" ht="12.75" customHeight="1">
      <c r="A749" s="52"/>
      <c r="B749" s="52"/>
      <c r="C749" s="52"/>
      <c r="D749" s="52"/>
    </row>
    <row r="750" spans="1:4" ht="12.75" customHeight="1">
      <c r="A750" s="52"/>
      <c r="B750" s="52"/>
      <c r="C750" s="52"/>
      <c r="D750" s="52"/>
    </row>
    <row r="751" spans="1:4" ht="12.75" customHeight="1">
      <c r="A751" s="52"/>
      <c r="B751" s="52"/>
      <c r="C751" s="52"/>
      <c r="D751" s="52"/>
    </row>
    <row r="752" spans="1:4" ht="12.75" customHeight="1">
      <c r="A752" s="52"/>
      <c r="B752" s="52"/>
      <c r="C752" s="52"/>
      <c r="D752" s="52"/>
    </row>
    <row r="753" spans="1:4" ht="12.75" customHeight="1">
      <c r="A753" s="52"/>
      <c r="B753" s="52"/>
      <c r="C753" s="52"/>
      <c r="D753" s="52"/>
    </row>
    <row r="754" spans="1:4" ht="12.75" customHeight="1">
      <c r="A754" s="52"/>
      <c r="B754" s="52"/>
      <c r="C754" s="52"/>
      <c r="D754" s="52"/>
    </row>
    <row r="755" spans="1:4" ht="12.75" customHeight="1">
      <c r="A755" s="52"/>
      <c r="B755" s="52"/>
      <c r="C755" s="52"/>
      <c r="D755" s="52"/>
    </row>
    <row r="756" spans="1:4" ht="12.75" customHeight="1">
      <c r="A756" s="52"/>
      <c r="B756" s="52"/>
      <c r="C756" s="52"/>
      <c r="D756" s="52"/>
    </row>
    <row r="757" spans="1:4" ht="12.75" customHeight="1">
      <c r="A757" s="52"/>
      <c r="B757" s="52"/>
      <c r="C757" s="52"/>
      <c r="D757" s="52"/>
    </row>
    <row r="758" spans="1:4" ht="12.75" customHeight="1">
      <c r="A758" s="52"/>
      <c r="B758" s="52"/>
      <c r="C758" s="52"/>
      <c r="D758" s="52"/>
    </row>
    <row r="759" spans="1:4" ht="12.75" customHeight="1">
      <c r="A759" s="52"/>
      <c r="B759" s="52"/>
      <c r="C759" s="52"/>
      <c r="D759" s="52"/>
    </row>
    <row r="760" spans="1:4" ht="12.75" customHeight="1">
      <c r="A760" s="52"/>
      <c r="B760" s="52"/>
      <c r="C760" s="52"/>
      <c r="D760" s="52"/>
    </row>
    <row r="761" spans="1:4" ht="12.75" customHeight="1">
      <c r="A761" s="52"/>
      <c r="B761" s="52"/>
      <c r="C761" s="52"/>
      <c r="D761" s="52"/>
    </row>
    <row r="762" spans="1:4" ht="12.75" customHeight="1">
      <c r="A762" s="52"/>
      <c r="B762" s="52"/>
      <c r="C762" s="52"/>
      <c r="D762" s="52"/>
    </row>
    <row r="763" spans="1:4" ht="12.75" customHeight="1">
      <c r="A763" s="52"/>
      <c r="B763" s="52"/>
      <c r="C763" s="52"/>
      <c r="D763" s="52"/>
    </row>
    <row r="764" spans="1:4" ht="12.75" customHeight="1">
      <c r="A764" s="52"/>
      <c r="B764" s="52"/>
      <c r="C764" s="52"/>
      <c r="D764" s="52"/>
    </row>
    <row r="765" spans="1:4" ht="12.75" customHeight="1">
      <c r="A765" s="52"/>
      <c r="B765" s="52"/>
      <c r="C765" s="52"/>
      <c r="D765" s="52"/>
    </row>
    <row r="766" spans="1:4" ht="12.75" customHeight="1">
      <c r="A766" s="52"/>
      <c r="B766" s="52"/>
      <c r="C766" s="52"/>
      <c r="D766" s="52"/>
    </row>
    <row r="767" spans="1:4" ht="12.75" customHeight="1">
      <c r="A767" s="52"/>
      <c r="B767" s="52"/>
      <c r="C767" s="52"/>
      <c r="D767" s="52"/>
    </row>
    <row r="768" spans="1:4" ht="12.75" customHeight="1">
      <c r="A768" s="52"/>
      <c r="B768" s="52"/>
      <c r="C768" s="52"/>
      <c r="D768" s="52"/>
    </row>
    <row r="769" spans="1:4" ht="12.75" customHeight="1">
      <c r="A769" s="52"/>
      <c r="B769" s="52"/>
      <c r="C769" s="52"/>
      <c r="D769" s="52"/>
    </row>
    <row r="770" spans="1:4" ht="12.75" customHeight="1">
      <c r="A770" s="52"/>
      <c r="B770" s="52"/>
      <c r="C770" s="52"/>
      <c r="D770" s="52"/>
    </row>
    <row r="771" spans="1:4" ht="12.75" customHeight="1">
      <c r="A771" s="52"/>
      <c r="B771" s="52"/>
      <c r="C771" s="52"/>
      <c r="D771" s="52"/>
    </row>
    <row r="772" spans="1:4" ht="12.75" customHeight="1">
      <c r="A772" s="52"/>
      <c r="B772" s="52"/>
      <c r="C772" s="52"/>
      <c r="D772" s="52"/>
    </row>
    <row r="773" spans="1:4" ht="12.75" customHeight="1">
      <c r="A773" s="52"/>
      <c r="B773" s="52"/>
      <c r="C773" s="52"/>
      <c r="D773" s="52"/>
    </row>
    <row r="774" spans="1:4" ht="12.75" customHeight="1">
      <c r="A774" s="52"/>
      <c r="B774" s="52"/>
      <c r="C774" s="52"/>
      <c r="D774" s="52"/>
    </row>
    <row r="775" spans="1:4" ht="12.75" customHeight="1">
      <c r="A775" s="52"/>
      <c r="B775" s="52"/>
      <c r="C775" s="52"/>
      <c r="D775" s="52"/>
    </row>
    <row r="776" spans="1:4" ht="12.75" customHeight="1">
      <c r="A776" s="52"/>
      <c r="B776" s="52"/>
      <c r="C776" s="52"/>
      <c r="D776" s="52"/>
    </row>
    <row r="777" spans="1:4" ht="12.75" customHeight="1">
      <c r="A777" s="52"/>
      <c r="B777" s="52"/>
      <c r="C777" s="52"/>
      <c r="D777" s="52"/>
    </row>
    <row r="778" spans="1:4" ht="12.75" customHeight="1">
      <c r="A778" s="52"/>
      <c r="B778" s="52"/>
      <c r="C778" s="52"/>
      <c r="D778" s="52"/>
    </row>
    <row r="779" spans="1:4" ht="12.75" customHeight="1">
      <c r="A779" s="52"/>
      <c r="B779" s="52"/>
      <c r="C779" s="52"/>
      <c r="D779" s="52"/>
    </row>
    <row r="780" spans="1:4" ht="12.75" customHeight="1">
      <c r="A780" s="52"/>
      <c r="B780" s="52"/>
      <c r="C780" s="52"/>
      <c r="D780" s="52"/>
    </row>
    <row r="781" spans="1:4" ht="12.75" customHeight="1">
      <c r="A781" s="52"/>
      <c r="B781" s="52"/>
      <c r="C781" s="52"/>
      <c r="D781" s="52"/>
    </row>
    <row r="782" spans="1:4" ht="12.75" customHeight="1">
      <c r="A782" s="52"/>
      <c r="B782" s="52"/>
      <c r="C782" s="52"/>
      <c r="D782" s="52"/>
    </row>
    <row r="783" spans="1:4" ht="12.75" customHeight="1">
      <c r="A783" s="52"/>
      <c r="B783" s="52"/>
      <c r="C783" s="52"/>
      <c r="D783" s="52"/>
    </row>
    <row r="784" spans="1:4" ht="12.75" customHeight="1">
      <c r="A784" s="52"/>
      <c r="B784" s="52"/>
      <c r="C784" s="52"/>
      <c r="D784" s="52"/>
    </row>
    <row r="785" spans="1:4" ht="12.75" customHeight="1">
      <c r="A785" s="52"/>
      <c r="B785" s="52"/>
      <c r="C785" s="52"/>
      <c r="D785" s="52"/>
    </row>
    <row r="786" spans="1:4" ht="12.75" customHeight="1">
      <c r="A786" s="52"/>
      <c r="B786" s="52"/>
      <c r="C786" s="52"/>
      <c r="D786" s="52"/>
    </row>
    <row r="787" spans="1:4" ht="12.75" customHeight="1">
      <c r="A787" s="52"/>
      <c r="B787" s="52"/>
      <c r="C787" s="52"/>
      <c r="D787" s="52"/>
    </row>
    <row r="788" spans="1:4" ht="12.75" customHeight="1">
      <c r="A788" s="52"/>
      <c r="B788" s="52"/>
      <c r="C788" s="52"/>
      <c r="D788" s="52"/>
    </row>
    <row r="789" spans="1:4" ht="12.75" customHeight="1">
      <c r="A789" s="52"/>
      <c r="B789" s="52"/>
      <c r="C789" s="52"/>
      <c r="D789" s="52"/>
    </row>
    <row r="790" spans="1:4" ht="12.75" customHeight="1">
      <c r="A790" s="52"/>
      <c r="B790" s="52"/>
      <c r="C790" s="52"/>
      <c r="D790" s="52"/>
    </row>
    <row r="791" spans="1:4" ht="12.75" customHeight="1">
      <c r="A791" s="52"/>
      <c r="B791" s="52"/>
      <c r="C791" s="52"/>
      <c r="D791" s="52"/>
    </row>
    <row r="792" spans="1:4" ht="12.75" customHeight="1">
      <c r="A792" s="52"/>
      <c r="B792" s="52"/>
      <c r="C792" s="52"/>
      <c r="D792" s="52"/>
    </row>
    <row r="793" spans="1:4" ht="12.75" customHeight="1">
      <c r="A793" s="52"/>
      <c r="B793" s="52"/>
      <c r="C793" s="52"/>
      <c r="D793" s="52"/>
    </row>
    <row r="794" spans="1:4" ht="12.75" customHeight="1">
      <c r="A794" s="52"/>
      <c r="B794" s="52"/>
      <c r="C794" s="52"/>
      <c r="D794" s="52"/>
    </row>
    <row r="795" spans="1:4" ht="12.75" customHeight="1">
      <c r="A795" s="52"/>
      <c r="B795" s="52"/>
      <c r="C795" s="52"/>
      <c r="D795" s="52"/>
    </row>
    <row r="796" spans="1:4" ht="12.75" customHeight="1">
      <c r="A796" s="52"/>
      <c r="B796" s="52"/>
      <c r="C796" s="52"/>
      <c r="D796" s="52"/>
    </row>
    <row r="797" spans="1:4" ht="12.75" customHeight="1">
      <c r="A797" s="52"/>
      <c r="B797" s="52"/>
      <c r="C797" s="52"/>
      <c r="D797" s="52"/>
    </row>
    <row r="798" spans="1:4" ht="12.75" customHeight="1">
      <c r="A798" s="52"/>
      <c r="B798" s="52"/>
      <c r="C798" s="52"/>
      <c r="D798" s="52"/>
    </row>
    <row r="799" spans="1:4" ht="12.75" customHeight="1">
      <c r="A799" s="52"/>
      <c r="B799" s="52"/>
      <c r="C799" s="52"/>
      <c r="D799" s="52"/>
    </row>
    <row r="800" spans="1:4" ht="12.75" customHeight="1">
      <c r="A800" s="52"/>
      <c r="B800" s="52"/>
      <c r="C800" s="52"/>
      <c r="D800" s="52"/>
    </row>
    <row r="801" spans="1:4" ht="12.75" customHeight="1">
      <c r="A801" s="52"/>
      <c r="B801" s="52"/>
      <c r="C801" s="52"/>
      <c r="D801" s="52"/>
    </row>
    <row r="802" spans="1:4" ht="12.75" customHeight="1">
      <c r="A802" s="52"/>
      <c r="B802" s="52"/>
      <c r="C802" s="52"/>
      <c r="D802" s="52"/>
    </row>
    <row r="803" spans="1:4" ht="12.75" customHeight="1">
      <c r="A803" s="52"/>
      <c r="B803" s="52"/>
      <c r="C803" s="52"/>
      <c r="D803" s="52"/>
    </row>
    <row r="804" spans="1:4" ht="12.75" customHeight="1">
      <c r="A804" s="52"/>
      <c r="B804" s="52"/>
      <c r="C804" s="52"/>
      <c r="D804" s="52"/>
    </row>
    <row r="805" spans="1:4" ht="12.75" customHeight="1">
      <c r="A805" s="52"/>
      <c r="B805" s="52"/>
      <c r="C805" s="52"/>
      <c r="D805" s="52"/>
    </row>
    <row r="806" spans="1:4" ht="12.75" customHeight="1">
      <c r="A806" s="52"/>
      <c r="B806" s="52"/>
      <c r="C806" s="52"/>
      <c r="D806" s="52"/>
    </row>
    <row r="807" spans="1:4" ht="12.75" customHeight="1">
      <c r="A807" s="52"/>
      <c r="B807" s="52"/>
      <c r="C807" s="52"/>
      <c r="D807" s="52"/>
    </row>
    <row r="808" spans="1:4" ht="12.75" customHeight="1">
      <c r="A808" s="52"/>
      <c r="B808" s="52"/>
      <c r="C808" s="52"/>
      <c r="D808" s="52"/>
    </row>
    <row r="809" spans="1:4" ht="12.75" customHeight="1">
      <c r="A809" s="52"/>
      <c r="B809" s="52"/>
      <c r="C809" s="52"/>
      <c r="D809" s="52"/>
    </row>
    <row r="810" spans="1:4" ht="12.75" customHeight="1">
      <c r="A810" s="52"/>
      <c r="B810" s="52"/>
      <c r="C810" s="52"/>
      <c r="D810" s="52"/>
    </row>
    <row r="811" spans="1:4" ht="12.75" customHeight="1">
      <c r="A811" s="52"/>
      <c r="B811" s="52"/>
      <c r="C811" s="52"/>
      <c r="D811" s="52"/>
    </row>
    <row r="812" spans="1:4" ht="12.75" customHeight="1">
      <c r="A812" s="52"/>
      <c r="B812" s="52"/>
      <c r="C812" s="52"/>
      <c r="D812" s="52"/>
    </row>
    <row r="813" spans="1:4" ht="12.75" customHeight="1">
      <c r="A813" s="52"/>
      <c r="B813" s="52"/>
      <c r="C813" s="52"/>
      <c r="D813" s="52"/>
    </row>
    <row r="814" spans="1:4" ht="12.75" customHeight="1">
      <c r="A814" s="52"/>
      <c r="B814" s="52"/>
      <c r="C814" s="52"/>
      <c r="D814" s="52"/>
    </row>
    <row r="815" spans="1:4" ht="12.75" customHeight="1">
      <c r="A815" s="52"/>
      <c r="B815" s="52"/>
      <c r="C815" s="52"/>
      <c r="D815" s="52"/>
    </row>
    <row r="816" spans="1:4" ht="12.75" customHeight="1">
      <c r="A816" s="52"/>
      <c r="B816" s="52"/>
      <c r="C816" s="52"/>
      <c r="D816" s="52"/>
    </row>
    <row r="817" spans="1:4" ht="12.75" customHeight="1">
      <c r="A817" s="52"/>
      <c r="B817" s="52"/>
      <c r="C817" s="52"/>
      <c r="D817" s="52"/>
    </row>
    <row r="818" spans="1:4" ht="12.75" customHeight="1">
      <c r="A818" s="52"/>
      <c r="B818" s="52"/>
      <c r="C818" s="52"/>
      <c r="D818" s="52"/>
    </row>
    <row r="819" spans="1:4" ht="12.75" customHeight="1">
      <c r="A819" s="52"/>
      <c r="B819" s="52"/>
      <c r="C819" s="52"/>
      <c r="D819" s="52"/>
    </row>
    <row r="820" spans="1:4" ht="12.75" customHeight="1">
      <c r="A820" s="52"/>
      <c r="B820" s="52"/>
      <c r="C820" s="52"/>
      <c r="D820" s="52"/>
    </row>
    <row r="821" spans="1:4" ht="12.75" customHeight="1">
      <c r="A821" s="52"/>
      <c r="B821" s="52"/>
      <c r="C821" s="52"/>
      <c r="D821" s="52"/>
    </row>
    <row r="822" spans="1:4" ht="12.75" customHeight="1">
      <c r="A822" s="52"/>
      <c r="B822" s="52"/>
      <c r="C822" s="52"/>
      <c r="D822" s="52"/>
    </row>
    <row r="823" spans="1:4" ht="12.75" customHeight="1">
      <c r="A823" s="52"/>
      <c r="B823" s="52"/>
      <c r="C823" s="52"/>
      <c r="D823" s="52"/>
    </row>
    <row r="824" spans="1:4" ht="12.75" customHeight="1">
      <c r="A824" s="52"/>
      <c r="B824" s="52"/>
      <c r="C824" s="52"/>
      <c r="D824" s="52"/>
    </row>
    <row r="825" spans="1:4" ht="12.75" customHeight="1">
      <c r="A825" s="52"/>
      <c r="B825" s="52"/>
      <c r="C825" s="52"/>
      <c r="D825" s="52"/>
    </row>
    <row r="826" spans="1:4" ht="12.75" customHeight="1">
      <c r="A826" s="52"/>
      <c r="B826" s="52"/>
      <c r="C826" s="52"/>
      <c r="D826" s="52"/>
    </row>
    <row r="827" spans="1:4" ht="12.75" customHeight="1">
      <c r="A827" s="52"/>
      <c r="B827" s="52"/>
      <c r="C827" s="52"/>
      <c r="D827" s="52"/>
    </row>
    <row r="828" spans="1:4" ht="12.75" customHeight="1">
      <c r="A828" s="52"/>
      <c r="B828" s="52"/>
      <c r="C828" s="52"/>
      <c r="D828" s="52"/>
    </row>
    <row r="829" spans="1:4" ht="12.75" customHeight="1">
      <c r="A829" s="52"/>
      <c r="B829" s="52"/>
      <c r="C829" s="52"/>
      <c r="D829" s="52"/>
    </row>
    <row r="830" spans="1:4" ht="12.75" customHeight="1">
      <c r="A830" s="52"/>
      <c r="B830" s="52"/>
      <c r="C830" s="52"/>
      <c r="D830" s="52"/>
    </row>
    <row r="831" spans="1:4" ht="12.75" customHeight="1">
      <c r="A831" s="52"/>
      <c r="B831" s="52"/>
      <c r="C831" s="52"/>
      <c r="D831" s="52"/>
    </row>
    <row r="832" spans="1:4" ht="12.75" customHeight="1">
      <c r="A832" s="52"/>
      <c r="B832" s="52"/>
      <c r="C832" s="52"/>
      <c r="D832" s="52"/>
    </row>
    <row r="833" spans="1:4" ht="12.75" customHeight="1">
      <c r="A833" s="52"/>
      <c r="B833" s="52"/>
      <c r="C833" s="52"/>
      <c r="D833" s="52"/>
    </row>
    <row r="834" spans="1:4" ht="12.75" customHeight="1">
      <c r="A834" s="52"/>
      <c r="B834" s="52"/>
      <c r="C834" s="52"/>
      <c r="D834" s="52"/>
    </row>
    <row r="835" spans="1:4" ht="12.75" customHeight="1">
      <c r="A835" s="52"/>
      <c r="B835" s="52"/>
      <c r="C835" s="52"/>
      <c r="D835" s="52"/>
    </row>
    <row r="836" spans="1:4" ht="12.75" customHeight="1">
      <c r="A836" s="52"/>
      <c r="B836" s="52"/>
      <c r="C836" s="52"/>
      <c r="D836" s="52"/>
    </row>
    <row r="837" spans="1:4" ht="12.75" customHeight="1">
      <c r="A837" s="52"/>
      <c r="B837" s="52"/>
      <c r="C837" s="52"/>
      <c r="D837" s="52"/>
    </row>
    <row r="838" spans="1:4" ht="12.75" customHeight="1">
      <c r="A838" s="52"/>
      <c r="B838" s="52"/>
      <c r="C838" s="52"/>
      <c r="D838" s="52"/>
    </row>
    <row r="839" spans="1:4" ht="12.75" customHeight="1">
      <c r="A839" s="52"/>
      <c r="B839" s="52"/>
      <c r="C839" s="52"/>
      <c r="D839" s="52"/>
    </row>
    <row r="840" spans="1:4" ht="12.75" customHeight="1">
      <c r="A840" s="52"/>
      <c r="B840" s="52"/>
      <c r="C840" s="52"/>
      <c r="D840" s="52"/>
    </row>
    <row r="841" spans="1:4" ht="12.75" customHeight="1">
      <c r="A841" s="52"/>
      <c r="B841" s="52"/>
      <c r="C841" s="52"/>
      <c r="D841" s="52"/>
    </row>
    <row r="842" spans="1:4" ht="12.75" customHeight="1">
      <c r="A842" s="52"/>
      <c r="B842" s="52"/>
      <c r="C842" s="52"/>
      <c r="D842" s="52"/>
    </row>
    <row r="843" spans="1:4" ht="12.75" customHeight="1">
      <c r="A843" s="52"/>
      <c r="B843" s="52"/>
      <c r="C843" s="52"/>
      <c r="D843" s="52"/>
    </row>
    <row r="844" spans="1:4" ht="12.75" customHeight="1">
      <c r="A844" s="52"/>
      <c r="B844" s="52"/>
      <c r="C844" s="52"/>
      <c r="D844" s="52"/>
    </row>
    <row r="845" spans="1:4" ht="12.75" customHeight="1">
      <c r="A845" s="52"/>
      <c r="B845" s="52"/>
      <c r="C845" s="52"/>
      <c r="D845" s="52"/>
    </row>
    <row r="846" spans="1:4" ht="12.75" customHeight="1">
      <c r="A846" s="52"/>
      <c r="B846" s="52"/>
      <c r="C846" s="52"/>
      <c r="D846" s="52"/>
    </row>
    <row r="847" spans="1:4" ht="12.75" customHeight="1">
      <c r="A847" s="52"/>
      <c r="B847" s="52"/>
      <c r="C847" s="52"/>
      <c r="D847" s="52"/>
    </row>
    <row r="848" spans="1:4" ht="12.75" customHeight="1">
      <c r="A848" s="52"/>
      <c r="B848" s="52"/>
      <c r="C848" s="52"/>
      <c r="D848" s="52"/>
    </row>
    <row r="849" spans="1:4" ht="12.75" customHeight="1">
      <c r="A849" s="52"/>
      <c r="B849" s="52"/>
      <c r="C849" s="52"/>
      <c r="D849" s="52"/>
    </row>
    <row r="850" spans="1:4" ht="12.75" customHeight="1">
      <c r="A850" s="52"/>
      <c r="B850" s="52"/>
      <c r="C850" s="52"/>
      <c r="D850" s="52"/>
    </row>
    <row r="851" spans="1:4" ht="12.75" customHeight="1">
      <c r="A851" s="52"/>
      <c r="B851" s="52"/>
      <c r="C851" s="52"/>
      <c r="D851" s="52"/>
    </row>
    <row r="852" spans="1:4" ht="12.75" customHeight="1">
      <c r="A852" s="52"/>
      <c r="B852" s="52"/>
      <c r="C852" s="52"/>
      <c r="D852" s="52"/>
    </row>
    <row r="853" spans="1:4" ht="12.75" customHeight="1">
      <c r="A853" s="52"/>
      <c r="B853" s="52"/>
      <c r="C853" s="52"/>
      <c r="D853" s="52"/>
    </row>
    <row r="854" spans="1:4" ht="12.75" customHeight="1">
      <c r="A854" s="52"/>
      <c r="B854" s="52"/>
      <c r="C854" s="52"/>
      <c r="D854" s="52"/>
    </row>
    <row r="855" spans="1:4" ht="12.75" customHeight="1">
      <c r="A855" s="52"/>
      <c r="B855" s="52"/>
      <c r="C855" s="52"/>
      <c r="D855" s="52"/>
    </row>
    <row r="856" spans="1:4" ht="12.75" customHeight="1">
      <c r="A856" s="52"/>
      <c r="B856" s="52"/>
      <c r="C856" s="52"/>
      <c r="D856" s="52"/>
    </row>
    <row r="857" spans="1:4" ht="12.75" customHeight="1">
      <c r="A857" s="52"/>
      <c r="B857" s="52"/>
      <c r="C857" s="52"/>
      <c r="D857" s="52"/>
    </row>
    <row r="858" spans="1:4" ht="12.75" customHeight="1">
      <c r="A858" s="52"/>
      <c r="B858" s="52"/>
      <c r="C858" s="52"/>
      <c r="D858" s="52"/>
    </row>
    <row r="859" spans="1:4" ht="12.75" customHeight="1">
      <c r="A859" s="52"/>
      <c r="B859" s="52"/>
      <c r="C859" s="52"/>
      <c r="D859" s="52"/>
    </row>
    <row r="860" spans="1:4" ht="12.75" customHeight="1">
      <c r="A860" s="52"/>
      <c r="B860" s="52"/>
      <c r="C860" s="52"/>
      <c r="D860" s="52"/>
    </row>
    <row r="861" spans="1:4" ht="12.75" customHeight="1">
      <c r="A861" s="52"/>
      <c r="B861" s="52"/>
      <c r="C861" s="52"/>
      <c r="D861" s="52"/>
    </row>
    <row r="862" spans="1:4" ht="12.75" customHeight="1">
      <c r="A862" s="52"/>
      <c r="B862" s="52"/>
      <c r="C862" s="52"/>
      <c r="D862" s="52"/>
    </row>
    <row r="863" spans="1:4" ht="12.75" customHeight="1">
      <c r="A863" s="52"/>
      <c r="B863" s="52"/>
      <c r="C863" s="52"/>
      <c r="D863" s="52"/>
    </row>
    <row r="864" spans="1:4" ht="12.75" customHeight="1">
      <c r="A864" s="52"/>
      <c r="B864" s="52"/>
      <c r="C864" s="52"/>
      <c r="D864" s="52"/>
    </row>
    <row r="865" spans="1:4" ht="12.75" customHeight="1">
      <c r="A865" s="52"/>
      <c r="B865" s="52"/>
      <c r="C865" s="52"/>
      <c r="D865" s="52"/>
    </row>
    <row r="866" spans="1:4" ht="12.75" customHeight="1">
      <c r="A866" s="52"/>
      <c r="B866" s="52"/>
      <c r="C866" s="52"/>
      <c r="D866" s="52"/>
    </row>
    <row r="867" spans="1:4" ht="12.75" customHeight="1">
      <c r="A867" s="52"/>
      <c r="B867" s="52"/>
      <c r="C867" s="52"/>
      <c r="D867" s="52"/>
    </row>
    <row r="868" spans="1:4" ht="12.75" customHeight="1">
      <c r="A868" s="52"/>
      <c r="B868" s="52"/>
      <c r="C868" s="52"/>
      <c r="D868" s="52"/>
    </row>
    <row r="869" spans="1:4" ht="12.75" customHeight="1">
      <c r="A869" s="52"/>
      <c r="B869" s="52"/>
      <c r="C869" s="52"/>
      <c r="D869" s="52"/>
    </row>
    <row r="870" spans="1:4" ht="12.75" customHeight="1">
      <c r="A870" s="52"/>
      <c r="B870" s="52"/>
      <c r="C870" s="52"/>
      <c r="D870" s="52"/>
    </row>
    <row r="871" spans="1:4" ht="12.75" customHeight="1">
      <c r="A871" s="52"/>
      <c r="B871" s="52"/>
      <c r="C871" s="52"/>
      <c r="D871" s="52"/>
    </row>
    <row r="872" spans="1:4" ht="12.75" customHeight="1">
      <c r="A872" s="52"/>
      <c r="B872" s="52"/>
      <c r="C872" s="52"/>
      <c r="D872" s="52"/>
    </row>
    <row r="873" spans="1:4" ht="12.75" customHeight="1">
      <c r="A873" s="52"/>
      <c r="B873" s="52"/>
      <c r="C873" s="52"/>
      <c r="D873" s="52"/>
    </row>
    <row r="874" spans="1:4" ht="12.75" customHeight="1">
      <c r="A874" s="52"/>
      <c r="B874" s="52"/>
      <c r="C874" s="52"/>
      <c r="D874" s="52"/>
    </row>
    <row r="875" spans="1:4" ht="12.75" customHeight="1">
      <c r="A875" s="52"/>
      <c r="B875" s="52"/>
      <c r="C875" s="52"/>
      <c r="D875" s="52"/>
    </row>
    <row r="876" spans="1:4" ht="12.75" customHeight="1">
      <c r="A876" s="52"/>
      <c r="B876" s="52"/>
      <c r="C876" s="52"/>
      <c r="D876" s="52"/>
    </row>
    <row r="877" spans="1:4" ht="12.75" customHeight="1">
      <c r="A877" s="52"/>
      <c r="B877" s="52"/>
      <c r="C877" s="52"/>
      <c r="D877" s="52"/>
    </row>
    <row r="878" spans="1:4" ht="12.75" customHeight="1">
      <c r="A878" s="52"/>
      <c r="B878" s="52"/>
      <c r="C878" s="52"/>
      <c r="D878" s="52"/>
    </row>
    <row r="879" spans="1:4" ht="12.75" customHeight="1">
      <c r="A879" s="52"/>
      <c r="B879" s="52"/>
      <c r="C879" s="52"/>
      <c r="D879" s="52"/>
    </row>
    <row r="880" spans="1:4" ht="12.75" customHeight="1">
      <c r="A880" s="52"/>
      <c r="B880" s="52"/>
      <c r="C880" s="52"/>
      <c r="D880" s="52"/>
    </row>
    <row r="881" spans="1:4" ht="12.75" customHeight="1">
      <c r="A881" s="52"/>
      <c r="B881" s="52"/>
      <c r="C881" s="52"/>
      <c r="D881" s="52"/>
    </row>
    <row r="882" spans="1:4" ht="12.75" customHeight="1">
      <c r="A882" s="52"/>
      <c r="B882" s="52"/>
      <c r="C882" s="52"/>
      <c r="D882" s="52"/>
    </row>
    <row r="883" spans="1:4" ht="12.75" customHeight="1">
      <c r="A883" s="52"/>
      <c r="B883" s="52"/>
      <c r="C883" s="52"/>
      <c r="D883" s="52"/>
    </row>
    <row r="884" spans="1:4" ht="12.75" customHeight="1">
      <c r="A884" s="52"/>
      <c r="B884" s="52"/>
      <c r="C884" s="52"/>
      <c r="D884" s="52"/>
    </row>
    <row r="885" spans="1:4" ht="12.75" customHeight="1">
      <c r="A885" s="52"/>
      <c r="B885" s="52"/>
      <c r="C885" s="52"/>
      <c r="D885" s="52"/>
    </row>
    <row r="886" spans="1:4" ht="12.75" customHeight="1">
      <c r="A886" s="52"/>
      <c r="B886" s="52"/>
      <c r="C886" s="52"/>
      <c r="D886" s="52"/>
    </row>
    <row r="887" spans="1:4" ht="12.75" customHeight="1">
      <c r="A887" s="52"/>
      <c r="B887" s="52"/>
      <c r="C887" s="52"/>
      <c r="D887" s="52"/>
    </row>
    <row r="888" spans="1:4" ht="12.75" customHeight="1">
      <c r="A888" s="52"/>
      <c r="B888" s="52"/>
      <c r="C888" s="52"/>
      <c r="D888" s="52"/>
    </row>
    <row r="889" spans="1:4" ht="12.75" customHeight="1">
      <c r="A889" s="52"/>
      <c r="B889" s="52"/>
      <c r="C889" s="52"/>
      <c r="D889" s="52"/>
    </row>
    <row r="890" spans="1:4" ht="12.75" customHeight="1">
      <c r="A890" s="52"/>
      <c r="B890" s="52"/>
      <c r="C890" s="52"/>
      <c r="D890" s="52"/>
    </row>
    <row r="891" spans="1:4" ht="12.75" customHeight="1">
      <c r="A891" s="52"/>
      <c r="B891" s="52"/>
      <c r="C891" s="52"/>
      <c r="D891" s="52"/>
    </row>
    <row r="892" spans="1:4" ht="12.75" customHeight="1">
      <c r="A892" s="52"/>
      <c r="B892" s="52"/>
      <c r="C892" s="52"/>
      <c r="D892" s="52"/>
    </row>
    <row r="893" spans="1:4" ht="12.75" customHeight="1">
      <c r="A893" s="52"/>
      <c r="B893" s="52"/>
      <c r="C893" s="52"/>
      <c r="D893" s="52"/>
    </row>
    <row r="894" spans="1:4" ht="12.75" customHeight="1">
      <c r="A894" s="52"/>
      <c r="B894" s="52"/>
      <c r="C894" s="52"/>
      <c r="D894" s="52"/>
    </row>
    <row r="895" spans="1:4" ht="12.75" customHeight="1">
      <c r="A895" s="52"/>
      <c r="B895" s="52"/>
      <c r="C895" s="52"/>
      <c r="D895" s="52"/>
    </row>
    <row r="896" spans="1:4" ht="12.75" customHeight="1">
      <c r="A896" s="52"/>
      <c r="B896" s="52"/>
      <c r="C896" s="52"/>
      <c r="D896" s="52"/>
    </row>
    <row r="897" spans="1:4" ht="12.75" customHeight="1">
      <c r="A897" s="52"/>
      <c r="B897" s="52"/>
      <c r="C897" s="52"/>
      <c r="D897" s="52"/>
    </row>
    <row r="898" spans="1:4" ht="12.75" customHeight="1">
      <c r="A898" s="52"/>
      <c r="B898" s="52"/>
      <c r="C898" s="52"/>
      <c r="D898" s="52"/>
    </row>
    <row r="899" spans="1:4" ht="12.75" customHeight="1">
      <c r="A899" s="52"/>
      <c r="B899" s="52"/>
      <c r="C899" s="52"/>
      <c r="D899" s="52"/>
    </row>
    <row r="900" spans="1:4" ht="12.75" customHeight="1">
      <c r="A900" s="52"/>
      <c r="B900" s="52"/>
      <c r="C900" s="52"/>
      <c r="D900" s="52"/>
    </row>
    <row r="901" spans="1:4" ht="12.75" customHeight="1">
      <c r="A901" s="52"/>
      <c r="B901" s="52"/>
      <c r="C901" s="52"/>
      <c r="D901" s="52"/>
    </row>
    <row r="902" spans="1:4" ht="12.75" customHeight="1">
      <c r="A902" s="52"/>
      <c r="B902" s="52"/>
      <c r="C902" s="52"/>
      <c r="D902" s="52"/>
    </row>
    <row r="903" spans="1:4" ht="12.75" customHeight="1">
      <c r="A903" s="52"/>
      <c r="B903" s="52"/>
      <c r="C903" s="52"/>
      <c r="D903" s="52"/>
    </row>
    <row r="904" spans="1:4" ht="12.75" customHeight="1">
      <c r="A904" s="52"/>
      <c r="B904" s="52"/>
      <c r="C904" s="52"/>
      <c r="D904" s="52"/>
    </row>
    <row r="905" spans="1:4" ht="12.75" customHeight="1">
      <c r="A905" s="52"/>
      <c r="B905" s="52"/>
      <c r="C905" s="52"/>
      <c r="D905" s="52"/>
    </row>
    <row r="906" spans="1:4" ht="12.75" customHeight="1">
      <c r="A906" s="52"/>
      <c r="B906" s="52"/>
      <c r="C906" s="52"/>
      <c r="D906" s="52"/>
    </row>
    <row r="907" spans="1:4" ht="12.75" customHeight="1">
      <c r="A907" s="52"/>
      <c r="B907" s="52"/>
      <c r="C907" s="52"/>
      <c r="D907" s="52"/>
    </row>
    <row r="908" spans="1:4" ht="12.75" customHeight="1">
      <c r="A908" s="52"/>
      <c r="B908" s="52"/>
      <c r="C908" s="52"/>
      <c r="D908" s="52"/>
    </row>
    <row r="909" spans="1:4" ht="12.75" customHeight="1">
      <c r="A909" s="52"/>
      <c r="B909" s="52"/>
      <c r="C909" s="52"/>
      <c r="D909" s="52"/>
    </row>
    <row r="910" spans="1:4" ht="12.75" customHeight="1">
      <c r="A910" s="52"/>
      <c r="B910" s="52"/>
      <c r="C910" s="52"/>
      <c r="D910" s="52"/>
    </row>
    <row r="911" spans="1:4" ht="12.75" customHeight="1">
      <c r="A911" s="52"/>
      <c r="B911" s="52"/>
      <c r="C911" s="52"/>
      <c r="D911" s="52"/>
    </row>
    <row r="912" spans="1:4" ht="12.75" customHeight="1">
      <c r="A912" s="52"/>
      <c r="B912" s="52"/>
      <c r="C912" s="52"/>
      <c r="D912" s="52"/>
    </row>
    <row r="913" spans="1:4" ht="12.75" customHeight="1">
      <c r="A913" s="52"/>
      <c r="B913" s="52"/>
      <c r="C913" s="52"/>
      <c r="D913" s="52"/>
    </row>
    <row r="914" spans="1:4" ht="12.75" customHeight="1">
      <c r="A914" s="52"/>
      <c r="B914" s="52"/>
      <c r="C914" s="52"/>
      <c r="D914" s="52"/>
    </row>
    <row r="915" spans="1:4" ht="12.75" customHeight="1">
      <c r="A915" s="52"/>
      <c r="B915" s="52"/>
      <c r="C915" s="52"/>
      <c r="D915" s="52"/>
    </row>
    <row r="916" spans="1:4" ht="12.75" customHeight="1">
      <c r="A916" s="52"/>
      <c r="B916" s="52"/>
      <c r="C916" s="52"/>
      <c r="D916" s="52"/>
    </row>
    <row r="917" spans="1:4" ht="12.75" customHeight="1">
      <c r="A917" s="52"/>
      <c r="B917" s="52"/>
      <c r="C917" s="52"/>
      <c r="D917" s="52"/>
    </row>
    <row r="918" spans="1:4" ht="12.75" customHeight="1">
      <c r="A918" s="52"/>
      <c r="B918" s="52"/>
      <c r="C918" s="52"/>
      <c r="D918" s="52"/>
    </row>
    <row r="919" spans="1:4" ht="12.75" customHeight="1">
      <c r="A919" s="52"/>
      <c r="B919" s="52"/>
      <c r="C919" s="52"/>
      <c r="D919" s="52"/>
    </row>
    <row r="920" spans="1:4" ht="12.75" customHeight="1">
      <c r="A920" s="52"/>
      <c r="B920" s="52"/>
      <c r="C920" s="52"/>
      <c r="D920" s="52"/>
    </row>
    <row r="921" spans="1:4" ht="12.75" customHeight="1">
      <c r="A921" s="52"/>
      <c r="B921" s="52"/>
      <c r="C921" s="52"/>
      <c r="D921" s="52"/>
    </row>
    <row r="922" spans="1:4" ht="12.75" customHeight="1">
      <c r="A922" s="52"/>
      <c r="B922" s="52"/>
      <c r="C922" s="52"/>
      <c r="D922" s="52"/>
    </row>
    <row r="923" spans="1:4" ht="12.75" customHeight="1">
      <c r="A923" s="52"/>
      <c r="B923" s="52"/>
      <c r="C923" s="52"/>
      <c r="D923" s="52"/>
    </row>
    <row r="924" spans="1:4" ht="12.75" customHeight="1">
      <c r="A924" s="52"/>
      <c r="B924" s="52"/>
      <c r="C924" s="52"/>
      <c r="D924" s="52"/>
    </row>
    <row r="925" spans="1:4" ht="12.75" customHeight="1">
      <c r="A925" s="52"/>
      <c r="B925" s="52"/>
      <c r="C925" s="52"/>
      <c r="D925" s="52"/>
    </row>
    <row r="926" spans="1:4" ht="12.75" customHeight="1">
      <c r="A926" s="52"/>
      <c r="B926" s="52"/>
      <c r="C926" s="52"/>
      <c r="D926" s="52"/>
    </row>
    <row r="927" spans="1:4" ht="12.75" customHeight="1">
      <c r="A927" s="52"/>
      <c r="B927" s="52"/>
      <c r="C927" s="52"/>
      <c r="D927" s="52"/>
    </row>
    <row r="928" spans="1:4" ht="12.75" customHeight="1">
      <c r="A928" s="52"/>
      <c r="B928" s="52"/>
      <c r="C928" s="52"/>
      <c r="D928" s="52"/>
    </row>
    <row r="929" spans="1:4" ht="12.75" customHeight="1">
      <c r="A929" s="52"/>
      <c r="B929" s="52"/>
      <c r="C929" s="52"/>
      <c r="D929" s="52"/>
    </row>
    <row r="930" spans="1:4" ht="12.75" customHeight="1">
      <c r="A930" s="52"/>
      <c r="B930" s="52"/>
      <c r="C930" s="52"/>
      <c r="D930" s="52"/>
    </row>
    <row r="931" spans="1:4" ht="12.75" customHeight="1">
      <c r="A931" s="52"/>
      <c r="B931" s="52"/>
      <c r="C931" s="52"/>
      <c r="D931" s="52"/>
    </row>
    <row r="932" spans="1:4" ht="12.75" customHeight="1">
      <c r="A932" s="52"/>
      <c r="B932" s="52"/>
      <c r="C932" s="52"/>
      <c r="D932" s="52"/>
    </row>
    <row r="933" spans="1:4" ht="12.75" customHeight="1">
      <c r="A933" s="52"/>
      <c r="B933" s="52"/>
      <c r="C933" s="52"/>
      <c r="D933" s="52"/>
    </row>
    <row r="934" spans="1:4" ht="12.75" customHeight="1">
      <c r="A934" s="52"/>
      <c r="B934" s="52"/>
      <c r="C934" s="52"/>
      <c r="D934" s="52"/>
    </row>
    <row r="935" spans="1:4" ht="12.75" customHeight="1">
      <c r="A935" s="52"/>
      <c r="B935" s="52"/>
      <c r="C935" s="52"/>
      <c r="D935" s="52"/>
    </row>
    <row r="936" spans="1:4" ht="12.75" customHeight="1">
      <c r="A936" s="52"/>
      <c r="B936" s="52"/>
      <c r="C936" s="52"/>
      <c r="D936" s="52"/>
    </row>
    <row r="937" spans="1:4" ht="12.75" customHeight="1">
      <c r="A937" s="52"/>
      <c r="B937" s="52"/>
      <c r="C937" s="52"/>
      <c r="D937" s="52"/>
    </row>
    <row r="938" spans="1:4" ht="12.75" customHeight="1">
      <c r="A938" s="52"/>
      <c r="B938" s="52"/>
      <c r="C938" s="52"/>
      <c r="D938" s="52"/>
    </row>
    <row r="939" spans="1:4" ht="12.75" customHeight="1">
      <c r="A939" s="52"/>
      <c r="B939" s="52"/>
      <c r="C939" s="52"/>
      <c r="D939" s="52"/>
    </row>
    <row r="940" spans="1:4" ht="12.75" customHeight="1">
      <c r="A940" s="52"/>
      <c r="B940" s="52"/>
      <c r="C940" s="52"/>
      <c r="D940" s="52"/>
    </row>
    <row r="941" spans="1:4" ht="12.75" customHeight="1">
      <c r="A941" s="52"/>
      <c r="B941" s="52"/>
      <c r="C941" s="52"/>
      <c r="D941" s="52"/>
    </row>
    <row r="942" spans="1:4" ht="12.75" customHeight="1">
      <c r="A942" s="52"/>
      <c r="B942" s="52"/>
      <c r="C942" s="52"/>
      <c r="D942" s="52"/>
    </row>
    <row r="943" spans="1:4" ht="12.75" customHeight="1">
      <c r="A943" s="52"/>
      <c r="B943" s="52"/>
      <c r="C943" s="52"/>
      <c r="D943" s="52"/>
    </row>
    <row r="944" spans="1:4" ht="12.75" customHeight="1">
      <c r="A944" s="52"/>
      <c r="B944" s="52"/>
      <c r="C944" s="52"/>
      <c r="D944" s="52"/>
    </row>
    <row r="945" spans="1:4" ht="12.75" customHeight="1">
      <c r="A945" s="52"/>
      <c r="B945" s="52"/>
      <c r="C945" s="52"/>
      <c r="D945" s="52"/>
    </row>
    <row r="946" spans="1:4" ht="12.75" customHeight="1">
      <c r="A946" s="52"/>
      <c r="B946" s="52"/>
      <c r="C946" s="52"/>
      <c r="D946" s="52"/>
    </row>
    <row r="947" spans="1:4" ht="12.75" customHeight="1">
      <c r="A947" s="52"/>
      <c r="B947" s="52"/>
      <c r="C947" s="52"/>
      <c r="D947" s="52"/>
    </row>
    <row r="948" spans="1:4" ht="12.75" customHeight="1">
      <c r="A948" s="52"/>
      <c r="B948" s="52"/>
      <c r="C948" s="52"/>
      <c r="D948" s="52"/>
    </row>
    <row r="949" spans="1:4" ht="12.75" customHeight="1">
      <c r="A949" s="52"/>
      <c r="B949" s="52"/>
      <c r="C949" s="52"/>
      <c r="D949" s="52"/>
    </row>
    <row r="950" spans="1:4" ht="12.75" customHeight="1">
      <c r="A950" s="52"/>
      <c r="B950" s="52"/>
      <c r="C950" s="52"/>
      <c r="D950" s="52"/>
    </row>
    <row r="951" spans="1:4" ht="12.75" customHeight="1">
      <c r="A951" s="52"/>
      <c r="B951" s="52"/>
      <c r="C951" s="52"/>
      <c r="D951" s="52"/>
    </row>
    <row r="952" spans="1:4" ht="12.75" customHeight="1">
      <c r="A952" s="52"/>
      <c r="B952" s="52"/>
      <c r="C952" s="52"/>
      <c r="D952" s="52"/>
    </row>
    <row r="953" spans="1:4" ht="12.75" customHeight="1">
      <c r="A953" s="52"/>
      <c r="B953" s="52"/>
      <c r="C953" s="52"/>
      <c r="D953" s="52"/>
    </row>
    <row r="954" spans="1:4" ht="12.75" customHeight="1">
      <c r="A954" s="52"/>
      <c r="B954" s="52"/>
      <c r="C954" s="52"/>
      <c r="D954" s="52"/>
    </row>
    <row r="955" spans="1:4" ht="12.75" customHeight="1">
      <c r="A955" s="52"/>
      <c r="B955" s="52"/>
      <c r="C955" s="52"/>
      <c r="D955" s="52"/>
    </row>
    <row r="956" spans="1:4" ht="12.75" customHeight="1">
      <c r="A956" s="52"/>
      <c r="B956" s="52"/>
      <c r="C956" s="52"/>
      <c r="D956" s="52"/>
    </row>
    <row r="957" spans="1:4" ht="12.75" customHeight="1">
      <c r="A957" s="52"/>
      <c r="B957" s="52"/>
      <c r="C957" s="52"/>
      <c r="D957" s="52"/>
    </row>
    <row r="958" spans="1:4" ht="12.75" customHeight="1">
      <c r="A958" s="52"/>
      <c r="B958" s="52"/>
      <c r="C958" s="52"/>
      <c r="D958" s="52"/>
    </row>
    <row r="959" spans="1:4" ht="12.75" customHeight="1">
      <c r="A959" s="52"/>
      <c r="B959" s="52"/>
      <c r="C959" s="52"/>
      <c r="D959" s="52"/>
    </row>
    <row r="960" spans="1:4" ht="12.75" customHeight="1">
      <c r="A960" s="52"/>
      <c r="B960" s="52"/>
      <c r="C960" s="52"/>
      <c r="D960" s="52"/>
    </row>
    <row r="961" spans="1:4" ht="12.75" customHeight="1">
      <c r="A961" s="52"/>
      <c r="B961" s="52"/>
      <c r="C961" s="52"/>
      <c r="D961" s="52"/>
    </row>
    <row r="962" spans="1:4" ht="12.75" customHeight="1">
      <c r="A962" s="52"/>
      <c r="B962" s="52"/>
      <c r="C962" s="52"/>
      <c r="D962" s="52"/>
    </row>
    <row r="963" spans="1:4" ht="12.75" customHeight="1">
      <c r="A963" s="52"/>
      <c r="B963" s="52"/>
      <c r="C963" s="52"/>
      <c r="D963" s="52"/>
    </row>
    <row r="964" spans="1:4" ht="12.75" customHeight="1">
      <c r="A964" s="52"/>
      <c r="B964" s="52"/>
      <c r="C964" s="52"/>
      <c r="D964" s="52"/>
    </row>
    <row r="965" spans="1:4" ht="12.75" customHeight="1">
      <c r="A965" s="52"/>
      <c r="B965" s="52"/>
      <c r="C965" s="52"/>
      <c r="D965" s="52"/>
    </row>
    <row r="966" spans="1:4" ht="12.75" customHeight="1">
      <c r="A966" s="52"/>
      <c r="B966" s="52"/>
      <c r="C966" s="52"/>
      <c r="D966" s="52"/>
    </row>
    <row r="967" spans="1:4" ht="12.75" customHeight="1">
      <c r="A967" s="52"/>
      <c r="B967" s="52"/>
      <c r="C967" s="52"/>
      <c r="D967" s="52"/>
    </row>
    <row r="968" spans="1:4" ht="12.75" customHeight="1">
      <c r="A968" s="52"/>
      <c r="B968" s="52"/>
      <c r="C968" s="52"/>
      <c r="D968" s="52"/>
    </row>
    <row r="969" spans="1:4" ht="12.75" customHeight="1">
      <c r="A969" s="52"/>
      <c r="B969" s="52"/>
      <c r="C969" s="52"/>
      <c r="D969" s="52"/>
    </row>
    <row r="970" spans="1:4" ht="12.75" customHeight="1">
      <c r="A970" s="52"/>
      <c r="B970" s="52"/>
      <c r="C970" s="52"/>
      <c r="D970" s="52"/>
    </row>
    <row r="971" spans="1:4" ht="12.75" customHeight="1">
      <c r="A971" s="52"/>
      <c r="B971" s="52"/>
      <c r="C971" s="52"/>
      <c r="D971" s="52"/>
    </row>
    <row r="972" spans="1:4" ht="12.75" customHeight="1">
      <c r="A972" s="52"/>
      <c r="B972" s="52"/>
      <c r="C972" s="52"/>
      <c r="D972" s="52"/>
    </row>
    <row r="973" spans="1:4" ht="12.75" customHeight="1">
      <c r="A973" s="52"/>
      <c r="B973" s="52"/>
      <c r="C973" s="52"/>
      <c r="D973" s="52"/>
    </row>
    <row r="974" spans="1:4" ht="12.75" customHeight="1">
      <c r="A974" s="52"/>
      <c r="B974" s="52"/>
      <c r="C974" s="52"/>
      <c r="D974" s="52"/>
    </row>
    <row r="975" spans="1:4" ht="12.75" customHeight="1">
      <c r="A975" s="52"/>
      <c r="B975" s="52"/>
      <c r="C975" s="52"/>
      <c r="D975" s="52"/>
    </row>
    <row r="976" spans="1:4" ht="12.75" customHeight="1">
      <c r="A976" s="52"/>
      <c r="B976" s="52"/>
      <c r="C976" s="52"/>
      <c r="D976" s="52"/>
    </row>
    <row r="977" spans="1:4" ht="12.75" customHeight="1">
      <c r="A977" s="52"/>
      <c r="B977" s="52"/>
      <c r="C977" s="52"/>
      <c r="D977" s="52"/>
    </row>
    <row r="978" spans="1:4" ht="12.75" customHeight="1">
      <c r="A978" s="52"/>
      <c r="B978" s="52"/>
      <c r="C978" s="52"/>
      <c r="D978" s="52"/>
    </row>
    <row r="979" spans="1:4" ht="12.75" customHeight="1">
      <c r="A979" s="52"/>
      <c r="B979" s="52"/>
      <c r="C979" s="52"/>
      <c r="D979" s="52"/>
    </row>
    <row r="980" spans="1:4" ht="12.75" customHeight="1">
      <c r="A980" s="52"/>
      <c r="B980" s="52"/>
      <c r="C980" s="52"/>
      <c r="D980" s="52"/>
    </row>
    <row r="981" spans="1:4" ht="12.75" customHeight="1">
      <c r="A981" s="52"/>
      <c r="B981" s="52"/>
      <c r="C981" s="52"/>
      <c r="D981" s="52"/>
    </row>
    <row r="982" spans="1:4" ht="12.75" customHeight="1">
      <c r="A982" s="52"/>
      <c r="B982" s="52"/>
      <c r="C982" s="52"/>
      <c r="D982" s="52"/>
    </row>
    <row r="983" spans="1:4" ht="12.75" customHeight="1">
      <c r="A983" s="52"/>
      <c r="B983" s="52"/>
      <c r="C983" s="52"/>
      <c r="D983" s="52"/>
    </row>
    <row r="984" spans="1:4" ht="12.75" customHeight="1">
      <c r="A984" s="52"/>
      <c r="B984" s="52"/>
      <c r="C984" s="52"/>
      <c r="D984" s="52"/>
    </row>
    <row r="985" spans="1:4" ht="12.75" customHeight="1">
      <c r="A985" s="52"/>
      <c r="B985" s="52"/>
      <c r="C985" s="52"/>
      <c r="D985" s="52"/>
    </row>
    <row r="986" spans="1:4" ht="12.75" customHeight="1">
      <c r="A986" s="52"/>
      <c r="B986" s="52"/>
      <c r="C986" s="52"/>
      <c r="D986" s="52"/>
    </row>
    <row r="987" spans="1:4" ht="12.75" customHeight="1">
      <c r="A987" s="52"/>
      <c r="B987" s="52"/>
      <c r="C987" s="52"/>
      <c r="D987" s="52"/>
    </row>
    <row r="988" spans="1:4" ht="12.75" customHeight="1">
      <c r="A988" s="52"/>
      <c r="B988" s="52"/>
      <c r="C988" s="52"/>
      <c r="D988" s="52"/>
    </row>
    <row r="989" spans="1:4" ht="12.75" customHeight="1">
      <c r="A989" s="52"/>
      <c r="B989" s="52"/>
      <c r="C989" s="52"/>
      <c r="D989" s="52"/>
    </row>
    <row r="990" spans="1:4" ht="12.75" customHeight="1">
      <c r="A990" s="52"/>
      <c r="B990" s="52"/>
      <c r="C990" s="52"/>
      <c r="D990" s="52"/>
    </row>
    <row r="991" spans="1:4" ht="12.75" customHeight="1">
      <c r="A991" s="52"/>
      <c r="B991" s="52"/>
      <c r="C991" s="52"/>
      <c r="D991" s="52"/>
    </row>
    <row r="992" spans="1:4" ht="12.75" customHeight="1">
      <c r="A992" s="52"/>
      <c r="B992" s="52"/>
      <c r="C992" s="52"/>
      <c r="D992" s="52"/>
    </row>
    <row r="993" spans="1:4" ht="12.75" customHeight="1">
      <c r="A993" s="52"/>
      <c r="B993" s="52"/>
      <c r="C993" s="52"/>
      <c r="D993" s="52"/>
    </row>
    <row r="994" spans="1:4" ht="12.75" customHeight="1">
      <c r="A994" s="52"/>
      <c r="B994" s="52"/>
      <c r="C994" s="52"/>
      <c r="D994" s="52"/>
    </row>
    <row r="995" spans="1:4" ht="12.75" customHeight="1">
      <c r="A995" s="52"/>
      <c r="B995" s="52"/>
      <c r="C995" s="52"/>
      <c r="D995" s="52"/>
    </row>
    <row r="996" spans="1:4" ht="12.75" customHeight="1">
      <c r="A996" s="52"/>
      <c r="B996" s="52"/>
      <c r="C996" s="52"/>
      <c r="D996" s="52"/>
    </row>
    <row r="997" spans="1:4" ht="12.75" customHeight="1">
      <c r="A997" s="52"/>
      <c r="B997" s="52"/>
      <c r="C997" s="52"/>
      <c r="D997" s="52"/>
    </row>
    <row r="998" spans="1:4" ht="12.75" customHeight="1">
      <c r="A998" s="52"/>
      <c r="B998" s="52"/>
      <c r="C998" s="52"/>
      <c r="D998" s="52"/>
    </row>
    <row r="999" spans="1:4" ht="12.75" customHeight="1">
      <c r="A999" s="52"/>
      <c r="B999" s="52"/>
      <c r="C999" s="52"/>
      <c r="D999" s="52"/>
    </row>
    <row r="1000" spans="1:4" ht="12.75" customHeight="1">
      <c r="A1000" s="52"/>
      <c r="B1000" s="52"/>
      <c r="C1000" s="52"/>
      <c r="D1000" s="52"/>
    </row>
    <row r="1001" spans="1:4" ht="12.75" customHeight="1">
      <c r="A1001" s="52"/>
      <c r="B1001" s="52"/>
      <c r="C1001" s="52"/>
      <c r="D1001" s="52"/>
    </row>
  </sheetData>
  <mergeCells count="1">
    <mergeCell ref="A8:C8"/>
  </mergeCells>
  <phoneticPr fontId="1" type="noConversion"/>
  <pageMargins left="0.45" right="0.2" top="0.75" bottom="0.75" header="0" footer="0"/>
  <pageSetup scale="95" orientation="portrait" r:id="rId1"/>
  <headerFooter>
    <oddFooter xml:space="preserve">&amp;R
</oddFooter>
  </headerFooter>
  <drawing r:id="rId2"/>
</worksheet>
</file>

<file path=docMetadata/LabelInfo.xml><?xml version="1.0" encoding="utf-8"?>
<clbl:labelList xmlns:clbl="http://schemas.microsoft.com/office/2020/mipLabelMetadata">
  <clbl:label id="{01622868-7846-4ff6-8e31-fdc8937a8c01}" enabled="0" method="" siteId="{01622868-7846-4ff6-8e31-fdc8937a8c01}" removed="1"/>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Document Title </vt:lpstr>
      <vt:lpstr>Notice</vt:lpstr>
      <vt:lpstr>Guideline</vt:lpstr>
      <vt:lpstr>Questionnaire</vt:lpstr>
      <vt:lpstr>Scoring</vt:lpstr>
      <vt:lpstr>E2E Automation Ratio Checklist</vt:lpstr>
      <vt:lpstr>Administrative Appendix</vt:lpstr>
      <vt:lpstr>Acknowledgements</vt:lpstr>
      <vt:lpstr>Acknowledgements!Print_Area</vt:lpstr>
      <vt:lpstr>'Administrative Appendix'!Print_Area</vt:lpstr>
      <vt:lpstr>'Document Title '!Print_Area</vt:lpstr>
      <vt:lpstr>Notice!Print_Area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전승빈 유선AX솔루션팀</dc:creator>
  <cp:keywords/>
  <dc:description/>
  <cp:lastModifiedBy>Adrienne Walcott</cp:lastModifiedBy>
  <cp:revision/>
  <cp:lastPrinted>2026-08-08T00:56:50Z</cp:lastPrinted>
  <dcterms:created xsi:type="dcterms:W3CDTF">2026-05-21T07:16:30Z</dcterms:created>
  <dcterms:modified xsi:type="dcterms:W3CDTF">2026-09-28T20:13:34Z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69f62a-31cf-4fe5-9dd4-3a40f493dc7a_SiteId">
    <vt:lpwstr>01622868-7846-4ff6-8e31-fdc8937a8c01</vt:lpwstr>
  </property>
  <property fmtid="{D5CDD505-2E9C-101B-9397-08002B2CF9AE}" pid="3" name="MSIP_Label_9969f62a-31cf-4fe5-9dd4-3a40f493dc7a_SetDate">
    <vt:lpwstr>2026-07-20T05:18:59Z</vt:lpwstr>
  </property>
  <property fmtid="{D5CDD505-2E9C-101B-9397-08002B2CF9AE}" pid="4" name="MSIP_Label_9969f62a-31cf-4fe5-9dd4-3a40f493dc7a_Name">
    <vt:lpwstr>사내한(협력)</vt:lpwstr>
  </property>
  <property fmtid="{D5CDD505-2E9C-101B-9397-08002B2CF9AE}" pid="5" name="MSIP_Label_9969f62a-31cf-4fe5-9dd4-3a40f493dc7a_Method">
    <vt:lpwstr>Privileged</vt:lpwstr>
  </property>
  <property fmtid="{D5CDD505-2E9C-101B-9397-08002B2CF9AE}" pid="6" name="MSIP_Label_9969f62a-31cf-4fe5-9dd4-3a40f493dc7a_Enabled">
    <vt:lpwstr>true</vt:lpwstr>
  </property>
  <property fmtid="{D5CDD505-2E9C-101B-9397-08002B2CF9AE}" pid="7" name="MSIP_Label_9969f62a-31cf-4fe5-9dd4-3a40f493dc7a_ContentBits">
    <vt:lpwstr>8</vt:lpwstr>
  </property>
</Properties>
</file>