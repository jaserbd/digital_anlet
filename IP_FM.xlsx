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62" documentId="8_{309452C5-B577-401B-A073-E89E06EE7657}" xr6:coauthVersionLast="47" xr6:coauthVersionMax="47" xr10:uidLastSave="{6C4FD055-CE33-43E4-86B5-66E66DBD0A76}"/>
  <bookViews>
    <workbookView xWindow="57480" yWindow="-120" windowWidth="29040" windowHeight="15720" firstSheet="2" activeTab="6" xr2:uid="{00000000-000D-0000-FFFF-FFFF00000000}"/>
  </bookViews>
  <sheets>
    <sheet name="Document Title " sheetId="13" r:id="rId1"/>
    <sheet name="Notice" sheetId="12" r:id="rId2"/>
    <sheet name="Introduction" sheetId="2" r:id="rId3"/>
    <sheet name="IP Network - Fault Management" sheetId="1" r:id="rId4"/>
    <sheet name="Scoring" sheetId="3" r:id="rId5"/>
    <sheet name="E2E Automation Ratio Checklist" sheetId="8" r:id="rId6"/>
    <sheet name="Administrative Appendix" sheetId="11" r:id="rId7"/>
    <sheet name="Acknowledgements" sheetId="7" r:id="rId8"/>
  </sheets>
  <definedNames>
    <definedName name="_Hlk182563918" localSheetId="7">Acknowledgements!$A$45</definedName>
    <definedName name="_xlnm.Print_Area" localSheetId="0">'Document Title '!$A$1:$B$33</definedName>
    <definedName name="_xlnm.Print_Area" localSheetId="1">Notice!$A$1:$A$38</definedName>
    <definedName name="_xlnm.Print_Titles" localSheetId="1">Notice!$1:$11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3" l="1"/>
  <c r="J21" i="3" s="1"/>
  <c r="I20" i="3"/>
  <c r="J20" i="3" s="1"/>
  <c r="I19" i="3"/>
  <c r="J19" i="3" s="1"/>
  <c r="K19" i="3" l="1"/>
  <c r="D30" i="3" s="1"/>
  <c r="D9" i="8"/>
  <c r="E9" i="8"/>
  <c r="F9" i="8"/>
  <c r="G9" i="8"/>
  <c r="H9" i="8"/>
  <c r="I9" i="8"/>
  <c r="J9" i="8"/>
  <c r="C9" i="8"/>
  <c r="B10" i="8"/>
  <c r="B9" i="8"/>
  <c r="B8" i="8"/>
  <c r="B7" i="8"/>
  <c r="B6" i="8"/>
  <c r="B5" i="8"/>
  <c r="B4" i="8"/>
  <c r="Q10" i="3"/>
  <c r="AM10" i="3" s="1"/>
  <c r="AN10" i="3" s="1"/>
  <c r="P10" i="3"/>
  <c r="AJ10" i="3" s="1"/>
  <c r="AK10" i="3" s="1"/>
  <c r="O10" i="3"/>
  <c r="AG10" i="3" s="1"/>
  <c r="AH10" i="3" s="1"/>
  <c r="N10" i="3"/>
  <c r="AD10" i="3" s="1"/>
  <c r="AE10" i="3" s="1"/>
  <c r="M10" i="3"/>
  <c r="AA10" i="3" s="1"/>
  <c r="AB10" i="3" s="1"/>
  <c r="L10" i="3"/>
  <c r="X10" i="3" s="1"/>
  <c r="Y10" i="3" s="1"/>
  <c r="K10" i="3"/>
  <c r="U10" i="3" s="1"/>
  <c r="V10" i="3" s="1"/>
  <c r="J10" i="3"/>
  <c r="R10" i="3" s="1"/>
  <c r="S10" i="3" s="1"/>
  <c r="D12" i="3"/>
  <c r="C12" i="3"/>
  <c r="D9" i="3"/>
  <c r="D11" i="3"/>
  <c r="C11" i="3"/>
  <c r="D10" i="3"/>
  <c r="C10" i="3"/>
  <c r="C9" i="3"/>
  <c r="D8" i="3"/>
  <c r="C8" i="3"/>
  <c r="D7" i="3"/>
  <c r="C7" i="3"/>
  <c r="D6" i="3"/>
  <c r="D5" i="3"/>
  <c r="C6" i="3"/>
  <c r="C5" i="3"/>
  <c r="C10" i="8"/>
  <c r="AM3" i="3" l="1"/>
  <c r="AJ3" i="3"/>
  <c r="AG3" i="3"/>
  <c r="AD3" i="3"/>
  <c r="AA3" i="3"/>
  <c r="X3" i="3"/>
  <c r="U3" i="3"/>
  <c r="R3" i="3"/>
  <c r="Q12" i="3"/>
  <c r="AM12" i="3" s="1"/>
  <c r="Q11" i="3"/>
  <c r="AM11" i="3" s="1"/>
  <c r="Q9" i="3"/>
  <c r="AM9" i="3" s="1"/>
  <c r="AN9" i="3" s="1"/>
  <c r="Q8" i="3"/>
  <c r="AM8" i="3" s="1"/>
  <c r="AN8" i="3" s="1"/>
  <c r="Q7" i="3"/>
  <c r="AM7" i="3" s="1"/>
  <c r="Q6" i="3"/>
  <c r="AM6" i="3" s="1"/>
  <c r="Q5" i="3"/>
  <c r="AM5" i="3" s="1"/>
  <c r="AN5" i="3" s="1"/>
  <c r="P12" i="3"/>
  <c r="AJ12" i="3" s="1"/>
  <c r="P11" i="3"/>
  <c r="AJ11" i="3" s="1"/>
  <c r="P9" i="3"/>
  <c r="AJ9" i="3" s="1"/>
  <c r="AK9" i="3" s="1"/>
  <c r="P8" i="3"/>
  <c r="AJ8" i="3" s="1"/>
  <c r="AK8" i="3" s="1"/>
  <c r="P7" i="3"/>
  <c r="AJ7" i="3" s="1"/>
  <c r="P6" i="3"/>
  <c r="AJ6" i="3" s="1"/>
  <c r="P5" i="3"/>
  <c r="AJ5" i="3" s="1"/>
  <c r="O12" i="3"/>
  <c r="AG12" i="3" s="1"/>
  <c r="O11" i="3"/>
  <c r="AG11" i="3" s="1"/>
  <c r="O9" i="3"/>
  <c r="AG9" i="3" s="1"/>
  <c r="AH9" i="3" s="1"/>
  <c r="O8" i="3"/>
  <c r="AG8" i="3" s="1"/>
  <c r="AH8" i="3" s="1"/>
  <c r="O7" i="3"/>
  <c r="AG7" i="3" s="1"/>
  <c r="AH7" i="3" s="1"/>
  <c r="O6" i="3"/>
  <c r="AG6" i="3" s="1"/>
  <c r="O5" i="3"/>
  <c r="AG5" i="3" s="1"/>
  <c r="N12" i="3"/>
  <c r="N11" i="3"/>
  <c r="N9" i="3"/>
  <c r="N8" i="3"/>
  <c r="N7" i="3"/>
  <c r="N6" i="3"/>
  <c r="N5" i="3"/>
  <c r="M12" i="3"/>
  <c r="M11" i="3"/>
  <c r="M9" i="3"/>
  <c r="M8" i="3"/>
  <c r="M7" i="3"/>
  <c r="M6" i="3"/>
  <c r="M5" i="3"/>
  <c r="Q4" i="3"/>
  <c r="AM2" i="3" s="1"/>
  <c r="P4" i="3"/>
  <c r="AJ2" i="3" s="1"/>
  <c r="O4" i="3"/>
  <c r="AG2" i="3" s="1"/>
  <c r="K12" i="3"/>
  <c r="K11" i="3"/>
  <c r="K9" i="3"/>
  <c r="K8" i="3"/>
  <c r="K7" i="3"/>
  <c r="K6" i="3"/>
  <c r="K5" i="3"/>
  <c r="U5" i="3" s="1"/>
  <c r="J6" i="3"/>
  <c r="R6" i="3" s="1"/>
  <c r="J7" i="3"/>
  <c r="J8" i="3"/>
  <c r="J9" i="3"/>
  <c r="J11" i="3"/>
  <c r="J12" i="3"/>
  <c r="J5" i="3"/>
  <c r="R5" i="3" s="1"/>
  <c r="AN11" i="3" l="1"/>
  <c r="AN12" i="3"/>
  <c r="AN6" i="3"/>
  <c r="AH11" i="3"/>
  <c r="AH6" i="3"/>
  <c r="AH12" i="3"/>
  <c r="AK11" i="3"/>
  <c r="AK12" i="3"/>
  <c r="AK6" i="3"/>
  <c r="AK7" i="3"/>
  <c r="AN7" i="3"/>
  <c r="AK5" i="3"/>
  <c r="AH5" i="3"/>
  <c r="AO5" i="3" l="1"/>
  <c r="AL5" i="3"/>
  <c r="AI5" i="3"/>
  <c r="L4" i="3" l="1"/>
  <c r="X2" i="3" s="1"/>
  <c r="K4" i="3"/>
  <c r="U2" i="3" s="1"/>
  <c r="M4" i="3"/>
  <c r="AA2" i="3" s="1"/>
  <c r="N4" i="3"/>
  <c r="AD2" i="3" s="1"/>
  <c r="J4" i="3"/>
  <c r="R2" i="3" s="1"/>
  <c r="C3" i="8"/>
  <c r="C6" i="8"/>
  <c r="D6" i="8"/>
  <c r="E6" i="8"/>
  <c r="F6" i="8"/>
  <c r="G6" i="8"/>
  <c r="H6" i="8"/>
  <c r="I6" i="8"/>
  <c r="J6" i="8"/>
  <c r="C7" i="8"/>
  <c r="D7" i="8"/>
  <c r="E7" i="8"/>
  <c r="F7" i="8"/>
  <c r="G7" i="8"/>
  <c r="H7" i="8"/>
  <c r="I7" i="8"/>
  <c r="J7" i="8"/>
  <c r="C8" i="8"/>
  <c r="D8" i="8"/>
  <c r="E8" i="8"/>
  <c r="F8" i="8"/>
  <c r="G8" i="8"/>
  <c r="H8" i="8"/>
  <c r="I8" i="8"/>
  <c r="J8" i="8"/>
  <c r="D10" i="8"/>
  <c r="E10" i="8"/>
  <c r="F10" i="8"/>
  <c r="G10" i="8"/>
  <c r="H10" i="8"/>
  <c r="I10" i="8"/>
  <c r="J10" i="8"/>
  <c r="C11" i="8"/>
  <c r="D11" i="8"/>
  <c r="E11" i="8"/>
  <c r="F11" i="8"/>
  <c r="G11" i="8"/>
  <c r="H11" i="8"/>
  <c r="I11" i="8"/>
  <c r="J11" i="8"/>
  <c r="D5" i="8"/>
  <c r="E5" i="8"/>
  <c r="F5" i="8"/>
  <c r="G5" i="8"/>
  <c r="H5" i="8"/>
  <c r="I5" i="8"/>
  <c r="J5" i="8"/>
  <c r="D4" i="8"/>
  <c r="E4" i="8"/>
  <c r="F4" i="8"/>
  <c r="G4" i="8"/>
  <c r="H4" i="8"/>
  <c r="I4" i="8"/>
  <c r="J4" i="8"/>
  <c r="C5" i="8"/>
  <c r="C4" i="8"/>
  <c r="D3" i="8"/>
  <c r="E3" i="8"/>
  <c r="F3" i="8"/>
  <c r="G3" i="8"/>
  <c r="H3" i="8"/>
  <c r="I3" i="8"/>
  <c r="J3" i="8"/>
  <c r="F2" i="8"/>
  <c r="G2" i="8"/>
  <c r="H2" i="8"/>
  <c r="I2" i="8"/>
  <c r="J2" i="8"/>
  <c r="E2" i="8"/>
  <c r="D2" i="8"/>
  <c r="C2" i="8"/>
  <c r="C12" i="8" l="1"/>
  <c r="H12" i="8"/>
  <c r="G12" i="8"/>
  <c r="F12" i="8"/>
  <c r="I12" i="8"/>
  <c r="J12" i="8"/>
  <c r="D12" i="8"/>
  <c r="E12" i="8"/>
  <c r="AD12" i="3"/>
  <c r="AD11" i="3"/>
  <c r="AD9" i="3"/>
  <c r="AD8" i="3"/>
  <c r="AD7" i="3"/>
  <c r="AD6" i="3"/>
  <c r="AD5" i="3"/>
  <c r="AA12" i="3"/>
  <c r="AA11" i="3"/>
  <c r="AA9" i="3"/>
  <c r="AA8" i="3"/>
  <c r="AA7" i="3"/>
  <c r="AA6" i="3"/>
  <c r="AA5" i="3"/>
  <c r="L12" i="3"/>
  <c r="X12" i="3" s="1"/>
  <c r="L11" i="3"/>
  <c r="X11" i="3" s="1"/>
  <c r="L9" i="3"/>
  <c r="X9" i="3" s="1"/>
  <c r="L8" i="3"/>
  <c r="X8" i="3" s="1"/>
  <c r="L7" i="3"/>
  <c r="X7" i="3" s="1"/>
  <c r="L6" i="3"/>
  <c r="X6" i="3" s="1"/>
  <c r="L5" i="3"/>
  <c r="X5" i="3" s="1"/>
  <c r="U12" i="3"/>
  <c r="U11" i="3"/>
  <c r="U9" i="3"/>
  <c r="U8" i="3"/>
  <c r="U7" i="3"/>
  <c r="U6" i="3"/>
  <c r="AB12" i="3" l="1"/>
  <c r="V12" i="3"/>
  <c r="Y12" i="3"/>
  <c r="V6" i="3"/>
  <c r="Y6" i="3"/>
  <c r="AE6" i="3"/>
  <c r="AE12" i="3"/>
  <c r="AB6" i="3"/>
  <c r="J13" i="8"/>
  <c r="V11" i="3"/>
  <c r="AB11" i="3" s="1"/>
  <c r="V9" i="3"/>
  <c r="AB9" i="3" s="1"/>
  <c r="V7" i="3"/>
  <c r="AB7" i="3" s="1"/>
  <c r="V8" i="3"/>
  <c r="AB8" i="3" s="1"/>
  <c r="V5" i="3"/>
  <c r="W5" i="3" l="1"/>
  <c r="AB5" i="3"/>
  <c r="AC5" i="3" l="1"/>
  <c r="S5" i="3" l="1"/>
  <c r="Y5" i="3" l="1"/>
  <c r="R7" i="3"/>
  <c r="R8" i="3"/>
  <c r="S8" i="3" s="1"/>
  <c r="Y8" i="3" s="1"/>
  <c r="AE8" i="3" s="1"/>
  <c r="R9" i="3"/>
  <c r="S9" i="3" s="1"/>
  <c r="Y9" i="3" s="1"/>
  <c r="AE9" i="3" s="1"/>
  <c r="R11" i="3"/>
  <c r="R12" i="3"/>
  <c r="S12" i="3" l="1"/>
  <c r="S11" i="3"/>
  <c r="Y11" i="3" s="1"/>
  <c r="AE11" i="3" s="1"/>
  <c r="S6" i="3"/>
  <c r="S7" i="3"/>
  <c r="Y7" i="3" s="1"/>
  <c r="AE7" i="3" s="1"/>
  <c r="AE5" i="3"/>
  <c r="T5" i="3" l="1"/>
  <c r="Z5" i="3"/>
  <c r="AF5" i="3" l="1"/>
  <c r="AP5" i="3" s="1"/>
  <c r="D25" i="3" s="1"/>
</calcChain>
</file>

<file path=xl/sharedStrings.xml><?xml version="1.0" encoding="utf-8"?>
<sst xmlns="http://schemas.openxmlformats.org/spreadsheetml/2006/main" count="513" uniqueCount="319">
  <si>
    <t>TM Forum Best Practice</t>
  </si>
  <si>
    <t>IP Network Fault Management Questionnaire</t>
  </si>
  <si>
    <t>Notice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</si>
  <si>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</si>
  <si>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</si>
  <si>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</si>
  <si>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Tel No.  +1 862 227 1648</t>
  </si>
  <si>
    <t>TM Forum Web Page: www.tmforum.org</t>
  </si>
  <si>
    <t>Introduction</t>
  </si>
  <si>
    <t>Change History</t>
  </si>
  <si>
    <t>Date</t>
  </si>
  <si>
    <t>Subject(s)</t>
  </si>
  <si>
    <t>Version</t>
  </si>
  <si>
    <t>Initial version: IP Network Fault Management Questionnaire</t>
  </si>
  <si>
    <t>0.9.1</t>
  </si>
  <si>
    <t>Add introduction, scoring, acknowledgements page.</t>
  </si>
  <si>
    <t>0.9.2</t>
  </si>
  <si>
    <t>clean version</t>
  </si>
  <si>
    <t>1.0.0</t>
  </si>
  <si>
    <t>Cognitive Activities (IAADE)</t>
  </si>
  <si>
    <t>Service capability</t>
  </si>
  <si>
    <t>Weight</t>
  </si>
  <si>
    <t>Question</t>
  </si>
  <si>
    <t>Option A</t>
  </si>
  <si>
    <t>Option B</t>
  </si>
  <si>
    <t>Option C</t>
  </si>
  <si>
    <t>Option D</t>
  </si>
  <si>
    <t>Consistency of standards
Yes/No</t>
  </si>
  <si>
    <t>Standard source
(The 3GPP/ETSI standard is detailed to chapters/paragraphs.)</t>
  </si>
  <si>
    <t>Answer</t>
  </si>
  <si>
    <t>Understanding of options</t>
  </si>
  <si>
    <t>IP Network - Fault Management</t>
  </si>
  <si>
    <t>Intent</t>
  </si>
  <si>
    <t>Yes</t>
  </si>
  <si>
    <t>ETSI GR ENI 035
5.3.2 Monitoring and Troubleshooting
-Task: Intent management</t>
  </si>
  <si>
    <t>Awareness</t>
  </si>
  <si>
    <t>Decision</t>
  </si>
  <si>
    <t>Execution</t>
  </si>
  <si>
    <t>Method 1: Average (Official use)</t>
  </si>
  <si>
    <t>Criteria</t>
  </si>
  <si>
    <t>Compensated score</t>
  </si>
  <si>
    <t>Overall
Score</t>
  </si>
  <si>
    <t>D</t>
  </si>
  <si>
    <t>C</t>
  </si>
  <si>
    <t>Member</t>
  </si>
  <si>
    <t>Company</t>
  </si>
  <si>
    <t>Role*</t>
  </si>
  <si>
    <t>Huawei</t>
  </si>
  <si>
    <t>Project Chair</t>
  </si>
  <si>
    <t>Telefónica</t>
  </si>
  <si>
    <t>Project Co-Chair</t>
  </si>
  <si>
    <t>CAICT</t>
  </si>
  <si>
    <t>Author</t>
  </si>
  <si>
    <t>China Telecom</t>
  </si>
  <si>
    <t>Key Contributor</t>
  </si>
  <si>
    <t>SelfX Now Technologies</t>
  </si>
  <si>
    <t>Ericsson</t>
  </si>
  <si>
    <t>Boonchoung Tansuthepverawongse</t>
  </si>
  <si>
    <t>AIS</t>
  </si>
  <si>
    <t>Elisa</t>
  </si>
  <si>
    <t>Antel</t>
  </si>
  <si>
    <t>Detecon</t>
  </si>
  <si>
    <t>Globe Telecom</t>
  </si>
  <si>
    <t>IOH Indonesia</t>
  </si>
  <si>
    <t>Daniel Smith</t>
  </si>
  <si>
    <t>Orange Group</t>
  </si>
  <si>
    <t>Juan Luis Mulas</t>
  </si>
  <si>
    <t>Hussain Harboosh</t>
  </si>
  <si>
    <t>STC</t>
  </si>
  <si>
    <t>Juan Pablo Monarca</t>
  </si>
  <si>
    <t>Telecom Argentina</t>
  </si>
  <si>
    <t>Nicolas Tellechea</t>
  </si>
  <si>
    <t>Telkomsel</t>
  </si>
  <si>
    <t xml:space="preserve">                          Sub Scenarios
Service Capability</t>
    <phoneticPr fontId="15" type="noConversion"/>
  </si>
  <si>
    <r>
      <t xml:space="preserve">Fault distribution
</t>
    </r>
    <r>
      <rPr>
        <b/>
        <sz val="9"/>
        <color rgb="FFFF0000"/>
        <rFont val="Arial"/>
        <family val="2"/>
      </rPr>
      <t>(Total&gt;=90%)</t>
    </r>
    <phoneticPr fontId="18" type="noConversion"/>
  </si>
  <si>
    <t>Awareness</t>
    <phoneticPr fontId="15" type="noConversion"/>
  </si>
  <si>
    <t>Analysis</t>
    <phoneticPr fontId="15" type="noConversion"/>
  </si>
  <si>
    <t>Decision</t>
    <phoneticPr fontId="15" type="noConversion"/>
  </si>
  <si>
    <t>Execution</t>
    <phoneticPr fontId="15" type="noConversion"/>
  </si>
  <si>
    <t>whether end-to-end automation is achieved</t>
    <phoneticPr fontId="18" type="noConversion"/>
  </si>
  <si>
    <t>End-to-End Automation Rate=Sum of the Proportions of End-to-End Automated Sub-scenarios in the Live Network</t>
    <phoneticPr fontId="18" type="noConversion"/>
  </si>
  <si>
    <t>P: People</t>
    <phoneticPr fontId="15" type="noConversion"/>
  </si>
  <si>
    <t>S: System</t>
    <phoneticPr fontId="15" type="noConversion"/>
  </si>
  <si>
    <t>NA: Not Applicable</t>
    <phoneticPr fontId="15" type="noConversion"/>
  </si>
  <si>
    <t>*1: According to the AN Level Definition, at the AN L4 Stage, End-to-End Automation is Achieved for Selected Scenarios in Awareness, Analysis, Decision-Making, and Execution.</t>
    <phoneticPr fontId="15" type="noConversion"/>
  </si>
  <si>
    <t>*2: For solution implementation capability:</t>
    <phoneticPr fontId="15" type="noConversion"/>
  </si>
  <si>
    <t xml:space="preserve">    S: Automated Handling by system</t>
    <phoneticPr fontId="15" type="noConversion"/>
  </si>
  <si>
    <r>
      <t xml:space="preserve">        1. Automated remote implementation</t>
    </r>
    <r>
      <rPr>
        <sz val="9"/>
        <color rgb="FF404040"/>
        <rFont val="Arial"/>
        <family val="2"/>
      </rPr>
      <t>: Solutions can be automated implemented remotely through automated systems.</t>
    </r>
    <phoneticPr fontId="15" type="noConversion"/>
  </si>
  <si>
    <r>
      <t xml:space="preserve">        2. On-site implementation with precision</t>
    </r>
    <r>
      <rPr>
        <sz val="9"/>
        <color rgb="FF404040"/>
        <rFont val="Arial"/>
        <family val="2"/>
      </rPr>
      <t>: For cases requiring on-site intervention, the work order includes</t>
    </r>
    <r>
      <rPr>
        <b/>
        <sz val="9"/>
        <color rgb="FF404040"/>
        <rFont val="Arial"/>
        <family val="2"/>
      </rPr>
      <t xml:space="preserve"> accurate(&gt;90% )</t>
    </r>
    <r>
      <rPr>
        <sz val="9"/>
        <color rgb="FF404040"/>
        <rFont val="Arial"/>
        <family val="2"/>
      </rPr>
      <t xml:space="preserve"> root cause analysis, solution recommendations, or step-by-step operational guidance to ensure successful implementation in a </t>
    </r>
    <r>
      <rPr>
        <b/>
        <sz val="9"/>
        <color rgb="FF404040"/>
        <rFont val="Arial"/>
        <family val="2"/>
      </rPr>
      <t>single visit</t>
    </r>
    <r>
      <rPr>
        <sz val="9"/>
        <color rgb="FF404040"/>
        <rFont val="Arial"/>
        <family val="2"/>
      </rPr>
      <t>.</t>
    </r>
    <phoneticPr fontId="15" type="noConversion"/>
  </si>
  <si>
    <r>
      <t xml:space="preserve">        3. High-risk network operations review</t>
    </r>
    <r>
      <rPr>
        <sz val="9"/>
        <color rgb="FF404040"/>
        <rFont val="Arial"/>
        <family val="2"/>
      </rPr>
      <t>: High-risk implementation instructions require manual review before execution.</t>
    </r>
    <phoneticPr fontId="15" type="noConversion"/>
  </si>
  <si>
    <t xml:space="preserve">    P: Manual Handling by O&amp;M Personnel</t>
    <phoneticPr fontId="15" type="noConversion"/>
  </si>
  <si>
    <r>
      <t xml:space="preserve">        1. Manual remote implementation</t>
    </r>
    <r>
      <rPr>
        <sz val="9"/>
        <color rgb="FF404040"/>
        <rFont val="Arial"/>
        <family val="2"/>
      </rPr>
      <t>: Can be handled remotely, but not through automated systems; it requires manual intervention (not automated)</t>
    </r>
    <phoneticPr fontId="15" type="noConversion"/>
  </si>
  <si>
    <r>
      <t xml:space="preserve">        2. On-site implementation without precision</t>
    </r>
    <r>
      <rPr>
        <sz val="9"/>
        <color rgb="FF404040"/>
        <rFont val="Arial"/>
        <family val="2"/>
      </rPr>
      <t>: For cases requiring on-site intervention, the work order lacks accurate root cause analysis, solution recommendations, or requires multiple visits to complete the implementation.</t>
    </r>
    <phoneticPr fontId="15" type="noConversion"/>
  </si>
  <si>
    <r>
      <t>Intent</t>
    </r>
    <r>
      <rPr>
        <b/>
        <vertAlign val="superscript"/>
        <sz val="12"/>
        <color rgb="FFFF0000"/>
        <rFont val="Arial"/>
        <family val="2"/>
      </rPr>
      <t>*1</t>
    </r>
    <phoneticPr fontId="15" type="noConversion"/>
  </si>
  <si>
    <t>Answer</t>
    <phoneticPr fontId="15" type="noConversion"/>
  </si>
  <si>
    <t>Original 
score</t>
    <phoneticPr fontId="15" type="noConversion"/>
  </si>
  <si>
    <t>Equipment</t>
    <phoneticPr fontId="15" type="noConversion"/>
  </si>
  <si>
    <t xml:space="preserve"> Communication</t>
    <phoneticPr fontId="15" type="noConversion"/>
  </si>
  <si>
    <t>Quality of service</t>
    <phoneticPr fontId="15" type="noConversion"/>
  </si>
  <si>
    <r>
      <t xml:space="preserve">4. The overall scoring method:   </t>
    </r>
    <r>
      <rPr>
        <sz val="11"/>
        <color rgb="FF000000"/>
        <rFont val="等线"/>
        <family val="3"/>
        <charset val="134"/>
      </rPr>
      <t>The average scoring method is recommended. It calculates an overall score by accumulating the score of each question and its weight.</t>
    </r>
    <phoneticPr fontId="15" type="noConversion"/>
  </si>
  <si>
    <t>Interpretation on question</t>
  </si>
  <si>
    <t>ETSI GR ENI 035
6.4.2 Process Task Definition
-Task: Fault detection</t>
  </si>
  <si>
    <t xml:space="preserve">ETSI GR ENI 035
6.4.2 Process Task Definition
-Task: Fault detection
</t>
  </si>
  <si>
    <t>Device Offline</t>
    <phoneticPr fontId="15" type="noConversion"/>
  </si>
  <si>
    <t>Port Failure</t>
    <phoneticPr fontId="15" type="noConversion"/>
  </si>
  <si>
    <t>High Error Rate</t>
    <phoneticPr fontId="15" type="noConversion"/>
  </si>
  <si>
    <t>VPN Degradation</t>
    <phoneticPr fontId="15" type="noConversion"/>
  </si>
  <si>
    <t>VPN Interruption</t>
    <phoneticPr fontId="15" type="noConversion"/>
  </si>
  <si>
    <t>Optical Module Failure or Optical Power Abnormal</t>
    <phoneticPr fontId="15" type="noConversion"/>
  </si>
  <si>
    <r>
      <rPr>
        <b/>
        <sz val="11"/>
        <color rgb="FF000000"/>
        <rFont val="Calibri"/>
        <family val="2"/>
      </rPr>
      <t>High-Value Scenario</t>
    </r>
  </si>
  <si>
    <r>
      <rPr>
        <b/>
        <sz val="11"/>
        <color rgb="FF000000"/>
        <rFont val="Calibri"/>
        <family val="2"/>
      </rPr>
      <t>Cognitive Activity (IAADE)</t>
    </r>
  </si>
  <si>
    <r>
      <rPr>
        <b/>
        <sz val="11"/>
        <color rgb="FF000000"/>
        <rFont val="Calibri"/>
        <family val="2"/>
      </rPr>
      <t>Service Capability</t>
    </r>
  </si>
  <si>
    <r>
      <rPr>
        <b/>
        <sz val="11"/>
        <color rgb="FF000000"/>
        <rFont val="Calibri"/>
        <family val="2"/>
      </rPr>
      <t>Weight</t>
    </r>
  </si>
  <si>
    <r>
      <rPr>
        <b/>
        <sz val="11"/>
        <color rgb="FF000000"/>
        <rFont val="Calibri"/>
        <family val="2"/>
      </rPr>
      <t>Question</t>
    </r>
  </si>
  <si>
    <r>
      <rPr>
        <b/>
        <sz val="11"/>
        <color rgb="FF000000"/>
        <rFont val="Calibri"/>
        <family val="2"/>
      </rPr>
      <t>Option A</t>
    </r>
  </si>
  <si>
    <r>
      <rPr>
        <b/>
        <sz val="11"/>
        <color rgb="FF000000"/>
        <rFont val="Calibri"/>
        <family val="2"/>
      </rPr>
      <t>Option B</t>
    </r>
  </si>
  <si>
    <r>
      <rPr>
        <b/>
        <sz val="11"/>
        <color rgb="FF000000"/>
        <rFont val="Calibri"/>
        <family val="2"/>
      </rPr>
      <t>Option C</t>
    </r>
  </si>
  <si>
    <r>
      <rPr>
        <b/>
        <sz val="11"/>
        <color rgb="FF000000"/>
        <rFont val="Calibri"/>
        <family val="2"/>
      </rPr>
      <t>Option D</t>
    </r>
  </si>
  <si>
    <t>ETSI GR ENI 035
6.4.2 Process Task Definition
-Task: Fault detection, 
IETF draft-ietf-nmop-network-incident-yang</t>
    <phoneticPr fontId="15" type="noConversion"/>
  </si>
  <si>
    <t>Value Scenarios</t>
    <phoneticPr fontId="15" type="noConversion"/>
  </si>
  <si>
    <r>
      <t>2. The principle for selecting option：</t>
    </r>
    <r>
      <rPr>
        <sz val="11"/>
        <color rgb="FF000000"/>
        <rFont val="等线"/>
        <family val="3"/>
        <charset val="134"/>
      </rPr>
      <t>A specific option could be selected only when the capabilities of the option are all satisfied. For example, if the capabilities of option A could only be partially satisfied, then option A should not be selected and other options should be further evaluated and selected.</t>
    </r>
  </si>
  <si>
    <r>
      <t xml:space="preserve">5. Reference
</t>
    </r>
    <r>
      <rPr>
        <sz val="11"/>
        <color rgb="FF000000"/>
        <rFont val="等线"/>
        <family val="3"/>
        <charset val="134"/>
      </rPr>
      <t>1) The design of the questionnaire is in compliance with the methodology provided by TMF IG 1252.
2) The design of cognitive activities and service capabilities in IP domain is in compliance with ETSI GR ENI 035.</t>
    </r>
  </si>
  <si>
    <r>
      <rPr>
        <b/>
        <sz val="11"/>
        <color theme="1"/>
        <rFont val="等线"/>
        <family val="3"/>
        <charset val="134"/>
      </rPr>
      <t>3. Sub-scenarios</t>
    </r>
    <r>
      <rPr>
        <sz val="11"/>
        <color theme="1"/>
        <rFont val="等线"/>
        <family val="3"/>
        <charset val="134"/>
      </rPr>
      <t>: 3 categories that include 8 types of sub-scenarios are given in the "Answer" part, classified according to different fault management objects. For example, if the fault management intent is setting the highest priority for repairing the interrupted VPNs (the fault management object is VPN in interruption sub-scenario), then answers should be given in the "VPN interruption" column. The scope and possible causes of the sub-scenarios are listed as follows,
Sub-scenairo-1: Hardware Failure: caused by function abnormal, hardware in wrong position, etc. Should include but not limit to board failure, fan failure.
Sub-scenairo-2: Device Offline: device is unaccessable from remote O&amp;M system caused by fiber cut, pigtail fall off, mis-configuration, etc.
Sub-scenairo-3: Optical Module Failure or Optical Power Abnormal：optical module abnormal caused by fiber cut, dirty interface, etc.
Sub-scenairo-4: Port Failure: include physical port down, logical port down, and related link down (i.e, physical link down, L2 link down, L3 link down),caused by fiber cut, pigtails fall off, dirty fiber port,  mis-configuration of IP address, etc.
Sub-scenairo-5: High Error Rate: the bit error rate of a port is extremely high caused by dirty fiber port, pigtails fall off. etc.
Sub-scenairo-6: Protocol State Abnormal: should include but not limit to IGP and BGP peer state abnormal, BFD session abnormal, caused by peer power off, mis-configuration, etc.
Sub-scenairo-7: VPN Degradation: quality of VPN degrades caused by dirty fiber port, unreasonable bandwidth limit,etc.
Sub-scenairo-8: VPN Interruption: VPN outage caused by fiber cut, device power off, etc.</t>
    </r>
    <phoneticPr fontId="15" type="noConversion"/>
  </si>
  <si>
    <r>
      <t>1. About the questionnaire</t>
    </r>
    <r>
      <rPr>
        <sz val="11"/>
        <color rgb="FF000000"/>
        <rFont val="等线"/>
        <family val="3"/>
        <charset val="134"/>
      </rPr>
      <t xml:space="preserve">:  Fault management is important in operators' daily O&amp;M.The assessment is questionnaire-based and it is used to evaluate the Autonomous Networks (AN) level in the fault management scenarios in IP network domain.  </t>
    </r>
    <r>
      <rPr>
        <sz val="11"/>
        <color theme="1"/>
        <rFont val="等线"/>
        <family val="3"/>
        <charset val="134"/>
      </rPr>
      <t>The questionnaire is applicable for IP networks such as IPRAN, IPCORE. Fo</t>
    </r>
    <r>
      <rPr>
        <sz val="11"/>
        <color rgb="FF000000"/>
        <rFont val="等线"/>
        <family val="3"/>
        <charset val="134"/>
      </rPr>
      <t>r each cognitive activity in the process of fault management, service capabilities are described and provided with several options that represent capability of different level of automation and intelligence, option A always represents capability with highest level of automation and intelligence. By filling the answers of options, the overall score could be calculated automatically by the "scoring" page.</t>
    </r>
    <phoneticPr fontId="15" type="noConversion"/>
  </si>
  <si>
    <r>
      <t>Hardware Failure
 (</t>
    </r>
    <r>
      <rPr>
        <sz val="10"/>
        <color theme="1"/>
        <rFont val="Calibri"/>
        <family val="2"/>
      </rPr>
      <t>should include but not limit to</t>
    </r>
    <r>
      <rPr>
        <b/>
        <sz val="10"/>
        <color theme="1"/>
        <rFont val="Calibri"/>
        <family val="2"/>
      </rPr>
      <t xml:space="preserve"> 
board failure, fan failure)</t>
    </r>
    <phoneticPr fontId="15" type="noConversion"/>
  </si>
  <si>
    <r>
      <t>Protocol State Abnormal 
(</t>
    </r>
    <r>
      <rPr>
        <sz val="10"/>
        <color theme="1"/>
        <rFont val="Calibri"/>
        <family val="2"/>
      </rPr>
      <t>should include but not limit to</t>
    </r>
    <r>
      <rPr>
        <b/>
        <sz val="10"/>
        <color theme="1"/>
        <rFont val="Calibri"/>
        <family val="2"/>
      </rPr>
      <t xml:space="preserve"> IGP and BGP peer state abnormal, BFD session abnormal)</t>
    </r>
    <phoneticPr fontId="15" type="noConversion"/>
  </si>
  <si>
    <t xml:space="preserve">Data collection and alarm filtering of invalid / redundant alarms are manually done. </t>
    <phoneticPr fontId="15" type="noConversion"/>
  </si>
  <si>
    <t>Yes</t>
    <phoneticPr fontId="15" type="noConversion"/>
  </si>
  <si>
    <t>ETSI GR ENI 035
6.4.2 Process Task Definition
-Task: Solution implementation and effect verification</t>
    <phoneticPr fontId="15" type="noConversion"/>
  </si>
  <si>
    <t>Solution Generation</t>
    <phoneticPr fontId="15" type="noConversion"/>
  </si>
  <si>
    <t>How does the System support generation of fault recovery solutions?</t>
    <phoneticPr fontId="15" type="noConversion"/>
  </si>
  <si>
    <t xml:space="preserve">The System generates the optimal recovery or fault rectification solution based on AI models without the need for Human confirmation
</t>
    <phoneticPr fontId="15" type="noConversion"/>
  </si>
  <si>
    <t>The System generates the optimal recovery or fault rectification solution through predefined rules and needs Human confirmation</t>
    <phoneticPr fontId="15" type="noConversion"/>
  </si>
  <si>
    <t>The recovery solution needs to be manually generated based on human expertise</t>
    <phoneticPr fontId="15" type="noConversion"/>
  </si>
  <si>
    <t>The System generates multiple possible recovery or rectification solutions, but may need human confirmation.</t>
    <phoneticPr fontId="15" type="noConversion"/>
  </si>
  <si>
    <t>Fault Identification ,Risk identification, impact analysis</t>
    <phoneticPr fontId="15" type="noConversion"/>
  </si>
  <si>
    <r>
      <rPr>
        <sz val="11"/>
        <color theme="1"/>
        <rFont val="Calibri"/>
        <family val="2"/>
      </rPr>
      <t>How does the System translate and process intents &amp; ensure intent fulfilment ?</t>
    </r>
    <r>
      <rPr>
        <sz val="11"/>
        <rFont val="Calibri"/>
        <family val="2"/>
      </rPr>
      <t xml:space="preserve">
Note: 
1) Intent could be fault management requirements such as MTTR (mean time to repair) , troubleshooting priority (e.g., emergency restoration in highest priority ), customized troubleshooting preference  based on fault impact scope and severity, etc.
2) Fault management target include alarm severity,  alarm threshold, alarm aggregation rules, fault notification rules, etc.</t>
    </r>
    <phoneticPr fontId="15" type="noConversion"/>
  </si>
  <si>
    <t xml:space="preserve">Intent Translation &amp; Fulfillment
</t>
    <phoneticPr fontId="15" type="noConversion"/>
  </si>
  <si>
    <t>The System processes Intent through the execution of predefined Rules and Policies. Intent fulfillment is manually evaluated</t>
    <phoneticPr fontId="15" type="noConversion"/>
  </si>
  <si>
    <t>Fault management task targets and policies are manually defined based on expertise. Manually evaluate the effect after the intention is implemented.</t>
    <phoneticPr fontId="15" type="noConversion"/>
  </si>
  <si>
    <r>
      <t xml:space="preserve">The system supports the input of fault management intent by simplified human-system interaction (e.g., nature language user interface provided by system), system automatically translates the intent into fault management targets .
</t>
    </r>
    <r>
      <rPr>
        <sz val="11"/>
        <color theme="1"/>
        <rFont val="Calibri"/>
        <family val="2"/>
      </rPr>
      <t>The System evaluates intent fulfillment based on the implementation effect, providing overview of fault management results, including automatically fault-handling results and the suggestions for faults that required manually handling, etc.</t>
    </r>
    <phoneticPr fontId="15" type="noConversion"/>
  </si>
  <si>
    <t xml:space="preserve">Manually set fault management targets based on expertise(such as setting alarm severity and classification) .
</t>
    <phoneticPr fontId="15" type="noConversion"/>
  </si>
  <si>
    <t xml:space="preserve">Data Collection&amp; Alarm filtering
</t>
    <phoneticPr fontId="15" type="noConversion"/>
  </si>
  <si>
    <r>
      <rPr>
        <sz val="11"/>
        <color theme="1"/>
        <rFont val="Calibri"/>
        <family val="2"/>
      </rPr>
      <t>How does the System support data collection,  alarms correlation and fileting?</t>
    </r>
    <r>
      <rPr>
        <sz val="11"/>
        <rFont val="Calibri"/>
        <family val="2"/>
      </rPr>
      <t xml:space="preserve">
Note: 
All types and fault-related indicators mentioned in options should be covered when choosing a related option </t>
    </r>
    <phoneticPr fontId="15" type="noConversion"/>
  </si>
  <si>
    <r>
      <t>The system automatically collects fault-related indicators including alarms, logs, performance, and OAM data, detecting service and network status in minutes,</t>
    </r>
    <r>
      <rPr>
        <sz val="11"/>
        <color rgb="FFFF0000"/>
        <rFont val="Calibri"/>
        <family val="2"/>
      </rPr>
      <t xml:space="preserve"> </t>
    </r>
    <r>
      <rPr>
        <sz val="11"/>
        <color theme="1"/>
        <rFont val="Calibri"/>
        <family val="2"/>
      </rPr>
      <t>and automatically  associates alarms, filters &amp; correlates alarms.
For specific sub-scenarios, data awareness at higher precision is needed for accurate root cause analysis:
1) For sub-scenario "device offline",  milisecond-level optical power data is needed.
2)For sub-scenario "Port Failure",  data collection of OTDR is needed.</t>
    </r>
    <phoneticPr fontId="15" type="noConversion"/>
  </si>
  <si>
    <t xml:space="preserve">The system automatically collects fault-related indicators including alarms, logs, performance, detecting service and network status within 15 minutes or 24 hours, associates alarms, filters &amp; correlates alarms based on manually defined rules.
</t>
    <phoneticPr fontId="15" type="noConversion"/>
  </si>
  <si>
    <t xml:space="preserve">Manually select and use the System to collect data and filter out invalid/redundant alarms
</t>
    <phoneticPr fontId="15" type="noConversion"/>
  </si>
  <si>
    <r>
      <rPr>
        <sz val="11"/>
        <color theme="1"/>
        <rFont val="Calibri"/>
        <family val="2"/>
      </rPr>
      <t xml:space="preserve">How does the System support fault identification, risk identification and subsequent impact analysis? </t>
    </r>
    <r>
      <rPr>
        <sz val="11"/>
        <color rgb="FFFF0000"/>
        <rFont val="Calibri"/>
        <family val="2"/>
      </rPr>
      <t xml:space="preserve"> </t>
    </r>
    <r>
      <rPr>
        <sz val="11"/>
        <rFont val="Calibri"/>
        <family val="2"/>
      </rPr>
      <t xml:space="preserve">
Note: 
</t>
    </r>
    <r>
      <rPr>
        <sz val="11"/>
        <color theme="1"/>
        <rFont val="Calibri"/>
        <family val="2"/>
      </rPr>
      <t xml:space="preserve">These four sub-scenarios are required to consider petential risk:  Optical Module Failure or Optical Power Abnormal, High Error Rate, Protocol State Abnormal, VPN Degradation.
</t>
    </r>
    <r>
      <rPr>
        <strike/>
        <sz val="11"/>
        <color theme="1"/>
        <rFont val="Calibri"/>
        <family val="2"/>
      </rPr>
      <t xml:space="preserve"> </t>
    </r>
    <phoneticPr fontId="15" type="noConversion"/>
  </si>
  <si>
    <t>The system identifies faults, potential risk and subsequent impact with severity based on AL modes without need for Human intervention.
Note: The AI models should conduct analysis based on multi-dimensional data including service topology (e.g., consists of L2VPN, L3VPN, L2EVPN, L3EVPN, SRv6-Policy, etc.), physical topology, performance data, alarm correlations, etc.</t>
    <phoneticPr fontId="15" type="noConversion"/>
  </si>
  <si>
    <t xml:space="preserve">The System identifies faults,  potential risk and subsequent impact based on Dynamic programable rules (configurable or ML), but may needs human confirmation
</t>
    <phoneticPr fontId="15" type="noConversion"/>
  </si>
  <si>
    <t>The System identifies faults, potential risk and subsequent impact based on manually defined rules</t>
    <phoneticPr fontId="15" type="noConversion"/>
  </si>
  <si>
    <t>Faults,potential risk and impact need to be manually identified based on human expertise or through the execution of manual written procedures.</t>
    <phoneticPr fontId="15" type="noConversion"/>
  </si>
  <si>
    <t>Fault Demarcation</t>
    <phoneticPr fontId="15" type="noConversion"/>
  </si>
  <si>
    <r>
      <rPr>
        <sz val="11"/>
        <color theme="1"/>
        <rFont val="Calibri"/>
        <family val="2"/>
      </rPr>
      <t>How does the system support fault demarcation?</t>
    </r>
    <r>
      <rPr>
        <sz val="11"/>
        <rFont val="Calibri"/>
        <family val="2"/>
      </rPr>
      <t xml:space="preserve">
Note: 
1) Examples of demarcation involve pinpointing the exact roles of malfunctioning routers, like identifying whether they are access routers, aggregation routers, or Autonomous System Boundary Router (ASBR).
</t>
    </r>
    <phoneticPr fontId="15" type="noConversion"/>
  </si>
  <si>
    <t>The system automatically demarcates the faults based on AI models without manual intervention.</t>
    <phoneticPr fontId="15" type="noConversion"/>
  </si>
  <si>
    <t>The system demarcates the faults based on  Dynamic programable rules (configurable or ML), results may need manually confirmation.</t>
    <phoneticPr fontId="15" type="noConversion"/>
  </si>
  <si>
    <t>The system demarcates the faults based on manually defined rules, results need manually confirmation.</t>
    <phoneticPr fontId="15" type="noConversion"/>
  </si>
  <si>
    <t>Manually demarcates the fault based on data such as operation logs and captured packets.</t>
    <phoneticPr fontId="15" type="noConversion"/>
  </si>
  <si>
    <t>Fault Locating and Root Cause Analysis</t>
    <phoneticPr fontId="15" type="noConversion"/>
  </si>
  <si>
    <t xml:space="preserve">How does the system support root cause analysis?
Note: 
1) Examples of detailed causes of identified faults, including the smallest replaceable unit, software modules, and ports.
</t>
    <phoneticPr fontId="15" type="noConversion"/>
  </si>
  <si>
    <r>
      <t xml:space="preserve">The system automatically analyzes root cause based on AI models without manual intervention. 
</t>
    </r>
    <r>
      <rPr>
        <strike/>
        <sz val="11"/>
        <color theme="1"/>
        <rFont val="Calibri"/>
        <family val="2"/>
      </rPr>
      <t xml:space="preserve">
</t>
    </r>
    <phoneticPr fontId="15" type="noConversion"/>
  </si>
  <si>
    <r>
      <t>The system provides one or more suspected causes based on Dynamic programable rules (configurable or ML), results may need human confirmation</t>
    </r>
    <r>
      <rPr>
        <b/>
        <sz val="11"/>
        <color theme="1"/>
        <rFont val="Calibri"/>
        <family val="2"/>
      </rPr>
      <t>.</t>
    </r>
    <phoneticPr fontId="15" type="noConversion"/>
  </si>
  <si>
    <t>The system  provides cause analysis based on manually defined rules,  manually analyze and confirm the root cause.</t>
    <phoneticPr fontId="15" type="noConversion"/>
  </si>
  <si>
    <t>Manually analyze root cause based on expertise.</t>
  </si>
  <si>
    <t xml:space="preserve">Solution Evaluation &amp; Decision Making
</t>
    <phoneticPr fontId="15" type="noConversion"/>
  </si>
  <si>
    <t>The System evaluates multiple possible recovery or fault rectification solutions and determines the optimal solution to be executed based on   Dynamic programable rules (configurable or ML) , but may need Human confirmation</t>
    <phoneticPr fontId="15" type="noConversion"/>
  </si>
  <si>
    <t>The recovery of fault rectification solution is manually evaluated and determined</t>
    <phoneticPr fontId="15" type="noConversion"/>
  </si>
  <si>
    <t xml:space="preserve">The System evaluates and determines the optimal recovery or fault rectification solution to be executed  based on AI models, without the need for Human confirmation 
</t>
    <phoneticPr fontId="15" type="noConversion"/>
  </si>
  <si>
    <t>Solution Implementation</t>
    <phoneticPr fontId="15" type="noConversion"/>
  </si>
  <si>
    <t>How does the system support automatic solution implementation and on-site intructions?</t>
  </si>
  <si>
    <t>How does the system support automatic solution implementation and on-site intructions?</t>
    <phoneticPr fontId="15" type="noConversion"/>
  </si>
  <si>
    <t xml:space="preserve">1) The recovery solution need to be manually implemented.
2) On-site handling is guided by NOC.
</t>
    <phoneticPr fontId="15" type="noConversion"/>
  </si>
  <si>
    <t>1) The system automatically executes the recovery or rectification solution(Automatic repair excludes the faults that on-site handling is necessary, such as power supply failure, board fault, fiber cut).
2) The system support intelligent on-site instruction and efficient information  query based on simplified human-system interaction, independent from NOC assistance.</t>
    <phoneticPr fontId="15" type="noConversion"/>
  </si>
  <si>
    <t>1)The system executes the recovery solution with human confirmation/instruction.  
2)The on-site handling are assisted by tool,but still requires assistance from NOC.</t>
    <phoneticPr fontId="15" type="noConversion"/>
  </si>
  <si>
    <t>How does the System translate and process intents &amp; ensure intent fulfilment ?</t>
  </si>
  <si>
    <t>How does the System support data collection,  alarms correlation and fileting?</t>
  </si>
  <si>
    <t xml:space="preserve">How does the System support fault identification, risk identification and subsequent impact analysis?  </t>
  </si>
  <si>
    <t>How does the system support fault demarcation?</t>
    <phoneticPr fontId="15" type="noConversion"/>
  </si>
  <si>
    <t>How does the system support root cause analysis?</t>
  </si>
  <si>
    <t>How does the System support generation of fault recovery solutions?</t>
  </si>
  <si>
    <t xml:space="preserve">How does the System support evaluation &amp; decision of fault recovery solutions?
</t>
    <phoneticPr fontId="15" type="noConversion"/>
  </si>
  <si>
    <t>How does the System support evaluation &amp; decision of fault recovery solutions?
Note: 
1) Emergency restoration solution may be compute alternative paths based on service SLA requirement.
2) Repair solution may be repair power supply.</t>
    <phoneticPr fontId="15" type="noConversion"/>
  </si>
  <si>
    <r>
      <t>Solution Implementation</t>
    </r>
    <r>
      <rPr>
        <b/>
        <vertAlign val="superscript"/>
        <sz val="10"/>
        <color rgb="FFFF0000"/>
        <rFont val="Arial"/>
        <family val="2"/>
      </rPr>
      <t>*2</t>
    </r>
    <phoneticPr fontId="15" type="noConversion"/>
  </si>
  <si>
    <t xml:space="preserve">
ETSI GR ENI 035
6.4.2 Process Task Definition
-Task: Evaluation and decision-making</t>
    <phoneticPr fontId="15" type="noConversion"/>
  </si>
  <si>
    <t>ETSI GR ENI 035
5.3.2 Monitoring and Troubleshooting
-Task: Fault Awareness</t>
    <phoneticPr fontId="15" type="noConversion"/>
  </si>
  <si>
    <t>ETSI GR ENI 035 5.3.2 Monitoring and Troubleshooting
-Task: Decision-making</t>
    <phoneticPr fontId="15" type="noConversion"/>
  </si>
  <si>
    <t>1.2.0</t>
    <phoneticPr fontId="15" type="noConversion"/>
  </si>
  <si>
    <t>1) Align with the FM template IG1252A v1.0.0 (service capability, autonomy level description in options), the capability of Awareness needed further alignment.
2) Delete redundant notes.
3) Combine "Risk Identification" into "Fault Identification" as "Fault Identification ,Risk identification, impact analysis"
4) Update the scoring sheet based on 1)-3).</t>
    <phoneticPr fontId="15" type="noConversion"/>
  </si>
  <si>
    <t>IPR Mode: RAND</t>
  </si>
  <si>
    <t>GB1523E</t>
  </si>
  <si>
    <t>Maturity Level: General Availability (GA)</t>
  </si>
  <si>
    <t>100 Enterprise Drive</t>
  </si>
  <si>
    <t>Suite 301 #1649</t>
  </si>
  <si>
    <t>Rockaway, NJ 07866 USA</t>
  </si>
  <si>
    <t>Weight</t>
    <phoneticPr fontId="15" type="noConversion"/>
  </si>
  <si>
    <t>Description</t>
    <phoneticPr fontId="15" type="noConversion"/>
  </si>
  <si>
    <t>Effective Indicator</t>
    <phoneticPr fontId="15" type="noConversion"/>
  </si>
  <si>
    <t>Option A</t>
    <phoneticPr fontId="15" type="noConversion"/>
  </si>
  <si>
    <t xml:space="preserve">Option B </t>
    <phoneticPr fontId="15" type="noConversion"/>
  </si>
  <si>
    <t>Option C</t>
    <phoneticPr fontId="15" type="noConversion"/>
  </si>
  <si>
    <t>Option D</t>
    <phoneticPr fontId="15" type="noConversion"/>
  </si>
  <si>
    <t>Automatic fault diagnosis ratio</t>
    <phoneticPr fontId="15" type="noConversion"/>
  </si>
  <si>
    <t>Automatic fault rectification ratio</t>
    <phoneticPr fontId="15" type="noConversion"/>
  </si>
  <si>
    <t>MTTR (Mean time to repair)</t>
    <phoneticPr fontId="15" type="noConversion"/>
  </si>
  <si>
    <r>
      <t xml:space="preserve">Obtain the total tickets in a period more than 1 month, for every kind of sub-scenario, select 2 tickets from the total tickets to verify the accuracy of the diagnosed root cause. 
</t>
    </r>
    <r>
      <rPr>
        <b/>
        <sz val="11"/>
        <color rgb="FF000000"/>
        <rFont val="Calibri"/>
        <family val="2"/>
      </rPr>
      <t>Formula</t>
    </r>
    <r>
      <rPr>
        <sz val="11"/>
        <color indexed="8"/>
        <rFont val="Calibri"/>
        <family val="2"/>
      </rPr>
      <t xml:space="preserve"> = number of tickets with accurate diagnosed root cause/ total number of selected tickets
Note:
1) The diagnosed root cause should include the smallest replaceable unit 
2) The root  cause should be provided both automatically and accurately, the automatic diagnosis result should be consistent with the manually confirmed one.</t>
    </r>
    <phoneticPr fontId="15" type="noConversion"/>
  </si>
  <si>
    <t>&gt;= 90%</t>
    <phoneticPr fontId="15" type="noConversion"/>
  </si>
  <si>
    <t>&gt;=50%, &lt;90%</t>
    <phoneticPr fontId="15" type="noConversion"/>
  </si>
  <si>
    <t>&lt;50%</t>
    <phoneticPr fontId="15" type="noConversion"/>
  </si>
  <si>
    <r>
      <t xml:space="preserve">For the total tickets in a period more than 1 month, count the number of the faults that are rectified by system automatically as T2, 
</t>
    </r>
    <r>
      <rPr>
        <b/>
        <sz val="11"/>
        <color rgb="FF000000"/>
        <rFont val="Calibri"/>
        <family val="2"/>
      </rPr>
      <t>Formula</t>
    </r>
    <r>
      <rPr>
        <sz val="11"/>
        <color indexed="8"/>
        <rFont val="Calibri"/>
        <family val="2"/>
      </rPr>
      <t xml:space="preserve"> = T2/ (Total ticket number – number of the tickets that need on-site engineering): 
Note:
1) If the automatic diagnosis and rectification is recorded in ticket system</t>
    </r>
    <r>
      <rPr>
        <sz val="11"/>
        <color rgb="FF000000"/>
        <rFont val="等线"/>
        <family val="2"/>
        <charset val="134"/>
      </rPr>
      <t>，</t>
    </r>
    <r>
      <rPr>
        <sz val="11"/>
        <color indexed="8"/>
        <rFont val="Calibri"/>
        <family val="2"/>
      </rPr>
      <t xml:space="preserve"> count T2 as the total number of tickets with the valid field that represent automatic rectification without NOC/FME intervention. 
2) Otherwise(automatic rectification is processed by system without triggering ticket dispatching):  get T2 from the autonomous system that display the summary/log of the automatic fault rectification. 
3) A fault that is rectified within 15min since fault occurrence could be counted for T2.</t>
    </r>
    <phoneticPr fontId="15" type="noConversion"/>
  </si>
  <si>
    <t>&gt;=90%</t>
    <phoneticPr fontId="15" type="noConversion"/>
  </si>
  <si>
    <t xml:space="preserve">For the total tickets in a period more 1 month, calculate the average time between ticket created and closed </t>
    <phoneticPr fontId="15" type="noConversion"/>
  </si>
  <si>
    <t>&lt;1hour</t>
    <phoneticPr fontId="15" type="noConversion"/>
  </si>
  <si>
    <t>&gt;1hour, &lt;=4hour</t>
    <phoneticPr fontId="15" type="noConversion"/>
  </si>
  <si>
    <t>&gt;4hour</t>
    <phoneticPr fontId="15" type="noConversion"/>
  </si>
  <si>
    <t>IP Network - Fault Management</t>
    <phoneticPr fontId="15" type="noConversion"/>
  </si>
  <si>
    <t>Socre</t>
    <phoneticPr fontId="15" type="noConversion"/>
  </si>
  <si>
    <t>&gt;70%, &lt;90%</t>
    <phoneticPr fontId="15" type="noConversion"/>
  </si>
  <si>
    <t>&lt;=70%</t>
    <phoneticPr fontId="15" type="noConversion"/>
  </si>
  <si>
    <t>Effectiveness Indicator</t>
    <phoneticPr fontId="15" type="noConversion"/>
  </si>
  <si>
    <t>Note: Automatic formula calculation. Do not modify it.</t>
    <phoneticPr fontId="15" type="noConversion"/>
  </si>
  <si>
    <t>Add KEIs</t>
    <phoneticPr fontId="15" type="noConversion"/>
  </si>
  <si>
    <t xml:space="preserve">High Value Scenario Capability  Score </t>
    <phoneticPr fontId="15" type="noConversion"/>
  </si>
  <si>
    <t xml:space="preserve">High Value Scenario Effective Indicator Score </t>
    <phoneticPr fontId="15" type="noConversion"/>
  </si>
  <si>
    <t>Comments</t>
    <phoneticPr fontId="15" type="noConversion"/>
  </si>
  <si>
    <t>B</t>
    <phoneticPr fontId="15" type="noConversion"/>
  </si>
  <si>
    <t>C</t>
    <phoneticPr fontId="15" type="noConversion"/>
  </si>
  <si>
    <t>Note: 
1) The proposed values for Effective Indicators above are intended for pilot use. 
2) The range defines the unit or scale of measurement, such as minutes or days. The corresponding Indicator Value column captures the exact numerical value of the indicator within that selected range.</t>
    <phoneticPr fontId="15" type="noConversion"/>
  </si>
  <si>
    <t>Indicator Value</t>
    <phoneticPr fontId="15" type="noConversion"/>
  </si>
  <si>
    <t>2.0.0</t>
    <phoneticPr fontId="15" type="noConversion"/>
  </si>
  <si>
    <t>The System evaluates and selects the best recovery or fault rectification solutions using predefined rules.</t>
    <phoneticPr fontId="15" type="noConversion"/>
  </si>
  <si>
    <t>Key Effectiveness Indicator score</t>
    <phoneticPr fontId="15" type="noConversion"/>
  </si>
  <si>
    <t xml:space="preserve">Final Score for Capability
</t>
    <phoneticPr fontId="15" type="noConversion"/>
  </si>
  <si>
    <t>Fix anomaly in scoring</t>
    <phoneticPr fontId="15" type="noConversion"/>
  </si>
  <si>
    <t>2.0.1</t>
    <phoneticPr fontId="15" type="noConversion"/>
  </si>
  <si>
    <t>Copyright © TM Forum 2026. All Rights Reserved.</t>
  </si>
  <si>
    <t>©TM Forum 2026. All Rights Reserved.</t>
  </si>
  <si>
    <t>Administrative Appendix</t>
  </si>
  <si>
    <t>Document History</t>
  </si>
  <si>
    <t>Version History</t>
  </si>
  <si>
    <t>Version Number</t>
  </si>
  <si>
    <t>Date Modified</t>
  </si>
  <si>
    <t>Modified by:</t>
  </si>
  <si>
    <t>Description of Change</t>
  </si>
  <si>
    <r>
      <t>GB1059D </t>
    </r>
    <r>
      <rPr>
        <sz val="11"/>
        <rFont val="Aptos"/>
        <family val="2"/>
      </rPr>
      <t>1.0.0</t>
    </r>
  </si>
  <si>
    <t>Alan Pope</t>
  </si>
  <si>
    <t>Final edits prior to publication</t>
  </si>
  <si>
    <r>
      <t>GB1059D </t>
    </r>
    <r>
      <rPr>
        <sz val="11"/>
        <rFont val="Aptos"/>
        <family val="2"/>
      </rPr>
      <t>1.1.0</t>
    </r>
  </si>
  <si>
    <t>Updated to include Subscenarios</t>
  </si>
  <si>
    <r>
      <t>GB1523E </t>
    </r>
    <r>
      <rPr>
        <sz val="11"/>
        <rFont val="Aptos"/>
        <family val="2"/>
      </rPr>
      <t>1.2.0</t>
    </r>
  </si>
  <si>
    <t>GB1523E 2.0.0</t>
  </si>
  <si>
    <t>Amaia White </t>
  </si>
  <si>
    <t>Final edits prior to publication </t>
  </si>
  <si>
    <t>Release History</t>
  </si>
  <si>
    <t>Release Status</t>
  </si>
  <si>
    <t>Pre-production</t>
  </si>
  <si>
    <r>
      <t>Initial Release as </t>
    </r>
    <r>
      <rPr>
        <b/>
        <sz val="11"/>
        <rFont val="Aptos"/>
        <family val="2"/>
      </rPr>
      <t>GB1059D</t>
    </r>
  </si>
  <si>
    <t>Adrienne Walcott</t>
  </si>
  <si>
    <r>
      <t>Updated </t>
    </r>
    <r>
      <rPr>
        <b/>
        <sz val="11"/>
        <rFont val="Aptos"/>
        <family val="2"/>
      </rPr>
      <t>GB1059D</t>
    </r>
    <r>
      <rPr>
        <sz val="11"/>
        <rFont val="Aptos"/>
        <family val="2"/>
      </rPr>
      <t> to Member Evaluated status</t>
    </r>
  </si>
  <si>
    <r>
      <t>Updated </t>
    </r>
    <r>
      <rPr>
        <b/>
        <sz val="11"/>
        <rFont val="Aptos"/>
        <family val="2"/>
      </rPr>
      <t>GB1059D</t>
    </r>
    <r>
      <rPr>
        <sz val="11"/>
        <rFont val="Aptos"/>
        <family val="2"/>
      </rPr>
      <t> to v1.1.0</t>
    </r>
  </si>
  <si>
    <r>
      <t>Updated to </t>
    </r>
    <r>
      <rPr>
        <b/>
        <sz val="11"/>
        <rFont val="Aptos"/>
        <family val="2"/>
      </rPr>
      <t>GB1523E</t>
    </r>
    <r>
      <rPr>
        <sz val="11"/>
        <rFont val="Aptos"/>
        <family val="2"/>
      </rPr>
      <t> v1.2.0</t>
    </r>
  </si>
  <si>
    <t>Production</t>
  </si>
  <si>
    <t>Updated to reflect TM Forum Approved status</t>
  </si>
  <si>
    <r>
      <t>Updated to </t>
    </r>
    <r>
      <rPr>
        <b/>
        <sz val="11"/>
        <rFont val="Aptos"/>
        <family val="2"/>
      </rPr>
      <t>GB1523E</t>
    </r>
    <r>
      <rPr>
        <sz val="11"/>
        <rFont val="Aptos"/>
        <family val="2"/>
      </rPr>
      <t> v2.0.0</t>
    </r>
  </si>
  <si>
    <t xml:space="preserve"> 23-Apr-2026</t>
  </si>
  <si>
    <r>
      <t>Updated to </t>
    </r>
    <r>
      <rPr>
        <b/>
        <sz val="11"/>
        <rFont val="Aptos"/>
        <family val="2"/>
      </rPr>
      <t>GB1523E</t>
    </r>
    <r>
      <rPr>
        <sz val="11"/>
        <rFont val="Aptos"/>
        <family val="2"/>
      </rPr>
      <t> v2.0.1</t>
    </r>
  </si>
  <si>
    <t>This document was prepared by the members of the Autonomous Networks project team.</t>
  </si>
  <si>
    <t>Kevin McDonnell </t>
  </si>
  <si>
    <t>Pedro Garcia Parra </t>
  </si>
  <si>
    <t>Fernando Camacho  </t>
  </si>
  <si>
    <t>Zhiruo Liu </t>
  </si>
  <si>
    <t>Junfeng Ma  </t>
  </si>
  <si>
    <t>Shiqi Zhang  </t>
  </si>
  <si>
    <t>Qian Bing </t>
  </si>
  <si>
    <t>Sai Han </t>
  </si>
  <si>
    <t>China Unicom</t>
  </si>
  <si>
    <t>Min He </t>
  </si>
  <si>
    <t>Guangying Zheng </t>
  </si>
  <si>
    <t>Lei Zhu </t>
  </si>
  <si>
    <t>Dave Condon </t>
  </si>
  <si>
    <t>Tony Salim </t>
  </si>
  <si>
    <t>Teemu Karhima </t>
  </si>
  <si>
    <t>Gonzalo Escuder </t>
  </si>
  <si>
    <t>Esa Vesterinen </t>
  </si>
  <si>
    <t>Jacek Hanusik </t>
  </si>
  <si>
    <t>Steve Bowker </t>
  </si>
  <si>
    <t>Sam Keys-Toyer </t>
  </si>
  <si>
    <t>Stephen Larios </t>
  </si>
  <si>
    <t>Ya'nan Wang </t>
  </si>
  <si>
    <t>Yunhe Wu  (Wikia)</t>
  </si>
  <si>
    <t>Riza Taufan </t>
  </si>
  <si>
    <t>MTN Group</t>
  </si>
  <si>
    <t>Asser EL NAHAS </t>
  </si>
  <si>
    <t>Juan Luis Mulas </t>
  </si>
  <si>
    <t>Hussain Harboosh </t>
  </si>
  <si>
    <t>Juan Pablo Monarca </t>
  </si>
  <si>
    <t>Nicolás Tellechea </t>
  </si>
  <si>
    <t>Roy Simatupang </t>
  </si>
  <si>
    <t>2.0.0</t>
  </si>
  <si>
    <t>2.0.2</t>
    <phoneticPr fontId="15" type="noConversion"/>
  </si>
  <si>
    <t>Adjust the ratio of sub-scenario "device offline" from 5% to 10% based on CSP's experience</t>
    <phoneticPr fontId="15" type="noConversion"/>
  </si>
  <si>
    <t>Mingshuang Jin</t>
    <phoneticPr fontId="15" type="noConversion"/>
  </si>
  <si>
    <t>Huawei</t>
    <phoneticPr fontId="15" type="noConversion"/>
  </si>
  <si>
    <t>Key Contributor,Editor</t>
    <phoneticPr fontId="15" type="noConversion"/>
  </si>
  <si>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</si>
  <si>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©TM Forum 2026. All Rights Reserved.  </t>
  </si>
  <si>
    <t>Version 2.0.2</t>
  </si>
  <si>
    <t>2.0.2</t>
  </si>
  <si>
    <t>Sannah Sibaya</t>
  </si>
  <si>
    <t>Release v2.0.2</t>
  </si>
  <si>
    <t>Jin Mingshuang</t>
  </si>
  <si>
    <t>Updates to calculations to raise the weight of the sub-scenario “device offline”  (from 5% to 10%)</t>
  </si>
  <si>
    <t>Team Approved Date: 30-Jul-2026</t>
  </si>
  <si>
    <t>Release Status:  Production</t>
  </si>
  <si>
    <t>Approval Status:  TM Forum Approved</t>
  </si>
  <si>
    <t>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t>
  </si>
  <si>
    <t>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</si>
  <si>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</si>
  <si>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 xml:space="preserve">*Select from: Project Chair, Project Co-Chair, Author, Editor, Key Contributor, </t>
  </si>
  <si>
    <t>Additional Input, Reviewer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</si>
</sst>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
    <numFmt numFmtId="165" formatCode="0.0%"/>
    <numFmt numFmtId="166" formatCode="0_ "/>
    <numFmt numFmtId="167" formatCode="dd\-mmm\-yyyy"/>
    <numFmt numFmtId="168" formatCode="yyyy\-mm\-dd"/>
  </numFmts>
  <fonts count="74">
    <font>
      <sz val="11"/>
      <color indexed="8"/>
      <name val="Calibri"/>
      <charset val="134"/>
      <scheme val="minor"/>
    </font>
    <font>
      <sz val="11"/>
      <color theme="1"/>
      <name val="Arial"/>
      <family val="2"/>
    </font>
    <font>
      <b/>
      <sz val="10"/>
      <color rgb="FF000000"/>
      <name val="Arial"/>
      <family val="2"/>
    </font>
    <font>
      <sz val="10"/>
      <name val="Arial"/>
      <family val="2"/>
    </font>
    <font>
      <sz val="11"/>
      <name val="宋体"/>
      <family val="3"/>
      <charset val="134"/>
    </font>
    <font>
      <b/>
      <sz val="10"/>
      <name val="Calibri"/>
      <family val="2"/>
    </font>
    <font>
      <sz val="11"/>
      <name val="Calibri"/>
      <family val="2"/>
    </font>
    <font>
      <sz val="11"/>
      <color rgb="FF000000"/>
      <name val="等线"/>
      <family val="3"/>
      <charset val="134"/>
    </font>
    <font>
      <b/>
      <sz val="10"/>
      <color rgb="FF000000"/>
      <name val="Calibri"/>
      <family val="2"/>
    </font>
    <font>
      <b/>
      <sz val="11"/>
      <color rgb="FF000000"/>
      <name val="等线"/>
      <family val="3"/>
      <charset val="134"/>
    </font>
    <font>
      <sz val="11"/>
      <color theme="1"/>
      <name val="Calibri"/>
      <family val="3"/>
      <charset val="134"/>
      <scheme val="minor"/>
    </font>
    <font>
      <sz val="10"/>
      <color theme="1"/>
      <name val="Arial"/>
      <family val="2"/>
    </font>
    <font>
      <b/>
      <sz val="28"/>
      <color rgb="FFC00000"/>
      <name val="Georgia"/>
      <family val="1"/>
    </font>
    <font>
      <b/>
      <sz val="11"/>
      <name val="Calibri"/>
      <family val="2"/>
    </font>
    <font>
      <b/>
      <sz val="12"/>
      <name val="Arial"/>
      <family val="2"/>
    </font>
    <font>
      <sz val="9"/>
      <name val="Calibri"/>
      <family val="3"/>
      <charset val="134"/>
      <scheme val="minor"/>
    </font>
    <font>
      <b/>
      <sz val="10"/>
      <color theme="1"/>
      <name val="Arial"/>
      <family val="2"/>
    </font>
    <font>
      <b/>
      <sz val="9"/>
      <color rgb="FFFF0000"/>
      <name val="Arial"/>
      <family val="2"/>
    </font>
    <font>
      <sz val="9"/>
      <name val="Calibri"/>
      <family val="2"/>
      <charset val="134"/>
      <scheme val="minor"/>
    </font>
    <font>
      <i/>
      <sz val="11"/>
      <color rgb="FF0070C0"/>
      <name val="Arial"/>
      <family val="2"/>
    </font>
    <font>
      <b/>
      <vertAlign val="superscript"/>
      <sz val="10"/>
      <color rgb="FFFF0000"/>
      <name val="Arial"/>
      <family val="2"/>
    </font>
    <font>
      <sz val="11"/>
      <color rgb="FFFF0000"/>
      <name val="Arial"/>
      <family val="2"/>
    </font>
    <font>
      <i/>
      <sz val="9"/>
      <color theme="1"/>
      <name val="Arial"/>
      <family val="2"/>
    </font>
    <font>
      <sz val="9"/>
      <color theme="1"/>
      <name val="Arial"/>
      <family val="2"/>
    </font>
    <font>
      <b/>
      <sz val="9"/>
      <color theme="1"/>
      <name val="Arial"/>
      <family val="2"/>
    </font>
    <font>
      <b/>
      <sz val="9"/>
      <color rgb="FF404040"/>
      <name val="Arial"/>
      <family val="2"/>
    </font>
    <font>
      <sz val="9"/>
      <color rgb="FF404040"/>
      <name val="Arial"/>
      <family val="2"/>
    </font>
    <font>
      <b/>
      <vertAlign val="superscript"/>
      <sz val="12"/>
      <color rgb="FFFF0000"/>
      <name val="Arial"/>
      <family val="2"/>
    </font>
    <font>
      <b/>
      <sz val="11"/>
      <color rgb="FFC00000"/>
      <name val="等线"/>
      <family val="3"/>
      <charset val="134"/>
    </font>
    <font>
      <sz val="11"/>
      <color indexed="8"/>
      <name val="Calibri"/>
      <family val="3"/>
      <charset val="134"/>
      <scheme val="minor"/>
    </font>
    <font>
      <b/>
      <sz val="11"/>
      <color rgb="FF000000"/>
      <name val="Calibri"/>
      <family val="2"/>
    </font>
    <font>
      <b/>
      <sz val="11"/>
      <color rgb="FF0070C0"/>
      <name val="Calibri"/>
      <family val="2"/>
    </font>
    <font>
      <sz val="10"/>
      <color rgb="FF000000"/>
      <name val="Calibri"/>
      <family val="2"/>
    </font>
    <font>
      <sz val="10"/>
      <name val="Calibri"/>
      <family val="2"/>
    </font>
    <font>
      <sz val="11"/>
      <color rgb="FF000000"/>
      <name val="Calibri"/>
      <family val="2"/>
    </font>
    <font>
      <sz val="11"/>
      <color indexed="8"/>
      <name val="Calibri"/>
      <family val="2"/>
    </font>
    <font>
      <b/>
      <sz val="11"/>
      <color theme="1"/>
      <name val="等线"/>
      <family val="3"/>
      <charset val="134"/>
    </font>
    <font>
      <sz val="11"/>
      <color theme="1"/>
      <name val="等线"/>
      <family val="3"/>
      <charset val="134"/>
    </font>
    <font>
      <sz val="11"/>
      <color rgb="FFFF0000"/>
      <name val="Calibri"/>
      <family val="2"/>
    </font>
    <font>
      <b/>
      <sz val="10"/>
      <color theme="1"/>
      <name val="Calibri"/>
      <family val="2"/>
    </font>
    <font>
      <sz val="10"/>
      <color theme="1"/>
      <name val="Calibri"/>
      <family val="2"/>
    </font>
    <font>
      <strike/>
      <sz val="11"/>
      <color theme="1"/>
      <name val="Calibri"/>
      <family val="2"/>
    </font>
    <font>
      <sz val="11"/>
      <color theme="1"/>
      <name val="Calibri"/>
      <family val="2"/>
    </font>
    <font>
      <b/>
      <sz val="11"/>
      <color theme="1"/>
      <name val="Calibri"/>
      <family val="2"/>
    </font>
    <font>
      <sz val="10"/>
      <color rgb="FF000000"/>
      <name val="Calibri"/>
      <family val="2"/>
      <scheme val="minor"/>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11"/>
      <color rgb="FF000000"/>
      <name val="Aptos"/>
      <family val="2"/>
    </font>
    <font>
      <u/>
      <sz val="11"/>
      <color theme="10"/>
      <name val="Verdana"/>
      <family val="2"/>
    </font>
    <font>
      <sz val="12"/>
      <color theme="1"/>
      <name val="Aptos"/>
      <family val="2"/>
    </font>
    <font>
      <sz val="11"/>
      <color theme="1"/>
      <name val="Aptos"/>
      <family val="2"/>
    </font>
    <font>
      <sz val="12"/>
      <color rgb="FF000000"/>
      <name val="Aptos"/>
      <family val="2"/>
    </font>
    <font>
      <u/>
      <sz val="12"/>
      <color theme="10"/>
      <name val="Aptos"/>
      <family val="2"/>
    </font>
    <font>
      <u/>
      <sz val="11"/>
      <color theme="10"/>
      <name val="Aptos"/>
      <family val="2"/>
    </font>
    <font>
      <sz val="11"/>
      <color rgb="FF000000"/>
      <name val="等线"/>
      <family val="2"/>
      <charset val="134"/>
    </font>
    <font>
      <sz val="11"/>
      <color indexed="8"/>
      <name val="Calibri"/>
      <family val="2"/>
      <scheme val="minor"/>
    </font>
    <font>
      <b/>
      <sz val="11"/>
      <color rgb="FF0070C0"/>
      <name val="Arial"/>
      <family val="2"/>
    </font>
    <font>
      <b/>
      <sz val="18"/>
      <color rgb="FFFF0000"/>
      <name val="Calibri"/>
      <family val="3"/>
      <charset val="134"/>
      <scheme val="minor"/>
    </font>
    <font>
      <b/>
      <sz val="20"/>
      <color rgb="FFC00000"/>
      <name val="Aptos"/>
      <family val="2"/>
    </font>
    <font>
      <b/>
      <sz val="12"/>
      <color rgb="FFC00000"/>
      <name val="Aptos"/>
      <family val="2"/>
    </font>
    <font>
      <b/>
      <sz val="11"/>
      <name val="Aptos"/>
      <family val="2"/>
    </font>
    <font>
      <sz val="11"/>
      <name val="Aptos"/>
      <family val="2"/>
    </font>
    <font>
      <sz val="11"/>
      <color indexed="8"/>
      <name val="Aptos"/>
      <family val="2"/>
    </font>
    <font>
      <b/>
      <sz val="11"/>
      <color indexed="8"/>
      <name val="Aptos"/>
      <family val="2"/>
    </font>
    <font>
      <i/>
      <sz val="11"/>
      <color rgb="FF172B4D"/>
      <name val="Aptos"/>
      <family val="2"/>
    </font>
    <font>
      <sz val="28"/>
      <color rgb="FFC00000"/>
      <name val="Aptos"/>
      <family val="2"/>
    </font>
    <font>
      <sz val="12"/>
      <color theme="10"/>
      <name val="Aptos"/>
      <family val="2"/>
    </font>
    <font>
      <b/>
      <sz val="28"/>
      <color rgb="FFC00000"/>
      <name val="Aptos"/>
      <family val="2"/>
    </font>
    <font>
      <i/>
      <sz val="11"/>
      <color rgb="FF000000"/>
      <name val="Aptos"/>
      <family val="2"/>
    </font>
    <font>
      <i/>
      <sz val="11"/>
      <color indexed="8"/>
      <name val="Aptos"/>
      <family val="2"/>
    </font>
  </fonts>
  <fills count="28">
    <fill>
      <patternFill patternType="none"/>
    </fill>
    <fill>
      <patternFill patternType="gray125"/>
    </fill>
    <fill>
      <patternFill patternType="solid">
        <fgColor rgb="FFB7DEE8"/>
        <bgColor rgb="FF000000"/>
      </patternFill>
    </fill>
    <fill>
      <patternFill patternType="solid">
        <fgColor rgb="FFFFFFFF"/>
        <bgColor rgb="FF000000"/>
      </patternFill>
    </fill>
    <fill>
      <patternFill patternType="solid">
        <fgColor rgb="FFDAEEF3"/>
        <bgColor rgb="FF000000"/>
      </patternFill>
    </fill>
    <fill>
      <patternFill patternType="solid">
        <fgColor rgb="FFFDE9D9"/>
        <bgColor rgb="FF000000"/>
      </patternFill>
    </fill>
    <fill>
      <patternFill patternType="solid">
        <fgColor theme="2"/>
        <bgColor indexed="64"/>
      </patternFill>
    </fill>
    <fill>
      <patternFill patternType="solid">
        <fgColor theme="8" tint="0.39979247413556324"/>
        <bgColor indexed="64"/>
      </patternFill>
    </fill>
    <fill>
      <patternFill patternType="solid">
        <fgColor theme="7" tint="0.39979247413556324"/>
        <bgColor indexed="64"/>
      </patternFill>
    </fill>
    <fill>
      <patternFill patternType="solid">
        <fgColor theme="9" tint="0.39979247413556324"/>
        <bgColor indexed="64"/>
      </patternFill>
    </fill>
    <fill>
      <patternFill patternType="solid">
        <fgColor theme="7" tint="0.79979857783745845"/>
        <bgColor indexed="64"/>
      </patternFill>
    </fill>
    <fill>
      <patternFill patternType="solid">
        <fgColor theme="8" tint="0.79989013336588644"/>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59999389629810485"/>
        <bgColor rgb="FF000000"/>
      </patternFill>
    </fill>
    <fill>
      <patternFill patternType="solid">
        <fgColor theme="9" tint="0.59999389629810485"/>
        <bgColor rgb="FF000000"/>
      </patternFill>
    </fill>
    <fill>
      <patternFill patternType="solid">
        <fgColor theme="6" tint="0.59999389629810485"/>
        <bgColor rgb="FF000000"/>
      </patternFill>
    </fill>
    <fill>
      <patternFill patternType="solid">
        <fgColor theme="5" tint="0.39997558519241921"/>
        <bgColor rgb="FF000000"/>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000"/>
        <bgColor rgb="FF000000"/>
      </patternFill>
    </fill>
    <fill>
      <patternFill patternType="solid">
        <fgColor rgb="FFFFFFFF"/>
        <bgColor indexed="64"/>
      </patternFill>
    </fill>
  </fills>
  <borders count="52">
    <border>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diagonal/>
    </border>
    <border>
      <left style="medium">
        <color auto="1"/>
      </left>
      <right style="thin">
        <color auto="1"/>
      </right>
      <top style="thin">
        <color auto="1"/>
      </top>
      <bottom style="thin">
        <color auto="1"/>
      </bottom>
      <diagonal/>
    </border>
    <border>
      <left/>
      <right style="medium">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style="thin">
        <color indexed="64"/>
      </right>
      <top style="thin">
        <color indexed="64"/>
      </top>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auto="1"/>
      </left>
      <right/>
      <top style="thin">
        <color auto="1"/>
      </top>
      <bottom/>
      <diagonal/>
    </border>
    <border>
      <left/>
      <right/>
      <top style="thin">
        <color auto="1"/>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diagonal/>
    </border>
  </borders>
  <cellStyleXfs count="11">
    <xf numFmtId="0" fontId="0" fillId="0" borderId="0">
      <alignment vertical="center"/>
    </xf>
    <xf numFmtId="0" fontId="10" fillId="0" borderId="0">
      <alignment vertical="top"/>
    </xf>
    <xf numFmtId="0" fontId="3" fillId="0" borderId="0"/>
    <xf numFmtId="9" fontId="10" fillId="0" borderId="0" applyFont="0" applyFill="0" applyBorder="0" applyAlignment="0" applyProtection="0">
      <alignment vertical="center"/>
    </xf>
    <xf numFmtId="0" fontId="10" fillId="0" borderId="0"/>
    <xf numFmtId="0" fontId="10" fillId="0" borderId="0"/>
    <xf numFmtId="0" fontId="10" fillId="0" borderId="0"/>
    <xf numFmtId="0" fontId="4" fillId="0" borderId="0">
      <alignment vertical="center"/>
    </xf>
    <xf numFmtId="0" fontId="44" fillId="0" borderId="0"/>
    <xf numFmtId="0" fontId="52" fillId="0" borderId="0" applyNumberFormat="0" applyFill="0" applyBorder="0" applyAlignment="0" applyProtection="0">
      <alignment horizontal="left" vertical="center" indent="1"/>
    </xf>
    <xf numFmtId="0" fontId="44" fillId="0" borderId="0"/>
  </cellStyleXfs>
  <cellXfs count="301">
    <xf numFmtId="0" fontId="0" fillId="0" borderId="0" xfId="0">
      <alignment vertical="center"/>
    </xf>
    <xf numFmtId="0" fontId="0" fillId="0" borderId="0" xfId="0" applyAlignment="1">
      <alignment horizontal="center" vertical="center"/>
    </xf>
    <xf numFmtId="9" fontId="6" fillId="0" borderId="1" xfId="0" applyNumberFormat="1" applyFont="1" applyBorder="1" applyAlignment="1">
      <alignment horizontal="left" vertical="top" wrapText="1"/>
    </xf>
    <xf numFmtId="0" fontId="7" fillId="0" borderId="0" xfId="0" applyFont="1">
      <alignment vertical="center"/>
    </xf>
    <xf numFmtId="0" fontId="6" fillId="0" borderId="27" xfId="0" applyFont="1" applyBorder="1" applyAlignment="1">
      <alignment horizontal="left" vertical="top" wrapText="1"/>
    </xf>
    <xf numFmtId="0" fontId="1" fillId="0" borderId="0" xfId="0" applyFont="1" applyAlignment="1"/>
    <xf numFmtId="0" fontId="14" fillId="15" borderId="36" xfId="7" applyFont="1" applyFill="1" applyBorder="1" applyAlignment="1">
      <alignment horizontal="center" vertical="center" wrapText="1"/>
    </xf>
    <xf numFmtId="0" fontId="19" fillId="0" borderId="1" xfId="7" applyFont="1" applyBorder="1" applyAlignment="1">
      <alignment horizontal="center" vertical="center"/>
    </xf>
    <xf numFmtId="0" fontId="14" fillId="15" borderId="1" xfId="7" applyFont="1" applyFill="1" applyBorder="1" applyAlignment="1">
      <alignment horizontal="center" vertical="center" wrapText="1"/>
    </xf>
    <xf numFmtId="0" fontId="1" fillId="16" borderId="1" xfId="0" applyFont="1" applyFill="1" applyBorder="1" applyAlignment="1">
      <alignment horizontal="center" vertical="center"/>
    </xf>
    <xf numFmtId="165" fontId="21" fillId="16" borderId="1" xfId="7" applyNumberFormat="1" applyFont="1" applyFill="1" applyBorder="1" applyAlignment="1">
      <alignment horizontal="center" vertical="center"/>
    </xf>
    <xf numFmtId="0" fontId="22" fillId="0" borderId="0" xfId="7" applyFont="1" applyAlignment="1">
      <alignment horizontal="left" vertical="center"/>
    </xf>
    <xf numFmtId="0" fontId="23" fillId="0" borderId="0" xfId="0" applyFont="1" applyAlignment="1"/>
    <xf numFmtId="0" fontId="24" fillId="0" borderId="0" xfId="0" applyFont="1" applyAlignment="1"/>
    <xf numFmtId="0" fontId="25" fillId="0" borderId="0" xfId="0" applyFont="1">
      <alignment vertical="center"/>
    </xf>
    <xf numFmtId="0" fontId="25" fillId="0" borderId="0" xfId="0" applyFont="1" applyAlignment="1">
      <alignment horizontal="left" vertical="center"/>
    </xf>
    <xf numFmtId="0" fontId="2" fillId="4" borderId="1" xfId="0" applyFont="1" applyFill="1" applyBorder="1" applyAlignment="1">
      <alignment horizontal="left" vertical="center" wrapText="1"/>
    </xf>
    <xf numFmtId="0" fontId="2" fillId="4" borderId="15" xfId="0" applyFont="1" applyFill="1" applyBorder="1" applyAlignment="1">
      <alignment horizontal="left" vertical="center" wrapText="1"/>
    </xf>
    <xf numFmtId="0" fontId="8" fillId="15" borderId="23" xfId="0" applyFont="1" applyFill="1" applyBorder="1" applyAlignment="1">
      <alignment horizontal="center" vertical="center" wrapText="1"/>
    </xf>
    <xf numFmtId="9" fontId="8" fillId="15" borderId="23" xfId="0" applyNumberFormat="1"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25" xfId="0" applyFont="1" applyFill="1" applyBorder="1" applyAlignment="1">
      <alignment horizontal="center" vertical="center" wrapText="1"/>
    </xf>
    <xf numFmtId="9" fontId="8" fillId="0" borderId="25" xfId="0" applyNumberFormat="1" applyFont="1" applyBorder="1" applyAlignment="1">
      <alignment horizontal="center" vertical="center" wrapText="1"/>
    </xf>
    <xf numFmtId="0" fontId="8" fillId="5" borderId="38" xfId="0" applyFont="1" applyFill="1" applyBorder="1" applyAlignment="1">
      <alignment horizontal="center" vertical="center" wrapText="1"/>
    </xf>
    <xf numFmtId="0" fontId="8" fillId="17" borderId="25" xfId="0" applyFont="1" applyFill="1" applyBorder="1" applyAlignment="1">
      <alignment horizontal="center" vertical="center" wrapText="1"/>
    </xf>
    <xf numFmtId="0" fontId="8" fillId="17" borderId="38" xfId="0" applyFont="1" applyFill="1" applyBorder="1" applyAlignment="1">
      <alignment horizontal="center" vertical="center" wrapText="1"/>
    </xf>
    <xf numFmtId="0" fontId="8" fillId="18" borderId="25" xfId="0" applyFont="1" applyFill="1" applyBorder="1" applyAlignment="1">
      <alignment horizontal="center" vertical="center" wrapText="1"/>
    </xf>
    <xf numFmtId="0" fontId="8" fillId="18" borderId="38" xfId="0" applyFont="1" applyFill="1" applyBorder="1" applyAlignment="1">
      <alignment horizontal="center" vertical="center" wrapText="1"/>
    </xf>
    <xf numFmtId="0" fontId="8" fillId="19" borderId="25" xfId="0" applyFont="1" applyFill="1" applyBorder="1" applyAlignment="1">
      <alignment horizontal="center" vertical="center" wrapText="1"/>
    </xf>
    <xf numFmtId="0" fontId="8" fillId="19" borderId="38" xfId="0" applyFont="1" applyFill="1" applyBorder="1" applyAlignment="1">
      <alignment horizontal="center" vertical="center" wrapText="1"/>
    </xf>
    <xf numFmtId="0" fontId="8" fillId="20" borderId="25" xfId="0" applyFont="1" applyFill="1" applyBorder="1" applyAlignment="1">
      <alignment horizontal="center" vertical="center" wrapText="1"/>
    </xf>
    <xf numFmtId="0" fontId="8" fillId="20" borderId="1" xfId="0" applyFont="1" applyFill="1" applyBorder="1" applyAlignment="1">
      <alignment horizontal="center" vertical="center" wrapText="1"/>
    </xf>
    <xf numFmtId="0" fontId="8" fillId="12" borderId="25"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33" fillId="3" borderId="6" xfId="0" applyFont="1" applyFill="1" applyBorder="1" applyAlignment="1">
      <alignment horizontal="center" vertical="center" wrapText="1"/>
    </xf>
    <xf numFmtId="0" fontId="32" fillId="4" borderId="1" xfId="0" applyFont="1" applyFill="1" applyBorder="1" applyAlignment="1">
      <alignment horizontal="left" vertical="center" wrapText="1"/>
    </xf>
    <xf numFmtId="9" fontId="32" fillId="3" borderId="10" xfId="3" applyFont="1" applyFill="1" applyBorder="1" applyAlignment="1" applyProtection="1">
      <alignment horizontal="left" vertical="center" wrapText="1"/>
    </xf>
    <xf numFmtId="0" fontId="32" fillId="3" borderId="19" xfId="0" applyFont="1" applyFill="1" applyBorder="1" applyAlignment="1">
      <alignment horizontal="left" vertical="center" wrapText="1"/>
    </xf>
    <xf numFmtId="0" fontId="32" fillId="0" borderId="6" xfId="0" applyFont="1" applyBorder="1" applyAlignment="1">
      <alignment horizontal="center" vertical="center"/>
    </xf>
    <xf numFmtId="0" fontId="32" fillId="0" borderId="1" xfId="0" applyFont="1" applyBorder="1" applyAlignment="1">
      <alignment horizontal="center" vertical="center"/>
    </xf>
    <xf numFmtId="0" fontId="32" fillId="0" borderId="19" xfId="0" applyFont="1" applyBorder="1" applyAlignment="1">
      <alignment horizontal="center" vertical="center"/>
    </xf>
    <xf numFmtId="0" fontId="34" fillId="0" borderId="21" xfId="0" applyFont="1" applyBorder="1" applyAlignment="1">
      <alignment horizontal="center" vertical="center"/>
    </xf>
    <xf numFmtId="0" fontId="34" fillId="0" borderId="6" xfId="0" applyFont="1" applyBorder="1" applyAlignment="1">
      <alignment horizontal="center" vertical="center"/>
    </xf>
    <xf numFmtId="0" fontId="34" fillId="0" borderId="1" xfId="0" applyFont="1" applyBorder="1" applyAlignment="1">
      <alignment horizontal="center" vertical="center"/>
    </xf>
    <xf numFmtId="0" fontId="32" fillId="3" borderId="6" xfId="0" applyFont="1" applyFill="1" applyBorder="1" applyAlignment="1">
      <alignment vertical="center" wrapText="1"/>
    </xf>
    <xf numFmtId="9" fontId="32" fillId="3" borderId="10" xfId="3" applyFont="1" applyFill="1" applyBorder="1" applyAlignment="1">
      <alignment horizontal="left" vertical="center" wrapText="1"/>
    </xf>
    <xf numFmtId="0" fontId="32" fillId="6" borderId="19" xfId="0" applyFont="1" applyFill="1" applyBorder="1" applyAlignment="1">
      <alignment horizontal="center" vertical="center"/>
    </xf>
    <xf numFmtId="9" fontId="32" fillId="0" borderId="10" xfId="3" applyFont="1" applyFill="1" applyBorder="1" applyAlignment="1" applyProtection="1">
      <alignment horizontal="left" vertical="center" wrapText="1"/>
    </xf>
    <xf numFmtId="0" fontId="32" fillId="0" borderId="19" xfId="0" applyFont="1" applyBorder="1" applyAlignment="1">
      <alignment horizontal="left" vertical="center" wrapText="1"/>
    </xf>
    <xf numFmtId="0" fontId="33" fillId="0" borderId="6" xfId="0" applyFont="1" applyBorder="1" applyAlignment="1">
      <alignment horizontal="center" vertical="center" wrapText="1"/>
    </xf>
    <xf numFmtId="0" fontId="32" fillId="0" borderId="14" xfId="0" applyFont="1" applyBorder="1" applyAlignment="1">
      <alignment horizontal="center" vertical="center" wrapText="1"/>
    </xf>
    <xf numFmtId="0" fontId="32" fillId="4" borderId="15" xfId="0" applyFont="1" applyFill="1" applyBorder="1" applyAlignment="1">
      <alignment horizontal="left" vertical="center" wrapText="1"/>
    </xf>
    <xf numFmtId="9" fontId="32" fillId="0" borderId="16" xfId="3" applyFont="1" applyFill="1" applyBorder="1" applyAlignment="1" applyProtection="1">
      <alignment horizontal="left" vertical="center" wrapText="1"/>
    </xf>
    <xf numFmtId="0" fontId="32" fillId="0" borderId="20" xfId="0" applyFont="1" applyBorder="1" applyAlignment="1">
      <alignment horizontal="left" vertical="center" wrapText="1"/>
    </xf>
    <xf numFmtId="0" fontId="35" fillId="0" borderId="0" xfId="0" applyFont="1">
      <alignment vertical="center"/>
    </xf>
    <xf numFmtId="0" fontId="35" fillId="0" borderId="27" xfId="0" applyFont="1" applyBorder="1">
      <alignment vertical="center"/>
    </xf>
    <xf numFmtId="0" fontId="35" fillId="0" borderId="23" xfId="0" applyFont="1" applyBorder="1">
      <alignment vertical="center"/>
    </xf>
    <xf numFmtId="0" fontId="13" fillId="9" borderId="27"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6" fillId="0" borderId="10" xfId="0" applyFont="1" applyBorder="1">
      <alignment vertical="center"/>
    </xf>
    <xf numFmtId="0" fontId="6" fillId="0" borderId="25" xfId="0" applyFont="1" applyBorder="1" applyAlignment="1">
      <alignment horizontal="center" vertical="top"/>
    </xf>
    <xf numFmtId="0" fontId="6" fillId="0" borderId="26" xfId="0" applyFont="1" applyBorder="1">
      <alignment vertical="center"/>
    </xf>
    <xf numFmtId="0" fontId="6" fillId="0" borderId="1" xfId="0" applyFont="1" applyBorder="1" applyAlignment="1">
      <alignment horizontal="center" vertical="top"/>
    </xf>
    <xf numFmtId="0" fontId="6" fillId="0" borderId="29" xfId="0" applyFont="1" applyBorder="1">
      <alignment vertical="center"/>
    </xf>
    <xf numFmtId="0" fontId="6" fillId="0" borderId="23" xfId="0" applyFont="1" applyBorder="1">
      <alignment vertical="center"/>
    </xf>
    <xf numFmtId="0" fontId="8" fillId="24" borderId="25" xfId="0" applyFont="1" applyFill="1" applyBorder="1" applyAlignment="1">
      <alignment horizontal="center" vertical="center" wrapText="1"/>
    </xf>
    <xf numFmtId="0" fontId="8" fillId="24" borderId="1" xfId="0" applyFont="1" applyFill="1" applyBorder="1" applyAlignment="1">
      <alignment horizontal="center" vertical="center" wrapText="1"/>
    </xf>
    <xf numFmtId="166" fontId="34" fillId="0" borderId="1" xfId="0" applyNumberFormat="1" applyFont="1" applyBorder="1" applyAlignment="1">
      <alignment horizontal="center" vertical="center"/>
    </xf>
    <xf numFmtId="0" fontId="39" fillId="10" borderId="9" xfId="0" applyFont="1" applyFill="1" applyBorder="1" applyAlignment="1">
      <alignment horizontal="center" vertical="center" wrapText="1"/>
    </xf>
    <xf numFmtId="0" fontId="39" fillId="10" borderId="42" xfId="0" applyFont="1" applyFill="1" applyBorder="1" applyAlignment="1">
      <alignment horizontal="center" vertical="center" wrapText="1"/>
    </xf>
    <xf numFmtId="0" fontId="39" fillId="10" borderId="1" xfId="0" applyFont="1" applyFill="1" applyBorder="1" applyAlignment="1">
      <alignment horizontal="center" vertical="center" wrapText="1"/>
    </xf>
    <xf numFmtId="0" fontId="39" fillId="10" borderId="28" xfId="0" applyFont="1" applyFill="1" applyBorder="1" applyAlignment="1">
      <alignment horizontal="center" vertical="center" wrapText="1"/>
    </xf>
    <xf numFmtId="0" fontId="39" fillId="10" borderId="24" xfId="0" applyFont="1" applyFill="1" applyBorder="1" applyAlignment="1">
      <alignment horizontal="center" vertical="center" wrapText="1"/>
    </xf>
    <xf numFmtId="9" fontId="39" fillId="10" borderId="23" xfId="0" applyNumberFormat="1" applyFont="1" applyFill="1" applyBorder="1" applyAlignment="1">
      <alignment horizontal="center" vertical="center" wrapText="1"/>
    </xf>
    <xf numFmtId="9" fontId="39" fillId="10" borderId="24" xfId="0" applyNumberFormat="1" applyFont="1" applyFill="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38" fillId="0" borderId="1" xfId="0" applyFont="1" applyBorder="1" applyAlignment="1">
      <alignment horizontal="left" vertical="top" wrapText="1"/>
    </xf>
    <xf numFmtId="0" fontId="6" fillId="0" borderId="1" xfId="0" applyFont="1" applyBorder="1">
      <alignment vertical="center"/>
    </xf>
    <xf numFmtId="0" fontId="6" fillId="0" borderId="0" xfId="0" applyFont="1">
      <alignment vertical="center"/>
    </xf>
    <xf numFmtId="0" fontId="42" fillId="0" borderId="1" xfId="0" applyFont="1" applyBorder="1" applyAlignment="1">
      <alignment horizontal="left" vertical="top" wrapText="1"/>
    </xf>
    <xf numFmtId="9" fontId="42" fillId="0" borderId="1" xfId="0" applyNumberFormat="1" applyFont="1" applyBorder="1" applyAlignment="1">
      <alignment horizontal="left" vertical="top" wrapText="1"/>
    </xf>
    <xf numFmtId="0" fontId="11" fillId="0" borderId="0" xfId="8" applyFont="1"/>
    <xf numFmtId="0" fontId="44" fillId="0" borderId="0" xfId="8"/>
    <xf numFmtId="0" fontId="12" fillId="0" borderId="0" xfId="8" applyFont="1" applyAlignment="1">
      <alignment vertical="center" wrapText="1"/>
    </xf>
    <xf numFmtId="0" fontId="45" fillId="0" borderId="0" xfId="8" applyFont="1"/>
    <xf numFmtId="0" fontId="46" fillId="0" borderId="0" xfId="8" applyFont="1"/>
    <xf numFmtId="0" fontId="48" fillId="0" borderId="0" xfId="8" applyFont="1"/>
    <xf numFmtId="0" fontId="49" fillId="0" borderId="45" xfId="8" applyFont="1" applyBorder="1" applyAlignment="1">
      <alignment vertical="top"/>
    </xf>
    <xf numFmtId="0" fontId="50" fillId="0" borderId="46" xfId="8" applyFont="1" applyBorder="1" applyAlignment="1">
      <alignment vertical="top"/>
    </xf>
    <xf numFmtId="0" fontId="49" fillId="0" borderId="47" xfId="8" applyFont="1" applyBorder="1" applyAlignment="1">
      <alignment horizontal="left" vertical="top" wrapText="1"/>
    </xf>
    <xf numFmtId="0" fontId="49" fillId="0" borderId="48" xfId="8" applyFont="1" applyBorder="1" applyAlignment="1">
      <alignment horizontal="left" vertical="top" wrapText="1"/>
    </xf>
    <xf numFmtId="0" fontId="45" fillId="0" borderId="0" xfId="8" applyFont="1" applyAlignment="1">
      <alignment horizontal="left"/>
    </xf>
    <xf numFmtId="0" fontId="45" fillId="0" borderId="0" xfId="8" applyFont="1" applyAlignment="1">
      <alignment vertical="top" wrapText="1"/>
    </xf>
    <xf numFmtId="0" fontId="51" fillId="0" borderId="0" xfId="8" applyFont="1" applyAlignment="1">
      <alignment vertical="top" wrapText="1"/>
    </xf>
    <xf numFmtId="0" fontId="45" fillId="0" borderId="0" xfId="8" applyFont="1" applyAlignment="1">
      <alignment wrapText="1"/>
    </xf>
    <xf numFmtId="0" fontId="54" fillId="0" borderId="0" xfId="8" applyFont="1" applyAlignment="1">
      <alignment vertical="top" wrapText="1"/>
    </xf>
    <xf numFmtId="0" fontId="53" fillId="0" borderId="0" xfId="8" applyFont="1" applyAlignment="1">
      <alignment wrapText="1"/>
    </xf>
    <xf numFmtId="0" fontId="55" fillId="0" borderId="0" xfId="8" applyFont="1"/>
    <xf numFmtId="0" fontId="55" fillId="0" borderId="0" xfId="8" applyFont="1" applyAlignment="1">
      <alignment vertical="top"/>
    </xf>
    <xf numFmtId="0" fontId="56" fillId="0" borderId="0" xfId="8" applyFont="1" applyAlignment="1">
      <alignment vertical="top"/>
    </xf>
    <xf numFmtId="0" fontId="57" fillId="0" borderId="0" xfId="8" applyFont="1" applyAlignment="1">
      <alignment vertical="top"/>
    </xf>
    <xf numFmtId="0" fontId="5" fillId="7" borderId="1" xfId="0" applyFont="1" applyFill="1" applyBorder="1" applyAlignment="1">
      <alignment horizontal="center" vertical="center" wrapText="1"/>
    </xf>
    <xf numFmtId="0" fontId="5" fillId="25" borderId="1" xfId="0" applyFont="1" applyFill="1" applyBorder="1" applyAlignment="1">
      <alignment horizontal="center" vertical="center" wrapText="1"/>
    </xf>
    <xf numFmtId="0" fontId="0" fillId="0" borderId="1" xfId="0" applyBorder="1">
      <alignment vertical="center"/>
    </xf>
    <xf numFmtId="9" fontId="35" fillId="0" borderId="1" xfId="0" applyNumberFormat="1" applyFont="1" applyBorder="1">
      <alignment vertical="center"/>
    </xf>
    <xf numFmtId="0" fontId="35" fillId="0" borderId="1" xfId="0" applyFont="1" applyBorder="1" applyAlignment="1">
      <alignment vertical="center" wrapText="1"/>
    </xf>
    <xf numFmtId="0" fontId="35" fillId="0" borderId="1" xfId="0" applyFont="1" applyBorder="1">
      <alignment vertical="center"/>
    </xf>
    <xf numFmtId="0" fontId="35" fillId="0" borderId="9" xfId="0" applyFont="1" applyBorder="1">
      <alignment vertical="center"/>
    </xf>
    <xf numFmtId="0" fontId="39" fillId="10" borderId="1" xfId="0" applyFont="1" applyFill="1" applyBorder="1" applyAlignment="1">
      <alignment vertical="center" wrapText="1"/>
    </xf>
    <xf numFmtId="0" fontId="29" fillId="0" borderId="0" xfId="0" applyFont="1" applyAlignment="1"/>
    <xf numFmtId="0" fontId="29" fillId="0" borderId="0" xfId="0" applyFont="1">
      <alignment vertical="center"/>
    </xf>
    <xf numFmtId="0" fontId="61" fillId="0" borderId="0" xfId="0" applyFont="1">
      <alignment vertical="center"/>
    </xf>
    <xf numFmtId="0" fontId="5" fillId="0" borderId="1" xfId="0" applyFont="1" applyBorder="1" applyAlignment="1">
      <alignment horizontal="center" vertical="center" wrapText="1"/>
    </xf>
    <xf numFmtId="0" fontId="35" fillId="16" borderId="1" xfId="0" applyFont="1" applyFill="1" applyBorder="1">
      <alignment vertical="center"/>
    </xf>
    <xf numFmtId="0" fontId="30" fillId="0" borderId="23" xfId="0" applyFont="1" applyBorder="1" applyAlignment="1">
      <alignment horizontal="center" vertical="center"/>
    </xf>
    <xf numFmtId="0" fontId="34" fillId="0" borderId="23" xfId="0" applyFont="1" applyBorder="1">
      <alignment vertical="center"/>
    </xf>
    <xf numFmtId="0" fontId="34" fillId="0" borderId="27" xfId="0" applyFont="1" applyBorder="1">
      <alignment vertical="center"/>
    </xf>
    <xf numFmtId="0" fontId="35" fillId="0" borderId="51" xfId="0" applyFont="1" applyBorder="1" applyAlignment="1">
      <alignment vertical="center" wrapText="1"/>
    </xf>
    <xf numFmtId="0" fontId="35" fillId="0" borderId="51" xfId="0" applyFont="1" applyBorder="1">
      <alignment vertical="center"/>
    </xf>
    <xf numFmtId="0" fontId="34" fillId="0" borderId="1" xfId="0" applyFont="1" applyBorder="1">
      <alignment vertical="center"/>
    </xf>
    <xf numFmtId="14" fontId="35" fillId="0" borderId="23" xfId="0" applyNumberFormat="1" applyFont="1" applyBorder="1" applyAlignment="1">
      <alignment horizontal="left" vertical="center"/>
    </xf>
    <xf numFmtId="14" fontId="35" fillId="0" borderId="51" xfId="0" applyNumberFormat="1" applyFont="1" applyBorder="1" applyAlignment="1">
      <alignment horizontal="left" vertical="center"/>
    </xf>
    <xf numFmtId="14" fontId="35" fillId="0" borderId="1" xfId="0" applyNumberFormat="1" applyFont="1" applyBorder="1" applyAlignment="1">
      <alignment horizontal="left" vertical="center"/>
    </xf>
    <xf numFmtId="0" fontId="46" fillId="0" borderId="0" xfId="5" applyFont="1"/>
    <xf numFmtId="0" fontId="46" fillId="0" borderId="0" xfId="5" applyFont="1" applyAlignment="1">
      <alignment vertical="top" wrapText="1"/>
    </xf>
    <xf numFmtId="0" fontId="50" fillId="0" borderId="0" xfId="5" applyFont="1" applyAlignment="1">
      <alignment vertical="top" wrapText="1"/>
    </xf>
    <xf numFmtId="0" fontId="64" fillId="16" borderId="1" xfId="5" applyFont="1" applyFill="1" applyBorder="1" applyAlignment="1">
      <alignment vertical="top" wrapText="1"/>
    </xf>
    <xf numFmtId="0" fontId="51" fillId="0" borderId="0" xfId="5" applyFont="1"/>
    <xf numFmtId="0" fontId="55" fillId="0" borderId="0" xfId="5" applyFont="1"/>
    <xf numFmtId="167" fontId="51" fillId="0" borderId="0" xfId="5" applyNumberFormat="1" applyFont="1" applyAlignment="1">
      <alignment horizontal="left" vertical="top" wrapText="1"/>
    </xf>
    <xf numFmtId="168" fontId="51" fillId="0" borderId="0" xfId="5" applyNumberFormat="1" applyFont="1" applyAlignment="1">
      <alignment horizontal="left" vertical="top" wrapText="1"/>
    </xf>
    <xf numFmtId="0" fontId="65" fillId="27" borderId="1" xfId="0" applyFont="1" applyFill="1" applyBorder="1" applyAlignment="1">
      <alignment horizontal="left" vertical="top" wrapText="1"/>
    </xf>
    <xf numFmtId="0" fontId="51" fillId="0" borderId="1" xfId="8" applyFont="1" applyBorder="1" applyAlignment="1">
      <alignment vertical="top"/>
    </xf>
    <xf numFmtId="0" fontId="64" fillId="27" borderId="1" xfId="0" applyFont="1" applyFill="1" applyBorder="1" applyAlignment="1">
      <alignment vertical="top" wrapText="1"/>
    </xf>
    <xf numFmtId="0" fontId="65" fillId="27" borderId="1" xfId="0" applyFont="1" applyFill="1" applyBorder="1" applyAlignment="1">
      <alignment vertical="top" wrapText="1"/>
    </xf>
    <xf numFmtId="0" fontId="66" fillId="0" borderId="0" xfId="0" applyFont="1">
      <alignment vertical="center"/>
    </xf>
    <xf numFmtId="0" fontId="67" fillId="16" borderId="1" xfId="0" applyFont="1" applyFill="1" applyBorder="1">
      <alignment vertical="center"/>
    </xf>
    <xf numFmtId="167" fontId="65" fillId="27" borderId="1" xfId="0" applyNumberFormat="1" applyFont="1" applyFill="1" applyBorder="1" applyAlignment="1">
      <alignment horizontal="left" vertical="top" wrapText="1"/>
    </xf>
    <xf numFmtId="167" fontId="54" fillId="0" borderId="1" xfId="8" applyNumberFormat="1" applyFont="1" applyBorder="1" applyAlignment="1">
      <alignment vertical="top" wrapText="1"/>
    </xf>
    <xf numFmtId="167" fontId="54" fillId="0" borderId="1" xfId="8" applyNumberFormat="1" applyFont="1" applyBorder="1" applyAlignment="1">
      <alignment horizontal="left" vertical="top" wrapText="1"/>
    </xf>
    <xf numFmtId="0" fontId="69" fillId="0" borderId="0" xfId="8" applyFont="1" applyAlignment="1">
      <alignment vertical="top" wrapText="1"/>
    </xf>
    <xf numFmtId="0" fontId="70" fillId="0" borderId="0" xfId="9" applyFont="1" applyBorder="1" applyAlignment="1">
      <alignment vertical="top" wrapText="1"/>
    </xf>
    <xf numFmtId="0" fontId="55" fillId="0" borderId="0" xfId="8" applyFont="1" applyAlignment="1">
      <alignment vertical="top" wrapText="1"/>
    </xf>
    <xf numFmtId="0" fontId="53" fillId="0" borderId="0" xfId="8" applyFont="1" applyAlignment="1">
      <alignment vertical="top" wrapText="1"/>
    </xf>
    <xf numFmtId="0" fontId="51" fillId="0" borderId="1" xfId="0" applyFont="1" applyBorder="1" applyAlignment="1">
      <alignment vertical="top" wrapText="1"/>
    </xf>
    <xf numFmtId="15" fontId="51" fillId="0" borderId="1" xfId="0" applyNumberFormat="1" applyFont="1" applyBorder="1" applyAlignment="1">
      <alignment horizontal="left" vertical="top" wrapText="1"/>
    </xf>
    <xf numFmtId="0" fontId="47" fillId="0" borderId="0" xfId="8" applyFont="1" applyAlignment="1">
      <alignment horizontal="left" wrapText="1"/>
    </xf>
    <xf numFmtId="0" fontId="71" fillId="0" borderId="0" xfId="8" applyFont="1" applyAlignment="1">
      <alignment horizontal="left" vertical="center" wrapText="1"/>
    </xf>
    <xf numFmtId="0" fontId="47" fillId="0" borderId="0" xfId="8" applyFont="1" applyAlignment="1">
      <alignment horizontal="left" wrapText="1"/>
    </xf>
    <xf numFmtId="0" fontId="0" fillId="0" borderId="23" xfId="0" applyBorder="1" applyAlignment="1">
      <alignment horizontal="center" vertical="center"/>
    </xf>
    <xf numFmtId="0" fontId="9" fillId="11" borderId="23" xfId="0" applyFont="1" applyFill="1" applyBorder="1" applyAlignment="1">
      <alignment horizontal="center" vertical="center"/>
    </xf>
    <xf numFmtId="0" fontId="9" fillId="0" borderId="23" xfId="0" applyFont="1" applyBorder="1" applyAlignment="1">
      <alignment horizontal="left" vertical="center" wrapText="1"/>
    </xf>
    <xf numFmtId="0" fontId="0" fillId="0" borderId="23" xfId="0" applyBorder="1" applyAlignment="1">
      <alignment horizontal="left" vertical="center" wrapText="1"/>
    </xf>
    <xf numFmtId="0" fontId="9" fillId="0" borderId="30" xfId="0" applyFont="1" applyBorder="1" applyAlignment="1">
      <alignment horizontal="left" vertical="center" wrapText="1"/>
    </xf>
    <xf numFmtId="0" fontId="9" fillId="0" borderId="31" xfId="0" applyFont="1" applyBorder="1" applyAlignment="1">
      <alignment horizontal="left" vertical="center" wrapText="1"/>
    </xf>
    <xf numFmtId="0" fontId="9" fillId="0" borderId="27" xfId="0" applyFont="1" applyBorder="1" applyAlignment="1">
      <alignment horizontal="left" vertical="center" wrapText="1"/>
    </xf>
    <xf numFmtId="0" fontId="0" fillId="0" borderId="31" xfId="0" applyBorder="1" applyAlignment="1">
      <alignment horizontal="left" vertical="center"/>
    </xf>
    <xf numFmtId="0" fontId="0" fillId="0" borderId="27" xfId="0" applyBorder="1" applyAlignment="1">
      <alignment horizontal="left" vertical="center"/>
    </xf>
    <xf numFmtId="0" fontId="37"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0" borderId="27" xfId="0" applyFont="1" applyBorder="1" applyAlignment="1">
      <alignment horizontal="left" vertical="center" wrapText="1"/>
    </xf>
    <xf numFmtId="0" fontId="29" fillId="0" borderId="0" xfId="0" applyFont="1" applyAlignment="1">
      <alignment horizontal="left" vertical="top" wrapText="1"/>
    </xf>
    <xf numFmtId="0" fontId="5" fillId="10" borderId="23" xfId="0" applyFont="1" applyFill="1" applyBorder="1" applyAlignment="1">
      <alignment horizontal="center" vertical="center" wrapText="1"/>
    </xf>
    <xf numFmtId="0" fontId="39" fillId="10" borderId="31" xfId="0" applyFont="1" applyFill="1" applyBorder="1" applyAlignment="1">
      <alignment horizontal="center" vertical="center" wrapText="1"/>
    </xf>
    <xf numFmtId="0" fontId="39" fillId="10" borderId="27" xfId="0" applyFont="1" applyFill="1" applyBorder="1" applyAlignment="1">
      <alignment horizontal="center" vertical="center" wrapText="1"/>
    </xf>
    <xf numFmtId="0" fontId="39" fillId="10" borderId="1" xfId="0" applyFont="1" applyFill="1" applyBorder="1" applyAlignment="1">
      <alignment horizontal="center" vertical="center" wrapText="1"/>
    </xf>
    <xf numFmtId="0" fontId="8" fillId="10" borderId="40" xfId="0" applyFont="1" applyFill="1" applyBorder="1" applyAlignment="1">
      <alignment horizontal="center" vertical="center" wrapText="1"/>
    </xf>
    <xf numFmtId="0" fontId="8" fillId="10" borderId="4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27"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5" fillId="0" borderId="1" xfId="0" applyFont="1" applyBorder="1" applyAlignment="1">
      <alignment horizontal="center" vertical="center"/>
    </xf>
    <xf numFmtId="0" fontId="6" fillId="0" borderId="1" xfId="0" applyFont="1" applyBorder="1" applyAlignment="1">
      <alignment horizontal="center" vertical="top" wrapText="1"/>
    </xf>
    <xf numFmtId="0" fontId="6" fillId="0" borderId="36" xfId="0" applyFont="1" applyBorder="1" applyAlignment="1">
      <alignment horizontal="center" vertical="top" wrapText="1"/>
    </xf>
    <xf numFmtId="0" fontId="6" fillId="0" borderId="39" xfId="0" applyFont="1" applyBorder="1" applyAlignment="1">
      <alignment horizontal="center" vertical="top" wrapText="1"/>
    </xf>
    <xf numFmtId="0" fontId="6" fillId="0" borderId="25" xfId="0" applyFont="1" applyBorder="1" applyAlignment="1">
      <alignment horizontal="center" vertical="top" wrapText="1"/>
    </xf>
    <xf numFmtId="0" fontId="59" fillId="0" borderId="0" xfId="0" applyFont="1" applyAlignment="1">
      <alignment horizontal="center" vertical="center"/>
    </xf>
    <xf numFmtId="0" fontId="0" fillId="0" borderId="0" xfId="0" applyAlignment="1">
      <alignment horizontal="center" vertical="center"/>
    </xf>
    <xf numFmtId="0" fontId="60" fillId="26" borderId="36" xfId="0" applyFont="1" applyFill="1" applyBorder="1" applyAlignment="1">
      <alignment horizontal="center" vertical="center" wrapText="1"/>
    </xf>
    <xf numFmtId="0" fontId="60" fillId="26" borderId="39" xfId="0" applyFont="1" applyFill="1" applyBorder="1" applyAlignment="1">
      <alignment horizontal="center" vertical="center" wrapText="1"/>
    </xf>
    <xf numFmtId="0" fontId="60" fillId="26" borderId="25" xfId="0" applyFont="1" applyFill="1" applyBorder="1" applyAlignment="1">
      <alignment horizontal="center" vertical="center" wrapText="1"/>
    </xf>
    <xf numFmtId="164" fontId="61" fillId="0" borderId="43" xfId="0" applyNumberFormat="1" applyFont="1" applyBorder="1" applyAlignment="1">
      <alignment horizontal="center" vertical="center"/>
    </xf>
    <xf numFmtId="164" fontId="61" fillId="0" borderId="44" xfId="0" applyNumberFormat="1" applyFont="1" applyBorder="1" applyAlignment="1">
      <alignment horizontal="center" vertical="center"/>
    </xf>
    <xf numFmtId="164" fontId="61" fillId="0" borderId="29" xfId="0" applyNumberFormat="1" applyFont="1" applyBorder="1" applyAlignment="1">
      <alignment horizontal="center" vertical="center"/>
    </xf>
    <xf numFmtId="164" fontId="61" fillId="0" borderId="49" xfId="0" applyNumberFormat="1" applyFont="1" applyBorder="1" applyAlignment="1">
      <alignment horizontal="center" vertical="center"/>
    </xf>
    <xf numFmtId="164" fontId="61" fillId="0" borderId="0" xfId="0" applyNumberFormat="1" applyFont="1" applyAlignment="1">
      <alignment horizontal="center" vertical="center"/>
    </xf>
    <xf numFmtId="164" fontId="61" fillId="0" borderId="50" xfId="0" applyNumberFormat="1" applyFont="1" applyBorder="1" applyAlignment="1">
      <alignment horizontal="center" vertical="center"/>
    </xf>
    <xf numFmtId="164" fontId="61" fillId="0" borderId="38" xfId="0" applyNumberFormat="1" applyFont="1" applyBorder="1" applyAlignment="1">
      <alignment horizontal="center" vertical="center"/>
    </xf>
    <xf numFmtId="164" fontId="61" fillId="0" borderId="8" xfId="0" applyNumberFormat="1" applyFont="1" applyBorder="1" applyAlignment="1">
      <alignment horizontal="center" vertical="center"/>
    </xf>
    <xf numFmtId="164" fontId="61" fillId="0" borderId="26" xfId="0" applyNumberFormat="1" applyFont="1" applyBorder="1" applyAlignment="1">
      <alignment horizontal="center" vertical="center"/>
    </xf>
    <xf numFmtId="164" fontId="34" fillId="21" borderId="1" xfId="0" applyNumberFormat="1" applyFont="1" applyFill="1" applyBorder="1" applyAlignment="1">
      <alignment horizontal="center" vertical="center"/>
    </xf>
    <xf numFmtId="0" fontId="5" fillId="25" borderId="1" xfId="0" applyFont="1" applyFill="1" applyBorder="1" applyAlignment="1">
      <alignment horizontal="center" vertical="center" wrapText="1"/>
    </xf>
    <xf numFmtId="0" fontId="0" fillId="0" borderId="43" xfId="0" applyBorder="1" applyAlignment="1">
      <alignment horizontal="center" vertical="center"/>
    </xf>
    <xf numFmtId="0" fontId="0" fillId="0" borderId="29"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38" xfId="0" applyBorder="1" applyAlignment="1">
      <alignment horizontal="center" vertical="center"/>
    </xf>
    <xf numFmtId="0" fontId="0" fillId="0" borderId="26" xfId="0"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10" xfId="0" applyFont="1" applyBorder="1" applyAlignment="1">
      <alignment horizontal="center" vertical="center"/>
    </xf>
    <xf numFmtId="164" fontId="34" fillId="14" borderId="9" xfId="0" applyNumberFormat="1" applyFont="1" applyFill="1" applyBorder="1" applyAlignment="1">
      <alignment horizontal="center" vertical="center"/>
    </xf>
    <xf numFmtId="164" fontId="34" fillId="14" borderId="22" xfId="0" applyNumberFormat="1" applyFont="1" applyFill="1" applyBorder="1" applyAlignment="1">
      <alignment horizontal="center" vertical="center"/>
    </xf>
    <xf numFmtId="164" fontId="30" fillId="22" borderId="36" xfId="0" applyNumberFormat="1" applyFont="1" applyFill="1" applyBorder="1" applyAlignment="1">
      <alignment horizontal="center" vertical="center"/>
    </xf>
    <xf numFmtId="164" fontId="30" fillId="22" borderId="39" xfId="0" applyNumberFormat="1" applyFont="1" applyFill="1" applyBorder="1" applyAlignment="1">
      <alignment horizontal="center" vertical="center"/>
    </xf>
    <xf numFmtId="164" fontId="30" fillId="22" borderId="25" xfId="0" applyNumberFormat="1" applyFont="1" applyFill="1" applyBorder="1" applyAlignment="1">
      <alignment horizontal="center" vertical="center"/>
    </xf>
    <xf numFmtId="164" fontId="34" fillId="24" borderId="9" xfId="0" applyNumberFormat="1" applyFont="1" applyFill="1" applyBorder="1" applyAlignment="1">
      <alignment horizontal="center" vertical="center"/>
    </xf>
    <xf numFmtId="164" fontId="34" fillId="24" borderId="22" xfId="0" applyNumberFormat="1" applyFont="1" applyFill="1" applyBorder="1" applyAlignment="1">
      <alignment horizontal="center" vertical="center"/>
    </xf>
    <xf numFmtId="164" fontId="34" fillId="12" borderId="9" xfId="0" applyNumberFormat="1" applyFont="1" applyFill="1" applyBorder="1" applyAlignment="1">
      <alignment horizontal="center" vertical="center"/>
    </xf>
    <xf numFmtId="164" fontId="34" fillId="12" borderId="22" xfId="0" applyNumberFormat="1" applyFont="1" applyFill="1" applyBorder="1" applyAlignment="1">
      <alignment horizontal="center" vertical="center"/>
    </xf>
    <xf numFmtId="164" fontId="34" fillId="13" borderId="9" xfId="0" applyNumberFormat="1" applyFont="1" applyFill="1" applyBorder="1" applyAlignment="1">
      <alignment horizontal="center" vertical="center"/>
    </xf>
    <xf numFmtId="164" fontId="34" fillId="13" borderId="22" xfId="0" applyNumberFormat="1" applyFont="1" applyFill="1" applyBorder="1" applyAlignment="1">
      <alignment horizontal="center" vertical="center"/>
    </xf>
    <xf numFmtId="9" fontId="31" fillId="23" borderId="10" xfId="0" applyNumberFormat="1" applyFont="1" applyFill="1" applyBorder="1" applyAlignment="1">
      <alignment horizontal="center" vertical="center"/>
    </xf>
    <xf numFmtId="0" fontId="31" fillId="23" borderId="1" xfId="0" applyFont="1" applyFill="1" applyBorder="1" applyAlignment="1">
      <alignment horizontal="center" vertical="center"/>
    </xf>
    <xf numFmtId="9" fontId="31" fillId="18" borderId="10" xfId="0" applyNumberFormat="1" applyFont="1" applyFill="1" applyBorder="1" applyAlignment="1">
      <alignment horizontal="center" vertical="center"/>
    </xf>
    <xf numFmtId="0" fontId="31" fillId="18" borderId="1" xfId="0" applyFont="1" applyFill="1" applyBorder="1" applyAlignment="1">
      <alignment horizontal="center" vertical="center"/>
    </xf>
    <xf numFmtId="9" fontId="31" fillId="17" borderId="9" xfId="0" applyNumberFormat="1" applyFont="1" applyFill="1" applyBorder="1" applyAlignment="1">
      <alignment horizontal="center" vertical="center"/>
    </xf>
    <xf numFmtId="9" fontId="31" fillId="17" borderId="37" xfId="0" applyNumberFormat="1" applyFont="1" applyFill="1" applyBorder="1" applyAlignment="1">
      <alignment horizontal="center" vertical="center"/>
    </xf>
    <xf numFmtId="9" fontId="31" fillId="17" borderId="10" xfId="0" applyNumberFormat="1" applyFont="1" applyFill="1" applyBorder="1" applyAlignment="1">
      <alignment horizontal="center" vertical="center"/>
    </xf>
    <xf numFmtId="9" fontId="31" fillId="18" borderId="9" xfId="0" applyNumberFormat="1" applyFont="1" applyFill="1" applyBorder="1" applyAlignment="1">
      <alignment horizontal="center" vertical="center" wrapText="1"/>
    </xf>
    <xf numFmtId="9" fontId="31" fillId="18" borderId="37" xfId="0" applyNumberFormat="1" applyFont="1" applyFill="1" applyBorder="1" applyAlignment="1">
      <alignment horizontal="center" vertical="center" wrapText="1"/>
    </xf>
    <xf numFmtId="9" fontId="31" fillId="18" borderId="10" xfId="0" applyNumberFormat="1" applyFont="1" applyFill="1" applyBorder="1" applyAlignment="1">
      <alignment horizontal="center" vertical="center" wrapText="1"/>
    </xf>
    <xf numFmtId="9" fontId="31" fillId="19" borderId="9" xfId="0" applyNumberFormat="1" applyFont="1" applyFill="1" applyBorder="1" applyAlignment="1">
      <alignment horizontal="center" vertical="center"/>
    </xf>
    <xf numFmtId="9" fontId="31" fillId="19" borderId="37" xfId="0" applyNumberFormat="1" applyFont="1" applyFill="1" applyBorder="1" applyAlignment="1">
      <alignment horizontal="center" vertical="center"/>
    </xf>
    <xf numFmtId="9" fontId="31" fillId="19" borderId="10" xfId="0" applyNumberFormat="1" applyFont="1" applyFill="1" applyBorder="1" applyAlignment="1">
      <alignment horizontal="center" vertical="center"/>
    </xf>
    <xf numFmtId="9" fontId="31" fillId="20" borderId="9" xfId="0" applyNumberFormat="1" applyFont="1" applyFill="1" applyBorder="1" applyAlignment="1">
      <alignment horizontal="center" vertical="center"/>
    </xf>
    <xf numFmtId="9" fontId="31" fillId="20" borderId="37" xfId="0" applyNumberFormat="1" applyFont="1" applyFill="1" applyBorder="1" applyAlignment="1">
      <alignment horizontal="center" vertical="center"/>
    </xf>
    <xf numFmtId="9" fontId="31" fillId="20" borderId="10" xfId="0" applyNumberFormat="1"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8"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7" xfId="0" applyFont="1" applyFill="1" applyBorder="1" applyAlignment="1">
      <alignment horizontal="center" vertical="center" wrapText="1"/>
    </xf>
    <xf numFmtId="164" fontId="34" fillId="22" borderId="9" xfId="0" applyNumberFormat="1" applyFont="1" applyFill="1" applyBorder="1" applyAlignment="1">
      <alignment horizontal="center" vertical="center"/>
    </xf>
    <xf numFmtId="164" fontId="34" fillId="22" borderId="22" xfId="0" applyNumberFormat="1" applyFont="1" applyFill="1" applyBorder="1" applyAlignment="1">
      <alignment horizontal="center" vertical="center"/>
    </xf>
    <xf numFmtId="0" fontId="31" fillId="5" borderId="1" xfId="0" applyFont="1" applyFill="1" applyBorder="1" applyAlignment="1">
      <alignment horizontal="center" vertical="center"/>
    </xf>
    <xf numFmtId="9" fontId="31" fillId="5" borderId="1" xfId="0" applyNumberFormat="1" applyFont="1" applyFill="1" applyBorder="1" applyAlignment="1">
      <alignment horizontal="center" vertical="center" wrapText="1"/>
    </xf>
    <xf numFmtId="0" fontId="31" fillId="5" borderId="1" xfId="0" applyFont="1" applyFill="1" applyBorder="1" applyAlignment="1">
      <alignment horizontal="center" vertical="center" wrapText="1"/>
    </xf>
    <xf numFmtId="0" fontId="31" fillId="5" borderId="18" xfId="0" applyFont="1" applyFill="1" applyBorder="1" applyAlignment="1">
      <alignment horizontal="center" vertical="center"/>
    </xf>
    <xf numFmtId="0" fontId="31" fillId="5" borderId="5" xfId="0" applyFont="1" applyFill="1" applyBorder="1" applyAlignment="1">
      <alignment horizontal="center" vertical="center"/>
    </xf>
    <xf numFmtId="0" fontId="31" fillId="5" borderId="17" xfId="0" applyFont="1" applyFill="1" applyBorder="1" applyAlignment="1">
      <alignment horizontal="center" vertical="center"/>
    </xf>
    <xf numFmtId="0" fontId="31" fillId="5" borderId="36" xfId="0" applyFont="1" applyFill="1" applyBorder="1" applyAlignment="1">
      <alignment horizontal="center" vertical="center" wrapText="1"/>
    </xf>
    <xf numFmtId="0" fontId="31" fillId="5" borderId="39" xfId="0" applyFont="1" applyFill="1" applyBorder="1" applyAlignment="1">
      <alignment horizontal="center" vertical="center" wrapText="1"/>
    </xf>
    <xf numFmtId="0" fontId="31" fillId="5" borderId="25" xfId="0" applyFont="1" applyFill="1" applyBorder="1" applyAlignment="1">
      <alignment horizontal="center" vertical="center" wrapText="1"/>
    </xf>
    <xf numFmtId="9" fontId="31" fillId="5" borderId="10" xfId="0" applyNumberFormat="1" applyFont="1" applyFill="1" applyBorder="1" applyAlignment="1">
      <alignment horizontal="center" vertical="center"/>
    </xf>
    <xf numFmtId="0" fontId="31" fillId="17" borderId="1" xfId="0" applyFont="1" applyFill="1" applyBorder="1" applyAlignment="1">
      <alignment horizontal="center" vertical="center"/>
    </xf>
    <xf numFmtId="0" fontId="31" fillId="20" borderId="1" xfId="0" applyFont="1" applyFill="1" applyBorder="1" applyAlignment="1">
      <alignment horizontal="center" vertical="center"/>
    </xf>
    <xf numFmtId="0" fontId="31" fillId="0" borderId="43" xfId="0" applyFont="1" applyBorder="1" applyAlignment="1">
      <alignment horizontal="center" vertical="center"/>
    </xf>
    <xf numFmtId="0" fontId="31" fillId="0" borderId="44" xfId="0" applyFont="1" applyBorder="1" applyAlignment="1">
      <alignment horizontal="center" vertical="center"/>
    </xf>
    <xf numFmtId="0" fontId="31" fillId="0" borderId="29" xfId="0" applyFont="1" applyBorder="1" applyAlignment="1">
      <alignment horizontal="center" vertical="center"/>
    </xf>
    <xf numFmtId="0" fontId="31" fillId="0" borderId="38" xfId="0" applyFont="1" applyBorder="1" applyAlignment="1">
      <alignment horizontal="center" vertical="center"/>
    </xf>
    <xf numFmtId="0" fontId="31" fillId="0" borderId="8" xfId="0" applyFont="1" applyBorder="1" applyAlignment="1">
      <alignment horizontal="center" vertical="center"/>
    </xf>
    <xf numFmtId="0" fontId="31" fillId="0" borderId="26" xfId="0" applyFont="1" applyBorder="1" applyAlignment="1">
      <alignment horizontal="center" vertical="center"/>
    </xf>
    <xf numFmtId="9" fontId="31" fillId="24" borderId="9" xfId="0" applyNumberFormat="1" applyFont="1" applyFill="1" applyBorder="1" applyAlignment="1">
      <alignment horizontal="center" vertical="center" wrapText="1"/>
    </xf>
    <xf numFmtId="9" fontId="31" fillId="24" borderId="37" xfId="0" applyNumberFormat="1" applyFont="1" applyFill="1" applyBorder="1" applyAlignment="1">
      <alignment horizontal="center" vertical="center" wrapText="1"/>
    </xf>
    <xf numFmtId="9" fontId="31" fillId="24" borderId="10" xfId="0" applyNumberFormat="1" applyFont="1" applyFill="1" applyBorder="1" applyAlignment="1">
      <alignment horizontal="center" vertical="center" wrapText="1"/>
    </xf>
    <xf numFmtId="9" fontId="31" fillId="12" borderId="9" xfId="0" applyNumberFormat="1" applyFont="1" applyFill="1" applyBorder="1" applyAlignment="1">
      <alignment horizontal="center" vertical="center"/>
    </xf>
    <xf numFmtId="9" fontId="31" fillId="12" borderId="37" xfId="0" applyNumberFormat="1" applyFont="1" applyFill="1" applyBorder="1" applyAlignment="1">
      <alignment horizontal="center" vertical="center"/>
    </xf>
    <xf numFmtId="9" fontId="31" fillId="12" borderId="10" xfId="0" applyNumberFormat="1" applyFont="1" applyFill="1" applyBorder="1" applyAlignment="1">
      <alignment horizontal="center" vertical="center"/>
    </xf>
    <xf numFmtId="9" fontId="31" fillId="24" borderId="9" xfId="0" applyNumberFormat="1" applyFont="1" applyFill="1" applyBorder="1" applyAlignment="1">
      <alignment horizontal="center" vertical="center"/>
    </xf>
    <xf numFmtId="9" fontId="31" fillId="24" borderId="37" xfId="0" applyNumberFormat="1" applyFont="1" applyFill="1" applyBorder="1" applyAlignment="1">
      <alignment horizontal="center" vertical="center"/>
    </xf>
    <xf numFmtId="9" fontId="31" fillId="24" borderId="10" xfId="0" applyNumberFormat="1" applyFont="1" applyFill="1" applyBorder="1" applyAlignment="1">
      <alignment horizontal="center" vertical="center"/>
    </xf>
    <xf numFmtId="0" fontId="31" fillId="24" borderId="1" xfId="0" applyFont="1" applyFill="1" applyBorder="1" applyAlignment="1">
      <alignment horizontal="center" vertical="center"/>
    </xf>
    <xf numFmtId="0" fontId="8" fillId="2" borderId="2" xfId="0" applyFont="1" applyFill="1" applyBorder="1" applyAlignment="1">
      <alignment horizontal="center" vertical="center" wrapText="1"/>
    </xf>
    <xf numFmtId="0" fontId="32" fillId="0" borderId="9" xfId="0" applyFont="1" applyBorder="1" applyAlignment="1">
      <alignment horizontal="left" vertical="center" wrapText="1"/>
    </xf>
    <xf numFmtId="0" fontId="8" fillId="2" borderId="3"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3" fillId="0" borderId="11"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3" xfId="0" applyFont="1" applyBorder="1" applyAlignment="1">
      <alignment horizontal="center" vertical="center" wrapText="1"/>
    </xf>
    <xf numFmtId="0" fontId="14" fillId="15" borderId="1" xfId="7" applyFont="1" applyFill="1" applyBorder="1" applyAlignment="1">
      <alignment horizontal="center" vertical="center" wrapText="1"/>
    </xf>
    <xf numFmtId="0" fontId="21" fillId="16" borderId="1" xfId="7" applyFont="1" applyFill="1" applyBorder="1" applyAlignment="1">
      <alignment horizontal="center" vertical="center" wrapText="1"/>
    </xf>
    <xf numFmtId="0" fontId="16" fillId="15" borderId="9" xfId="0" applyFont="1" applyFill="1" applyBorder="1" applyAlignment="1">
      <alignment horizontal="center" vertical="center" wrapText="1"/>
    </xf>
    <xf numFmtId="0" fontId="16" fillId="15" borderId="37" xfId="0" applyFont="1" applyFill="1" applyBorder="1" applyAlignment="1">
      <alignment horizontal="center" vertical="center" wrapText="1"/>
    </xf>
    <xf numFmtId="0" fontId="16" fillId="15" borderId="10" xfId="0" applyFont="1" applyFill="1" applyBorder="1" applyAlignment="1">
      <alignment horizontal="center" vertical="center" wrapText="1"/>
    </xf>
    <xf numFmtId="0" fontId="14" fillId="15" borderId="32" xfId="7" applyFont="1" applyFill="1" applyBorder="1" applyAlignment="1">
      <alignment horizontal="left" vertical="center" wrapText="1"/>
    </xf>
    <xf numFmtId="0" fontId="14" fillId="15" borderId="33" xfId="7" applyFont="1" applyFill="1" applyBorder="1" applyAlignment="1">
      <alignment horizontal="left" vertical="center" wrapText="1"/>
    </xf>
    <xf numFmtId="0" fontId="14" fillId="15" borderId="34" xfId="7" applyFont="1" applyFill="1" applyBorder="1" applyAlignment="1">
      <alignment horizontal="left" vertical="center" wrapText="1"/>
    </xf>
    <xf numFmtId="0" fontId="14" fillId="15" borderId="35" xfId="7" applyFont="1" applyFill="1" applyBorder="1" applyAlignment="1">
      <alignment horizontal="left" vertical="center" wrapText="1"/>
    </xf>
    <xf numFmtId="0" fontId="14" fillId="15" borderId="36" xfId="7" applyFont="1" applyFill="1" applyBorder="1" applyAlignment="1">
      <alignment horizontal="center" vertical="center" wrapText="1"/>
    </xf>
    <xf numFmtId="0" fontId="14" fillId="15" borderId="39" xfId="7" applyFont="1" applyFill="1" applyBorder="1" applyAlignment="1">
      <alignment horizontal="center" vertical="center" wrapText="1"/>
    </xf>
    <xf numFmtId="0" fontId="14" fillId="15" borderId="25" xfId="7" applyFont="1" applyFill="1" applyBorder="1" applyAlignment="1">
      <alignment horizontal="center" vertical="center" wrapText="1"/>
    </xf>
    <xf numFmtId="0" fontId="62" fillId="0" borderId="0" xfId="5" applyFont="1" applyAlignment="1">
      <alignment vertical="top" wrapText="1"/>
    </xf>
    <xf numFmtId="0" fontId="46" fillId="0" borderId="0" xfId="5" applyFont="1"/>
    <xf numFmtId="0" fontId="50" fillId="0" borderId="0" xfId="5" applyFont="1" applyAlignment="1">
      <alignment horizontal="left" vertical="top" wrapText="1"/>
    </xf>
    <xf numFmtId="0" fontId="63" fillId="0" borderId="0" xfId="5" applyFont="1" applyAlignment="1">
      <alignment horizontal="left" vertical="top" wrapText="1"/>
    </xf>
    <xf numFmtId="0" fontId="46" fillId="0" borderId="0" xfId="5" applyFont="1" applyAlignment="1">
      <alignment horizontal="left"/>
    </xf>
    <xf numFmtId="0" fontId="68" fillId="0" borderId="0" xfId="6" applyFont="1" applyAlignment="1">
      <alignment horizontal="left" wrapText="1"/>
    </xf>
    <xf numFmtId="0" fontId="49" fillId="0" borderId="47" xfId="10" applyFont="1" applyBorder="1" applyAlignment="1">
      <alignment horizontal="left" vertical="top" wrapText="1"/>
    </xf>
    <xf numFmtId="0" fontId="49" fillId="0" borderId="48" xfId="10" applyFont="1" applyBorder="1" applyAlignment="1">
      <alignment horizontal="left" vertical="top" wrapText="1"/>
    </xf>
    <xf numFmtId="0" fontId="51" fillId="0" borderId="0" xfId="0" applyFont="1" applyBorder="1" applyAlignment="1">
      <alignment vertical="top" wrapText="1"/>
    </xf>
    <xf numFmtId="15" fontId="51" fillId="0" borderId="0" xfId="0" applyNumberFormat="1" applyFont="1" applyBorder="1" applyAlignment="1">
      <alignment horizontal="left" vertical="top" wrapText="1"/>
    </xf>
    <xf numFmtId="0" fontId="65" fillId="27" borderId="0" xfId="0" applyFont="1" applyFill="1" applyBorder="1" applyAlignment="1">
      <alignment vertical="top" wrapText="1"/>
    </xf>
    <xf numFmtId="0" fontId="72" fillId="0" borderId="0" xfId="0" applyFont="1">
      <alignment vertical="center"/>
    </xf>
    <xf numFmtId="0" fontId="73" fillId="0" borderId="0" xfId="0" applyFont="1">
      <alignment vertical="center"/>
    </xf>
    <xf numFmtId="0" fontId="64" fillId="16" borderId="1" xfId="5" applyFont="1" applyFill="1" applyBorder="1" applyAlignment="1">
      <alignment horizontal="left" vertical="top" wrapText="1"/>
    </xf>
  </cellXfs>
  <cellStyles count="11">
    <cellStyle name="Hyperlink 2" xfId="9" xr:uid="{B7B76731-89FC-477D-8EA2-7BC19A4749C4}"/>
    <cellStyle name="Normal" xfId="0" builtinId="0"/>
    <cellStyle name="Normal 10" xfId="4" xr:uid="{00000000-0005-0000-0000-00000D000000}"/>
    <cellStyle name="Normal 2" xfId="6" xr:uid="{00000000-0005-0000-0000-000031000000}"/>
    <cellStyle name="Normal 2 2" xfId="2" xr:uid="{00000000-0005-0000-0000-000002000000}"/>
    <cellStyle name="Normal 21" xfId="1" xr:uid="{00000000-0005-0000-0000-000001000000}"/>
    <cellStyle name="Normal 3" xfId="5" xr:uid="{00000000-0005-0000-0000-00001F000000}"/>
    <cellStyle name="Normal 3 2" xfId="8" xr:uid="{D2ED432A-326E-49EB-8822-5934D17564E7}"/>
    <cellStyle name="Normal 3 3" xfId="10" xr:uid="{22991C98-1170-42DF-8820-25FFFB061DCF}"/>
    <cellStyle name="Percent" xfId="3" builtinId="5"/>
    <cellStyle name="常规 2" xfId="7" xr:uid="{E4C7AC98-0DFC-4A30-ACE4-D9720D887D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3098165</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EC59CB31-1751-4C9F-8F0A-5AE2A0E6D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755" y="19050"/>
          <a:ext cx="1034415" cy="943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6648450</xdr:colOff>
      <xdr:row>0</xdr:row>
      <xdr:rowOff>0</xdr:rowOff>
    </xdr:from>
    <xdr:to>
      <xdr:col>0</xdr:col>
      <xdr:colOff>7613015</xdr:colOff>
      <xdr:row>10</xdr:row>
      <xdr:rowOff>31115</xdr:rowOff>
    </xdr:to>
    <xdr:pic>
      <xdr:nvPicPr>
        <xdr:cNvPr id="2" name="Picture 1" descr="A black background with red and blue text&#10;&#10;AI-generated content may be incorrect.">
          <a:extLst>
            <a:ext uri="{FF2B5EF4-FFF2-40B4-BE49-F238E27FC236}">
              <a16:creationId xmlns:a16="http://schemas.microsoft.com/office/drawing/2014/main" id="{BFD63E2E-519F-4979-AC79-9EA9D7D96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0"/>
          <a:ext cx="964565" cy="935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504825</xdr:colOff>
      <xdr:row>0</xdr:row>
      <xdr:rowOff>0</xdr:rowOff>
    </xdr:from>
    <xdr:to>
      <xdr:col>3</xdr:col>
      <xdr:colOff>1904588</xdr:colOff>
      <xdr:row>6</xdr:row>
      <xdr:rowOff>266700</xdr:rowOff>
    </xdr:to>
    <xdr:pic>
      <xdr:nvPicPr>
        <xdr:cNvPr id="2" name="Picture 1" descr="A black background with red and blue text&#10;&#10;AI-generated content may be incorrect.">
          <a:extLst>
            <a:ext uri="{FF2B5EF4-FFF2-40B4-BE49-F238E27FC236}">
              <a16:creationId xmlns:a16="http://schemas.microsoft.com/office/drawing/2014/main" id="{36458E23-86A2-444F-BA18-3F01F8D1A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81475" y="0"/>
          <a:ext cx="1399763" cy="904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1115060</xdr:colOff>
      <xdr:row>4</xdr:row>
      <xdr:rowOff>173990</xdr:rowOff>
    </xdr:to>
    <xdr:pic>
      <xdr:nvPicPr>
        <xdr:cNvPr id="2" name="Picture 1" descr="A black background with red and blue text&#10;&#10;AI-generated content may be incorrect.">
          <a:extLst>
            <a:ext uri="{FF2B5EF4-FFF2-40B4-BE49-F238E27FC236}">
              <a16:creationId xmlns:a16="http://schemas.microsoft.com/office/drawing/2014/main" id="{361A36DE-F3CB-4DE0-AE7F-3770BBCFEC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81525" y="0"/>
          <a:ext cx="1115060" cy="9359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84BF-2A1C-4619-A097-782C971E3638}">
  <dimension ref="A1:Z1003"/>
  <sheetViews>
    <sheetView workbookViewId="0">
      <selection activeCell="A32" sqref="A32"/>
    </sheetView>
  </sheetViews>
  <sheetFormatPr defaultColWidth="12.5703125" defaultRowHeight="15" customHeight="1"/>
  <cols>
    <col min="1" max="1" width="66" style="83" customWidth="1"/>
    <col min="2" max="2" width="50.5703125" style="83" customWidth="1"/>
    <col min="3" max="26" width="7.7109375" style="83" customWidth="1"/>
    <col min="27" max="16384" width="12.5703125" style="83"/>
  </cols>
  <sheetData>
    <row r="1" spans="1:26" ht="12.75" customHeight="1">
      <c r="A1" s="82"/>
      <c r="B1" s="82"/>
      <c r="C1" s="82"/>
      <c r="D1" s="82"/>
      <c r="E1" s="82"/>
      <c r="F1" s="82"/>
      <c r="G1" s="82"/>
      <c r="H1" s="82"/>
      <c r="I1" s="82"/>
      <c r="J1" s="82"/>
      <c r="K1" s="82"/>
      <c r="L1" s="82"/>
      <c r="M1" s="82"/>
      <c r="N1" s="82"/>
      <c r="O1" s="82"/>
      <c r="P1" s="82"/>
      <c r="Q1" s="82"/>
      <c r="R1" s="82"/>
      <c r="S1" s="82"/>
      <c r="T1" s="82"/>
      <c r="U1" s="82"/>
      <c r="V1" s="82"/>
      <c r="W1" s="82"/>
      <c r="X1" s="82"/>
      <c r="Y1" s="82"/>
      <c r="Z1" s="82"/>
    </row>
    <row r="2" spans="1:26" ht="12.75" customHeight="1">
      <c r="A2" s="82"/>
      <c r="B2" s="82"/>
      <c r="C2" s="82"/>
      <c r="D2" s="82"/>
      <c r="E2" s="82"/>
      <c r="F2" s="82"/>
      <c r="G2" s="82"/>
      <c r="H2" s="82"/>
      <c r="I2" s="82"/>
      <c r="J2" s="82"/>
      <c r="K2" s="82"/>
      <c r="L2" s="82"/>
      <c r="M2" s="82"/>
      <c r="N2" s="82"/>
      <c r="O2" s="82"/>
      <c r="P2" s="82"/>
      <c r="Q2" s="82"/>
      <c r="R2" s="82"/>
      <c r="S2" s="82"/>
      <c r="T2" s="82"/>
      <c r="U2" s="82"/>
      <c r="V2" s="82"/>
      <c r="W2" s="82"/>
      <c r="X2" s="82"/>
      <c r="Y2" s="82"/>
      <c r="Z2" s="82"/>
    </row>
    <row r="3" spans="1:26" ht="12.75" customHeight="1">
      <c r="A3" s="82"/>
      <c r="B3" s="82"/>
      <c r="C3" s="82"/>
      <c r="D3" s="82"/>
      <c r="E3" s="82"/>
      <c r="F3" s="82"/>
      <c r="G3" s="82"/>
      <c r="H3" s="82"/>
      <c r="I3" s="82"/>
      <c r="J3" s="82"/>
      <c r="K3" s="82"/>
      <c r="L3" s="82"/>
      <c r="M3" s="82"/>
      <c r="N3" s="82"/>
      <c r="O3" s="82"/>
      <c r="P3" s="82"/>
      <c r="Q3" s="82"/>
      <c r="R3" s="82"/>
      <c r="S3" s="82"/>
      <c r="T3" s="82"/>
      <c r="U3" s="82"/>
      <c r="V3" s="82"/>
      <c r="W3" s="82"/>
      <c r="X3" s="82"/>
      <c r="Y3" s="82"/>
      <c r="Z3" s="82"/>
    </row>
    <row r="4" spans="1:26" ht="12.75">
      <c r="B4" s="82"/>
      <c r="C4" s="82"/>
      <c r="D4" s="82"/>
      <c r="E4" s="82"/>
      <c r="F4" s="82"/>
      <c r="G4" s="82"/>
      <c r="H4" s="82"/>
      <c r="I4" s="82"/>
      <c r="J4" s="82"/>
      <c r="K4" s="82"/>
      <c r="L4" s="82"/>
      <c r="M4" s="82"/>
      <c r="N4" s="82"/>
      <c r="O4" s="82"/>
      <c r="P4" s="82"/>
      <c r="Q4" s="82"/>
      <c r="R4" s="82"/>
      <c r="S4" s="82"/>
      <c r="T4" s="82"/>
      <c r="U4" s="82"/>
      <c r="V4" s="82"/>
      <c r="W4" s="82"/>
      <c r="X4" s="82"/>
      <c r="Y4" s="82"/>
      <c r="Z4" s="82"/>
    </row>
    <row r="5" spans="1:26" ht="12" customHeight="1">
      <c r="A5" s="84"/>
      <c r="B5" s="82"/>
      <c r="C5" s="82"/>
      <c r="D5" s="82"/>
      <c r="E5" s="82"/>
      <c r="F5" s="82"/>
      <c r="G5" s="82"/>
      <c r="H5" s="82"/>
      <c r="I5" s="82"/>
      <c r="J5" s="82"/>
      <c r="K5" s="82"/>
      <c r="L5" s="82"/>
      <c r="M5" s="82"/>
      <c r="N5" s="82"/>
      <c r="O5" s="82"/>
      <c r="P5" s="82"/>
      <c r="Q5" s="82"/>
      <c r="R5" s="82"/>
      <c r="S5" s="82"/>
      <c r="T5" s="82"/>
      <c r="U5" s="82"/>
      <c r="V5" s="82"/>
      <c r="W5" s="82"/>
      <c r="X5" s="82"/>
      <c r="Y5" s="82"/>
      <c r="Z5" s="82"/>
    </row>
    <row r="6" spans="1:26" ht="15.75" customHeight="1">
      <c r="A6" s="84"/>
      <c r="B6" s="82"/>
      <c r="C6" s="82"/>
      <c r="D6" s="82"/>
      <c r="E6" s="82"/>
      <c r="F6" s="82"/>
      <c r="G6" s="82"/>
      <c r="H6" s="82"/>
      <c r="I6" s="82"/>
      <c r="J6" s="82"/>
      <c r="K6" s="82"/>
      <c r="L6" s="82"/>
      <c r="M6" s="82"/>
      <c r="N6" s="82"/>
      <c r="O6" s="82"/>
      <c r="P6" s="82"/>
      <c r="Q6" s="82"/>
      <c r="R6" s="82"/>
      <c r="S6" s="82"/>
      <c r="T6" s="82"/>
      <c r="U6" s="82"/>
      <c r="V6" s="82"/>
      <c r="W6" s="82"/>
      <c r="X6" s="82"/>
      <c r="Y6" s="82"/>
      <c r="Z6" s="82"/>
    </row>
    <row r="7" spans="1:26" s="86" customFormat="1" ht="63" customHeight="1">
      <c r="A7" s="148" t="s">
        <v>0</v>
      </c>
      <c r="B7" s="148"/>
      <c r="C7" s="85"/>
      <c r="D7" s="85"/>
      <c r="E7" s="85"/>
      <c r="F7" s="85"/>
      <c r="G7" s="85"/>
      <c r="H7" s="85"/>
      <c r="I7" s="85"/>
      <c r="J7" s="85"/>
      <c r="K7" s="85"/>
      <c r="L7" s="85"/>
      <c r="M7" s="85"/>
      <c r="N7" s="85"/>
      <c r="O7" s="85"/>
      <c r="P7" s="85"/>
      <c r="Q7" s="85"/>
      <c r="R7" s="85"/>
      <c r="S7" s="85"/>
      <c r="T7" s="85"/>
      <c r="U7" s="85"/>
      <c r="V7" s="85"/>
      <c r="W7" s="85"/>
      <c r="X7" s="85"/>
      <c r="Y7" s="85"/>
      <c r="Z7" s="85"/>
    </row>
    <row r="8" spans="1:26" s="86" customFormat="1" ht="80.45" customHeight="1">
      <c r="A8" s="149" t="s">
        <v>1</v>
      </c>
      <c r="B8" s="149"/>
      <c r="C8" s="85"/>
      <c r="D8" s="85"/>
      <c r="E8" s="85"/>
      <c r="F8" s="85"/>
      <c r="G8" s="85"/>
      <c r="H8" s="85"/>
      <c r="I8" s="85"/>
      <c r="J8" s="85"/>
      <c r="K8" s="85"/>
      <c r="L8" s="85"/>
      <c r="M8" s="85"/>
      <c r="N8" s="85"/>
      <c r="O8" s="85"/>
      <c r="P8" s="85"/>
      <c r="Q8" s="85"/>
      <c r="R8" s="85"/>
      <c r="S8" s="85"/>
      <c r="T8" s="85"/>
      <c r="U8" s="85"/>
      <c r="V8" s="85"/>
      <c r="W8" s="85"/>
      <c r="X8" s="85"/>
      <c r="Y8" s="85"/>
      <c r="Z8" s="85"/>
    </row>
    <row r="9" spans="1:26" s="86" customFormat="1" ht="14.1" customHeight="1">
      <c r="A9" s="147"/>
      <c r="B9" s="147"/>
      <c r="C9" s="85"/>
      <c r="D9" s="85"/>
      <c r="E9" s="85"/>
      <c r="F9" s="85"/>
      <c r="G9" s="85"/>
      <c r="H9" s="85"/>
      <c r="I9" s="85"/>
      <c r="J9" s="85"/>
      <c r="K9" s="85"/>
      <c r="L9" s="85"/>
      <c r="M9" s="85"/>
      <c r="N9" s="85"/>
      <c r="O9" s="85"/>
      <c r="P9" s="85"/>
      <c r="Q9" s="85"/>
      <c r="R9" s="85"/>
      <c r="S9" s="85"/>
      <c r="T9" s="85"/>
      <c r="U9" s="85"/>
      <c r="V9" s="85"/>
      <c r="W9" s="85"/>
      <c r="X9" s="85"/>
      <c r="Y9" s="85"/>
      <c r="Z9" s="85"/>
    </row>
    <row r="10" spans="1:26" s="86" customFormat="1" ht="14.1" customHeight="1">
      <c r="A10" s="147"/>
      <c r="B10" s="147"/>
      <c r="C10" s="85"/>
      <c r="D10" s="85"/>
      <c r="E10" s="85"/>
      <c r="F10" s="85"/>
      <c r="G10" s="85"/>
      <c r="H10" s="85"/>
      <c r="I10" s="85"/>
      <c r="J10" s="85"/>
      <c r="K10" s="85"/>
      <c r="L10" s="85"/>
      <c r="M10" s="85"/>
      <c r="N10" s="85"/>
      <c r="O10" s="85"/>
      <c r="P10" s="85"/>
      <c r="Q10" s="85"/>
      <c r="R10" s="85"/>
      <c r="S10" s="85"/>
      <c r="T10" s="85"/>
      <c r="U10" s="85"/>
      <c r="V10" s="85"/>
      <c r="W10" s="85"/>
      <c r="X10" s="85"/>
      <c r="Y10" s="85"/>
      <c r="Z10" s="85"/>
    </row>
    <row r="11" spans="1:26" s="86" customFormat="1" ht="14.1" customHeight="1">
      <c r="A11" s="147"/>
      <c r="B11" s="147"/>
      <c r="C11" s="85"/>
      <c r="D11" s="85"/>
      <c r="E11" s="85"/>
      <c r="F11" s="85"/>
      <c r="G11" s="85"/>
      <c r="H11" s="85"/>
      <c r="I11" s="85"/>
      <c r="J11" s="85"/>
      <c r="K11" s="85"/>
      <c r="L11" s="85"/>
      <c r="M11" s="85"/>
      <c r="N11" s="85"/>
      <c r="O11" s="85"/>
      <c r="P11" s="85"/>
      <c r="Q11" s="85"/>
      <c r="R11" s="85"/>
      <c r="S11" s="85"/>
      <c r="T11" s="85"/>
      <c r="U11" s="85"/>
      <c r="V11" s="85"/>
      <c r="W11" s="85"/>
      <c r="X11" s="85"/>
      <c r="Y11" s="85"/>
      <c r="Z11" s="85"/>
    </row>
    <row r="12" spans="1:26" s="86" customFormat="1" ht="14.1" customHeight="1">
      <c r="A12" s="147"/>
      <c r="B12" s="147"/>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s="86" customFormat="1" ht="14.1" customHeight="1">
      <c r="A13" s="147"/>
      <c r="B13" s="147"/>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s="86" customFormat="1" ht="12.75" customHeight="1">
      <c r="A14" s="87"/>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s="86" customFormat="1" ht="12.75" customHeight="1">
      <c r="A15" s="87"/>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spans="1:26" s="86" customFormat="1" ht="14.1" customHeight="1">
      <c r="A16" s="87"/>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spans="1:26" s="86" customFormat="1" ht="14.25" customHeight="1">
      <c r="A17" s="87"/>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spans="1:26" s="86" customFormat="1" ht="12" customHeight="1">
      <c r="A18" s="87"/>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s="86" customFormat="1" ht="24">
      <c r="A19" s="87" t="s">
        <v>189</v>
      </c>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s="86" customFormat="1" ht="11.25" customHeight="1" thickBot="1">
      <c r="A20" s="87"/>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s="86" customFormat="1" ht="19.5" thickBot="1">
      <c r="A21" s="88" t="s">
        <v>190</v>
      </c>
      <c r="B21" s="89" t="s">
        <v>311</v>
      </c>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s="86" customFormat="1" ht="21.75" customHeight="1" thickBot="1">
      <c r="A22" s="293" t="s">
        <v>312</v>
      </c>
      <c r="B22" s="294" t="s">
        <v>313</v>
      </c>
      <c r="C22" s="85"/>
      <c r="D22" s="85"/>
      <c r="E22" s="85"/>
      <c r="F22" s="85"/>
      <c r="G22" s="85"/>
      <c r="H22" s="85"/>
      <c r="I22" s="85"/>
      <c r="J22" s="85"/>
      <c r="K22" s="85"/>
      <c r="L22" s="85"/>
      <c r="M22" s="85"/>
      <c r="N22" s="85"/>
      <c r="O22" s="85"/>
      <c r="P22" s="85"/>
      <c r="Q22" s="85"/>
      <c r="R22" s="85"/>
      <c r="S22" s="85"/>
      <c r="T22" s="85"/>
      <c r="U22" s="85"/>
      <c r="V22" s="85"/>
      <c r="W22" s="85"/>
      <c r="X22" s="85"/>
      <c r="Y22" s="85"/>
      <c r="Z22" s="85"/>
    </row>
    <row r="23" spans="1:26" s="86" customFormat="1" ht="19.5" thickBot="1">
      <c r="A23" s="90" t="s">
        <v>305</v>
      </c>
      <c r="B23" s="91" t="s">
        <v>188</v>
      </c>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s="86" customFormat="1" ht="13.5">
      <c r="A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s="86" customFormat="1" ht="6.75" customHeight="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s="86" customFormat="1" ht="12.75" customHeight="1">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spans="1:26" s="86" customFormat="1" ht="12.75" customHeight="1">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s="86" customFormat="1" ht="12.75"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2.7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spans="1:26" ht="12.7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spans="1:26" ht="12.75" customHeight="1">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spans="1:26" ht="12.75" customHeight="1">
      <c r="A32" s="92" t="s">
        <v>304</v>
      </c>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spans="1:26" ht="12.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2.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spans="1:26" ht="12.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spans="1:26" ht="12.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spans="1:26" ht="12.75" customHeight="1">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spans="1:26" ht="12.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spans="1:26" ht="12.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2.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2.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2.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2.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spans="1:26" ht="12.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spans="1:26" ht="12.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spans="1:26" ht="12.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spans="1:26" ht="12.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2.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2.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spans="1:26" ht="12.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spans="1:26" ht="12.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spans="1:26" ht="12.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2.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2.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2.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ht="12.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2.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2.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2.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2.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2.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spans="1:26" ht="12.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spans="1:26" ht="12.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2.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2.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2.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2.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2.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spans="1:26" ht="12.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ht="12.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2.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2.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ht="12.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spans="1:26" ht="12.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ht="12.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ht="12.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ht="12.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spans="1:26" ht="12.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ht="12.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ht="12.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spans="1:26" ht="12.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spans="1:26" ht="12.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spans="1:26" ht="12.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spans="1:26" ht="12.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spans="1:26" ht="12.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26" ht="12.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spans="1:26" ht="12.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spans="1:26" ht="12.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spans="1:26" ht="12.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spans="1:26" ht="12.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spans="1:26" ht="12.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spans="1:26" ht="12.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spans="1:26" ht="12.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spans="1:26" ht="12.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spans="1:26" ht="12.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spans="1:26" ht="12.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spans="1:26" ht="12.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spans="1:26" ht="12.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spans="1:26" ht="12.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spans="1:26" ht="12.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spans="1:26" ht="12.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spans="1:26" ht="12.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spans="1:26" ht="12.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spans="1:26" ht="12.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spans="1:26" ht="12.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spans="1:26" ht="12.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spans="1:26" ht="12.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spans="1:26" ht="12.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spans="1:26" ht="12.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spans="1:26" ht="12.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spans="1:26" ht="12.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spans="1:26" ht="12.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spans="1:26" ht="12.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spans="1:26" ht="12.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spans="1:26" ht="12.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spans="1:26" ht="12.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spans="1:26" ht="12.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spans="1:26" ht="12.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spans="1:26" ht="12.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spans="1:26" ht="12.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spans="1:26" ht="12.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spans="1:26" ht="12.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spans="1:26" ht="12.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spans="1:26" ht="12.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spans="1:26" ht="12.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spans="1:26" ht="12.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spans="1:26" ht="12.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spans="1:26" ht="12.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spans="1:26" ht="12.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spans="1:26" ht="12.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spans="1:26" ht="12.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spans="1:26" ht="12.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spans="1:26" ht="12.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spans="1:26" ht="12.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spans="1:26" ht="12.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spans="1:26" ht="12.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spans="1:26" ht="12.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spans="1:26" ht="12.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spans="1:26" ht="12.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spans="1:26" ht="12.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spans="1:26" ht="12.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spans="1:26" ht="12.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spans="1:26" ht="12.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spans="1:26" ht="12.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spans="1:26" ht="12.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spans="1:26" ht="12.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spans="1:26" ht="12.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spans="1:26" ht="12.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spans="1:26" ht="12.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spans="1:26" ht="12.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spans="1:26" ht="12.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spans="1:26" ht="12.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spans="1:26" ht="12.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spans="1:26" ht="12.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spans="1:26" ht="12.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spans="1:26" ht="12.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spans="1:26" ht="12.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spans="1:26" ht="12.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spans="1:26" ht="12.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spans="1:26" ht="12.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spans="1:26" ht="12.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spans="1:26" ht="12.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spans="1:26" ht="12.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spans="1:26" ht="12.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spans="1:26" ht="12.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spans="1:26" ht="12.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spans="1:26" ht="12.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spans="1:26" ht="12.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spans="1:26" ht="12.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spans="1:26" ht="12.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spans="1:26" ht="12.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spans="1:26" ht="12.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spans="1:26" ht="12.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spans="1:26" ht="12.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spans="1:26" ht="12.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spans="1:26" ht="12.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spans="1:26" ht="12.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spans="1:26" ht="12.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spans="1:26" ht="12.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spans="1:26" ht="12.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spans="1:26" ht="12.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spans="1:26" ht="12.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spans="1:26" ht="12.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spans="1:26" ht="12.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spans="1:26" ht="12.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spans="1:26" ht="12.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spans="1:26" ht="12.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spans="1:26" ht="12.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spans="1:26" ht="12.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spans="1:26" ht="12.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spans="1:26" ht="12.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spans="1:26" ht="12.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spans="1:26" ht="12.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spans="1:26" ht="12.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spans="1:26" ht="12.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spans="1:26" ht="12.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spans="1:26" ht="12.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spans="1:26" ht="12.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spans="1:26" ht="12.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spans="1:26" ht="12.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spans="1:26" ht="12.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spans="1:26" ht="12.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spans="1:26" ht="12.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spans="1:26" ht="12.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spans="1:26" ht="12.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spans="1:26" ht="12.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spans="1:26" ht="12.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spans="1:26" ht="12.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spans="1:26" ht="12.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spans="1:26" ht="12.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spans="1:26" ht="12.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spans="1:26" ht="12.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spans="1:26" ht="12.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spans="1:26" ht="12.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spans="1:26" ht="12.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spans="1:26" ht="12.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spans="1:26" ht="12.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spans="1:26" ht="12.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spans="1:26" ht="12.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spans="1:26" ht="12.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spans="1:26" ht="12.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spans="1:26" ht="12.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spans="1:26" ht="12.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spans="1:26" ht="12.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spans="1:26" ht="12.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spans="1:26" ht="12.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spans="1:26" ht="12.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spans="1:26" ht="12.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spans="1:26" ht="12.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spans="1:26" ht="12.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spans="1:26" ht="12.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spans="1:26" ht="12.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spans="1:26" ht="12.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spans="1:26" ht="12.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2.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2.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2.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2.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2.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2.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2.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2.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2.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2.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2.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2.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2.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2.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2.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2.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2.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2.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2.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2.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2.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2.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2.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2.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2.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2.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2.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2.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2.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2.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2.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2.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2.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2.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2.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2.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2.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2.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2.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2.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2.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2.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2.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2.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2.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2.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2.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2.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2.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2.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2.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2.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2.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2.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2.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2.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2.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2.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2.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2.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2.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2.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2.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2.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2.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2.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2.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2.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2.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2.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2.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2.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2.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2.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2.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2.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2.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2.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2.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2.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2.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2.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2.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2.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2.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2.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2.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2.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2.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2.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2.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2.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2.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2.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2.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2.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2.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2.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2.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2.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2.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2.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2.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2.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2.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2.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2.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2.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2.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2.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2.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2.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2.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2.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2.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2.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2.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2.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2.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2.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2.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2.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2.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2.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2.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2.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2.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2.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2.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2.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2.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2.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2.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2.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2.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2.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2.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2.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2.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2.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2.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2.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2.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2.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2.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2.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2.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2.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2.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2.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2.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2.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2.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2.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2.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2.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2.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2.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2.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2.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2.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2.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2.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2.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2.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2.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2.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2.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2.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2.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2.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2.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2.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2.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2.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2.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2.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2.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2.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2.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2.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2.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2.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2.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2.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2.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2.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2.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2.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2.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2.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2.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2.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2.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2.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2.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2.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2.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2.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2.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2.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2.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2.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2.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2.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2.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2.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2.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2.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2.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2.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2.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2.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2.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2.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2.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2.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2.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2.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2.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2.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2.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2.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2.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2.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2.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2.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2.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2.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2.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2.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2.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2.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2.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2.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2.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2.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2.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2.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2.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2.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2.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2.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2.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2.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2.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2.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2.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2.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2.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2.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2.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2.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2.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2.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2.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2.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2.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2.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2.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spans="1:26" ht="12.75" customHeight="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spans="1:26" ht="12.75" customHeight="1">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spans="1:26" ht="12.75" customHeight="1">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sheetData>
  <mergeCells count="2">
    <mergeCell ref="A7:B7"/>
    <mergeCell ref="A8:B8"/>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57D8A-04BE-4F98-BF08-4A58561F86BA}">
  <dimension ref="A1:Z984"/>
  <sheetViews>
    <sheetView workbookViewId="0"/>
  </sheetViews>
  <sheetFormatPr defaultColWidth="12.5703125" defaultRowHeight="15" customHeight="1"/>
  <cols>
    <col min="1" max="1" width="117.28515625" style="86" customWidth="1"/>
    <col min="2" max="26" width="7.7109375" style="86" customWidth="1"/>
    <col min="27" max="16384" width="12.5703125" style="86"/>
  </cols>
  <sheetData>
    <row r="1" spans="1:26" ht="5.25" customHeight="1">
      <c r="A1" s="93"/>
      <c r="B1" s="85"/>
      <c r="C1" s="85"/>
      <c r="D1" s="85"/>
      <c r="E1" s="85"/>
      <c r="F1" s="85"/>
      <c r="G1" s="85"/>
      <c r="H1" s="85"/>
      <c r="I1" s="85"/>
      <c r="J1" s="85"/>
      <c r="K1" s="85"/>
      <c r="L1" s="85"/>
      <c r="M1" s="85"/>
      <c r="N1" s="85"/>
      <c r="O1" s="85"/>
      <c r="P1" s="85"/>
      <c r="Q1" s="85"/>
      <c r="R1" s="85"/>
      <c r="S1" s="85"/>
      <c r="T1" s="85"/>
      <c r="U1" s="85"/>
      <c r="V1" s="85"/>
      <c r="W1" s="85"/>
      <c r="X1" s="85"/>
      <c r="Y1" s="85"/>
      <c r="Z1" s="85"/>
    </row>
    <row r="2" spans="1:26" ht="24" customHeight="1">
      <c r="A2" s="93"/>
      <c r="B2" s="85"/>
      <c r="C2" s="85"/>
      <c r="D2" s="85"/>
      <c r="E2" s="85"/>
      <c r="F2" s="85"/>
      <c r="G2" s="85"/>
      <c r="H2" s="85"/>
      <c r="I2" s="85"/>
      <c r="J2" s="85"/>
      <c r="K2" s="85"/>
      <c r="L2" s="85"/>
      <c r="M2" s="85"/>
      <c r="N2" s="85"/>
      <c r="O2" s="85"/>
      <c r="P2" s="85"/>
      <c r="Q2" s="85"/>
      <c r="R2" s="85"/>
      <c r="S2" s="85"/>
      <c r="T2" s="85"/>
      <c r="U2" s="85"/>
      <c r="V2" s="85"/>
      <c r="W2" s="85"/>
      <c r="X2" s="85"/>
      <c r="Y2" s="85"/>
      <c r="Z2" s="85"/>
    </row>
    <row r="3" spans="1:26" ht="5.25" customHeight="1">
      <c r="A3" s="93"/>
      <c r="B3" s="85"/>
      <c r="C3" s="85"/>
      <c r="D3" s="85"/>
      <c r="E3" s="85"/>
      <c r="F3" s="85"/>
      <c r="G3" s="85"/>
      <c r="H3" s="85"/>
      <c r="I3" s="85"/>
      <c r="J3" s="85"/>
      <c r="K3" s="85"/>
      <c r="L3" s="85"/>
      <c r="M3" s="85"/>
      <c r="N3" s="85"/>
      <c r="O3" s="85"/>
      <c r="P3" s="85"/>
      <c r="Q3" s="85"/>
      <c r="R3" s="85"/>
      <c r="S3" s="85"/>
      <c r="T3" s="85"/>
      <c r="U3" s="85"/>
      <c r="V3" s="85"/>
      <c r="W3" s="85"/>
      <c r="X3" s="85"/>
      <c r="Y3" s="85"/>
      <c r="Z3" s="85"/>
    </row>
    <row r="4" spans="1:26" ht="5.25" customHeight="1">
      <c r="A4" s="93"/>
      <c r="B4" s="85"/>
      <c r="C4" s="85"/>
      <c r="D4" s="85"/>
      <c r="E4" s="85"/>
      <c r="F4" s="85"/>
      <c r="G4" s="85"/>
      <c r="H4" s="85"/>
      <c r="I4" s="85"/>
      <c r="J4" s="85"/>
      <c r="K4" s="85"/>
      <c r="L4" s="85"/>
      <c r="M4" s="85"/>
      <c r="N4" s="85"/>
      <c r="O4" s="85"/>
      <c r="P4" s="85"/>
      <c r="Q4" s="85"/>
      <c r="R4" s="85"/>
      <c r="S4" s="85"/>
      <c r="T4" s="85"/>
      <c r="U4" s="85"/>
      <c r="V4" s="85"/>
      <c r="W4" s="85"/>
      <c r="X4" s="85"/>
      <c r="Y4" s="85"/>
      <c r="Z4" s="85"/>
    </row>
    <row r="5" spans="1:26" ht="5.25" customHeight="1">
      <c r="A5" s="93"/>
      <c r="B5" s="85"/>
      <c r="C5" s="85"/>
      <c r="D5" s="85"/>
      <c r="E5" s="85"/>
      <c r="F5" s="85"/>
      <c r="G5" s="85"/>
      <c r="H5" s="85"/>
      <c r="I5" s="85"/>
      <c r="J5" s="85"/>
      <c r="K5" s="85"/>
      <c r="L5" s="85"/>
      <c r="M5" s="85"/>
      <c r="N5" s="85"/>
      <c r="O5" s="85"/>
      <c r="P5" s="85"/>
      <c r="Q5" s="85"/>
      <c r="R5" s="85"/>
      <c r="S5" s="85"/>
      <c r="T5" s="85"/>
      <c r="U5" s="85"/>
      <c r="V5" s="85"/>
      <c r="W5" s="85"/>
      <c r="X5" s="85"/>
      <c r="Y5" s="85"/>
      <c r="Z5" s="85"/>
    </row>
    <row r="6" spans="1:26" ht="5.25" customHeight="1">
      <c r="A6" s="93"/>
      <c r="B6" s="85"/>
      <c r="C6" s="85"/>
      <c r="D6" s="85"/>
      <c r="E6" s="85"/>
      <c r="F6" s="85"/>
      <c r="G6" s="85"/>
      <c r="H6" s="85"/>
      <c r="I6" s="85"/>
      <c r="J6" s="85"/>
      <c r="K6" s="85"/>
      <c r="L6" s="85"/>
      <c r="M6" s="85"/>
      <c r="N6" s="85"/>
      <c r="O6" s="85"/>
      <c r="P6" s="85"/>
      <c r="Q6" s="85"/>
      <c r="R6" s="85"/>
      <c r="S6" s="85"/>
      <c r="T6" s="85"/>
      <c r="U6" s="85"/>
      <c r="V6" s="85"/>
      <c r="W6" s="85"/>
      <c r="X6" s="85"/>
      <c r="Y6" s="85"/>
      <c r="Z6" s="85"/>
    </row>
    <row r="7" spans="1:26" ht="5.25" customHeight="1">
      <c r="A7" s="93"/>
      <c r="B7" s="85"/>
      <c r="C7" s="85"/>
      <c r="D7" s="85"/>
      <c r="E7" s="85"/>
      <c r="F7" s="85"/>
      <c r="G7" s="85"/>
      <c r="H7" s="85"/>
      <c r="I7" s="85"/>
      <c r="J7" s="85"/>
      <c r="K7" s="85"/>
      <c r="L7" s="85"/>
      <c r="M7" s="85"/>
      <c r="N7" s="85"/>
      <c r="O7" s="85"/>
      <c r="P7" s="85"/>
      <c r="Q7" s="85"/>
      <c r="R7" s="85"/>
      <c r="S7" s="85"/>
      <c r="T7" s="85"/>
      <c r="U7" s="85"/>
      <c r="V7" s="85"/>
      <c r="W7" s="85"/>
      <c r="X7" s="85"/>
      <c r="Y7" s="85"/>
      <c r="Z7" s="85"/>
    </row>
    <row r="8" spans="1:26" ht="5.25" customHeight="1">
      <c r="A8" s="93"/>
      <c r="B8" s="85"/>
      <c r="C8" s="85"/>
      <c r="D8" s="85"/>
      <c r="E8" s="85"/>
      <c r="F8" s="85"/>
      <c r="G8" s="85"/>
      <c r="H8" s="85"/>
      <c r="I8" s="85"/>
      <c r="J8" s="85"/>
      <c r="K8" s="85"/>
      <c r="L8" s="85"/>
      <c r="M8" s="85"/>
      <c r="N8" s="85"/>
      <c r="O8" s="85"/>
      <c r="P8" s="85"/>
      <c r="Q8" s="85"/>
      <c r="R8" s="85"/>
      <c r="S8" s="85"/>
      <c r="T8" s="85"/>
      <c r="U8" s="85"/>
      <c r="V8" s="85"/>
      <c r="W8" s="85"/>
      <c r="X8" s="85"/>
      <c r="Y8" s="85"/>
      <c r="Z8" s="85"/>
    </row>
    <row r="9" spans="1:26" ht="5.25" customHeight="1">
      <c r="A9" s="93"/>
      <c r="B9" s="85"/>
      <c r="C9" s="85"/>
      <c r="D9" s="85"/>
      <c r="E9" s="85"/>
      <c r="F9" s="85"/>
      <c r="G9" s="85"/>
      <c r="H9" s="85"/>
      <c r="I9" s="85"/>
      <c r="J9" s="85"/>
      <c r="K9" s="85"/>
      <c r="L9" s="85"/>
      <c r="M9" s="85"/>
      <c r="N9" s="85"/>
      <c r="O9" s="85"/>
      <c r="P9" s="85"/>
      <c r="Q9" s="85"/>
      <c r="R9" s="85"/>
      <c r="S9" s="85"/>
      <c r="T9" s="85"/>
      <c r="U9" s="85"/>
      <c r="V9" s="85"/>
      <c r="W9" s="85"/>
      <c r="X9" s="85"/>
      <c r="Y9" s="85"/>
      <c r="Z9" s="85"/>
    </row>
    <row r="10" spans="1:26" ht="5.25" customHeight="1">
      <c r="A10" s="93"/>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spans="1:26" ht="5.25" customHeight="1">
      <c r="A11" s="93"/>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spans="1:26" ht="5.25" customHeight="1">
      <c r="A12" s="93"/>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41.25" customHeight="1">
      <c r="A13" s="141" t="s">
        <v>2</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5" customHeight="1">
      <c r="A14" s="94" t="s">
        <v>234</v>
      </c>
      <c r="B14" s="95"/>
      <c r="C14" s="95"/>
      <c r="D14" s="95"/>
      <c r="E14" s="95"/>
      <c r="F14" s="95"/>
      <c r="G14" s="95"/>
      <c r="H14" s="95"/>
      <c r="I14" s="95"/>
      <c r="J14" s="95"/>
      <c r="K14" s="95"/>
      <c r="L14" s="95"/>
      <c r="M14" s="95"/>
      <c r="N14" s="95"/>
      <c r="O14" s="95"/>
      <c r="P14" s="95"/>
      <c r="Q14" s="95"/>
      <c r="R14" s="95"/>
      <c r="S14" s="95"/>
      <c r="T14" s="95"/>
      <c r="U14" s="95"/>
      <c r="V14" s="95"/>
      <c r="W14" s="95"/>
      <c r="X14" s="95"/>
      <c r="Y14" s="95"/>
      <c r="Z14" s="95"/>
    </row>
    <row r="15" spans="1:26" ht="7.5" customHeight="1">
      <c r="A15" s="94"/>
      <c r="B15" s="95"/>
      <c r="C15" s="95"/>
      <c r="D15" s="95"/>
      <c r="E15" s="95"/>
      <c r="F15" s="95"/>
      <c r="G15" s="95"/>
      <c r="H15" s="95"/>
      <c r="I15" s="95"/>
      <c r="J15" s="95"/>
      <c r="K15" s="95"/>
      <c r="L15" s="95"/>
      <c r="M15" s="95"/>
      <c r="N15" s="95"/>
      <c r="O15" s="95"/>
      <c r="P15" s="95"/>
      <c r="Q15" s="95"/>
      <c r="R15" s="95"/>
      <c r="S15" s="95"/>
      <c r="T15" s="95"/>
      <c r="U15" s="95"/>
      <c r="V15" s="95"/>
      <c r="W15" s="95"/>
      <c r="X15" s="95"/>
      <c r="Y15" s="95"/>
      <c r="Z15" s="95"/>
    </row>
    <row r="16" spans="1:26" ht="120.6" customHeight="1">
      <c r="A16" s="142" t="s">
        <v>303</v>
      </c>
      <c r="B16" s="95"/>
      <c r="C16" s="95"/>
      <c r="D16" s="95"/>
      <c r="E16" s="95"/>
      <c r="F16" s="95"/>
      <c r="G16" s="95"/>
      <c r="H16" s="95"/>
      <c r="I16" s="95"/>
      <c r="J16" s="95"/>
      <c r="K16" s="95"/>
      <c r="L16" s="95"/>
      <c r="M16" s="95"/>
      <c r="N16" s="95"/>
      <c r="O16" s="95"/>
      <c r="P16" s="95"/>
      <c r="Q16" s="95"/>
      <c r="R16" s="95"/>
      <c r="S16" s="95"/>
      <c r="T16" s="95"/>
      <c r="U16" s="95"/>
      <c r="V16" s="95"/>
      <c r="W16" s="95"/>
      <c r="X16" s="95"/>
      <c r="Y16" s="95"/>
      <c r="Z16" s="95"/>
    </row>
    <row r="17" spans="1:26" ht="7.5" customHeight="1">
      <c r="A17" s="96"/>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spans="1:26" s="98" customFormat="1" ht="19.5" customHeight="1">
      <c r="A18" s="143" t="s">
        <v>3</v>
      </c>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spans="1:26" ht="7.5" customHeight="1">
      <c r="A19" s="94"/>
      <c r="B19" s="95"/>
      <c r="C19" s="95"/>
      <c r="D19" s="95"/>
      <c r="E19" s="95"/>
      <c r="F19" s="95"/>
      <c r="G19" s="95"/>
      <c r="H19" s="95"/>
      <c r="I19" s="95"/>
      <c r="J19" s="95"/>
      <c r="K19" s="95"/>
      <c r="L19" s="95"/>
      <c r="M19" s="95"/>
      <c r="N19" s="95"/>
      <c r="O19" s="95"/>
      <c r="P19" s="95"/>
      <c r="Q19" s="95"/>
      <c r="R19" s="95"/>
      <c r="S19" s="95"/>
      <c r="T19" s="95"/>
      <c r="U19" s="95"/>
      <c r="V19" s="95"/>
      <c r="W19" s="95"/>
      <c r="X19" s="95"/>
      <c r="Y19" s="95"/>
      <c r="Z19" s="95"/>
    </row>
    <row r="20" spans="1:26" s="98" customFormat="1" ht="62.45" customHeight="1">
      <c r="A20" s="143" t="s">
        <v>4</v>
      </c>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spans="1:26" ht="12" customHeight="1">
      <c r="A21" s="94"/>
      <c r="B21" s="95"/>
      <c r="C21" s="95"/>
      <c r="D21" s="95"/>
      <c r="E21" s="95"/>
      <c r="F21" s="95"/>
      <c r="G21" s="95"/>
      <c r="H21" s="95"/>
      <c r="I21" s="95"/>
      <c r="J21" s="95"/>
      <c r="K21" s="95"/>
      <c r="L21" s="95"/>
      <c r="M21" s="95"/>
      <c r="N21" s="95"/>
      <c r="O21" s="95"/>
      <c r="P21" s="95"/>
      <c r="Q21" s="95"/>
      <c r="R21" s="95"/>
      <c r="S21" s="95"/>
      <c r="T21" s="95"/>
      <c r="U21" s="95"/>
      <c r="V21" s="95"/>
      <c r="W21" s="95"/>
      <c r="X21" s="95"/>
      <c r="Y21" s="95"/>
      <c r="Z21" s="95"/>
    </row>
    <row r="22" spans="1:26" ht="67.5" customHeight="1">
      <c r="A22" s="94" t="s">
        <v>314</v>
      </c>
      <c r="B22" s="95"/>
      <c r="C22" s="95"/>
      <c r="D22" s="95"/>
      <c r="E22" s="95"/>
      <c r="F22" s="95"/>
      <c r="G22" s="95"/>
      <c r="H22" s="95"/>
      <c r="I22" s="95"/>
      <c r="J22" s="95"/>
      <c r="K22" s="95"/>
      <c r="L22" s="95"/>
      <c r="M22" s="95"/>
      <c r="N22" s="95"/>
      <c r="O22" s="95"/>
      <c r="P22" s="95"/>
      <c r="Q22" s="95"/>
      <c r="R22" s="95"/>
      <c r="S22" s="95"/>
      <c r="T22" s="95"/>
      <c r="U22" s="95"/>
      <c r="V22" s="95"/>
      <c r="W22" s="95"/>
      <c r="X22" s="95"/>
      <c r="Y22" s="95"/>
      <c r="Z22" s="95"/>
    </row>
    <row r="23" spans="1:26" ht="12" customHeight="1">
      <c r="A23" s="94"/>
      <c r="B23" s="95"/>
      <c r="C23" s="95"/>
      <c r="D23" s="95"/>
      <c r="E23" s="95"/>
      <c r="F23" s="95"/>
      <c r="G23" s="95"/>
      <c r="H23" s="95"/>
      <c r="I23" s="95"/>
      <c r="J23" s="95"/>
      <c r="K23" s="95"/>
      <c r="L23" s="95"/>
      <c r="M23" s="95"/>
      <c r="N23" s="95"/>
      <c r="O23" s="95"/>
      <c r="P23" s="95"/>
      <c r="Q23" s="95"/>
      <c r="R23" s="95"/>
      <c r="S23" s="95"/>
      <c r="T23" s="95"/>
      <c r="U23" s="95"/>
      <c r="V23" s="95"/>
      <c r="W23" s="95"/>
      <c r="X23" s="95"/>
      <c r="Y23" s="95"/>
      <c r="Z23" s="95"/>
    </row>
    <row r="24" spans="1:26" ht="90" customHeight="1">
      <c r="A24" s="94" t="s">
        <v>315</v>
      </c>
      <c r="B24" s="95"/>
      <c r="C24" s="95"/>
      <c r="D24" s="95"/>
      <c r="E24" s="95"/>
      <c r="F24" s="95"/>
      <c r="G24" s="95"/>
      <c r="H24" s="95"/>
      <c r="I24" s="95"/>
      <c r="J24" s="95"/>
      <c r="K24" s="95"/>
      <c r="L24" s="95"/>
      <c r="M24" s="95"/>
      <c r="N24" s="95"/>
      <c r="O24" s="95"/>
      <c r="P24" s="95"/>
      <c r="Q24" s="95"/>
      <c r="R24" s="95"/>
      <c r="S24" s="95"/>
      <c r="T24" s="95"/>
      <c r="U24" s="95"/>
      <c r="V24" s="95"/>
      <c r="W24" s="95"/>
      <c r="X24" s="95"/>
      <c r="Y24" s="95"/>
      <c r="Z24" s="95"/>
    </row>
    <row r="25" spans="1:26" ht="12" customHeight="1">
      <c r="A25" s="94"/>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spans="1:26" ht="164.25" customHeight="1">
      <c r="A26" s="94" t="s">
        <v>316</v>
      </c>
      <c r="B26" s="95"/>
      <c r="C26" s="95"/>
      <c r="D26" s="95"/>
      <c r="E26" s="95"/>
      <c r="F26" s="95"/>
      <c r="G26" s="95"/>
      <c r="H26" s="95"/>
      <c r="I26" s="95"/>
      <c r="J26" s="95"/>
      <c r="K26" s="95"/>
      <c r="L26" s="95"/>
      <c r="M26" s="95"/>
      <c r="N26" s="95"/>
      <c r="O26" s="95"/>
      <c r="P26" s="95"/>
      <c r="Q26" s="95"/>
      <c r="R26" s="95"/>
      <c r="S26" s="95"/>
      <c r="T26" s="95"/>
      <c r="U26" s="95"/>
      <c r="V26" s="95"/>
      <c r="W26" s="95"/>
      <c r="X26" s="95"/>
      <c r="Y26" s="95"/>
      <c r="Z26" s="95"/>
    </row>
    <row r="27" spans="1:26" ht="12" customHeight="1">
      <c r="A27" s="94"/>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spans="1:26" ht="12" customHeight="1">
      <c r="A28" s="94"/>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2" customHeight="1">
      <c r="A29" s="94"/>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s="98" customFormat="1" ht="17.45" customHeight="1">
      <c r="A30" s="144" t="s">
        <v>5</v>
      </c>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s="98" customFormat="1" ht="6" customHeight="1">
      <c r="A31" s="144"/>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s="98" customFormat="1" ht="17.45" customHeight="1">
      <c r="A32" s="99" t="s">
        <v>191</v>
      </c>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s="98" customFormat="1" ht="16.5" customHeight="1">
      <c r="A33" s="98" t="s">
        <v>192</v>
      </c>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spans="1:26" s="98" customFormat="1" ht="16.5" customHeight="1">
      <c r="A34" s="99" t="s">
        <v>193</v>
      </c>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spans="1:26" s="98" customFormat="1" ht="16.5" customHeight="1">
      <c r="A35" s="99" t="s">
        <v>6</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s="98" customFormat="1" ht="18" customHeight="1">
      <c r="A36" s="100" t="s">
        <v>7</v>
      </c>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8" spans="1:26" ht="14.45" customHeight="1">
      <c r="A38" s="92" t="s">
        <v>235</v>
      </c>
      <c r="B38" s="95"/>
      <c r="C38" s="95"/>
      <c r="D38" s="95"/>
      <c r="E38" s="95"/>
      <c r="F38" s="95"/>
      <c r="G38" s="95"/>
      <c r="H38" s="95"/>
      <c r="I38" s="95"/>
      <c r="J38" s="95"/>
      <c r="K38" s="95"/>
      <c r="L38" s="95"/>
      <c r="M38" s="95"/>
      <c r="N38" s="95"/>
      <c r="O38" s="95"/>
      <c r="P38" s="95"/>
      <c r="Q38" s="95"/>
      <c r="R38" s="95"/>
      <c r="S38" s="95"/>
      <c r="T38" s="95"/>
      <c r="U38" s="95"/>
      <c r="V38" s="95"/>
      <c r="W38" s="95"/>
      <c r="X38" s="95"/>
      <c r="Y38" s="95"/>
      <c r="Z38" s="95"/>
    </row>
    <row r="39" spans="1:26" ht="18" customHeight="1">
      <c r="A39" s="94"/>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8" customHeight="1">
      <c r="A40" s="94"/>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ht="6.6" customHeight="1">
      <c r="A41" s="94"/>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spans="1:26" ht="16.5" customHeight="1">
      <c r="A42" s="92"/>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spans="1:26" ht="14.25" customHeight="1">
      <c r="A43" s="92"/>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spans="1:26" ht="14.25" customHeight="1">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spans="1:26" ht="5.25" customHeight="1">
      <c r="A45" s="92"/>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spans="1:26" ht="14.25" customHeight="1">
      <c r="A46" s="92"/>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spans="1:26" ht="14.25" customHeight="1">
      <c r="A47" s="92"/>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spans="1:26" ht="14.25" customHeight="1">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spans="1:26" ht="14.25" customHeight="1">
      <c r="A49" s="92"/>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spans="1:26" ht="60.75" customHeight="1">
      <c r="A50" s="94"/>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spans="1:26" ht="7.5" customHeight="1">
      <c r="A51" s="94"/>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spans="1:26" ht="7.5" customHeight="1">
      <c r="A52" s="94"/>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spans="1:26" ht="37.5" customHeight="1">
      <c r="A53" s="94"/>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spans="1:26" ht="7.5" customHeight="1">
      <c r="A54" s="94"/>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spans="1:26" ht="7.5" customHeight="1">
      <c r="A55" s="94"/>
      <c r="B55" s="95"/>
      <c r="C55" s="95"/>
      <c r="D55" s="95"/>
      <c r="E55" s="95"/>
      <c r="F55" s="95"/>
      <c r="G55" s="95"/>
      <c r="H55" s="95"/>
      <c r="I55" s="95"/>
      <c r="J55" s="95"/>
      <c r="K55" s="95"/>
      <c r="L55" s="95"/>
      <c r="M55" s="95"/>
      <c r="N55" s="95"/>
      <c r="O55" s="95"/>
      <c r="P55" s="95"/>
      <c r="Q55" s="95"/>
      <c r="R55" s="95"/>
      <c r="S55" s="95"/>
      <c r="T55" s="95"/>
      <c r="U55" s="95"/>
      <c r="V55" s="95"/>
      <c r="W55" s="95"/>
      <c r="X55" s="95"/>
      <c r="Y55" s="95"/>
      <c r="Z55" s="95"/>
    </row>
    <row r="56" spans="1:26" ht="7.5" customHeight="1">
      <c r="A56" s="94"/>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spans="1:26" ht="7.5" customHeight="1">
      <c r="A57" s="94"/>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spans="1:26" ht="7.5" customHeight="1">
      <c r="A58" s="94"/>
      <c r="B58" s="95"/>
      <c r="C58" s="95"/>
      <c r="D58" s="95"/>
      <c r="E58" s="95"/>
      <c r="F58" s="95"/>
      <c r="G58" s="95"/>
      <c r="H58" s="95"/>
      <c r="I58" s="95"/>
      <c r="J58" s="95"/>
      <c r="K58" s="95"/>
      <c r="L58" s="95"/>
      <c r="M58" s="95"/>
      <c r="N58" s="95"/>
      <c r="O58" s="95"/>
      <c r="P58" s="95"/>
      <c r="Q58" s="95"/>
      <c r="R58" s="95"/>
      <c r="S58" s="95"/>
      <c r="T58" s="95"/>
      <c r="U58" s="95"/>
      <c r="V58" s="95"/>
      <c r="W58" s="95"/>
      <c r="X58" s="95"/>
      <c r="Y58" s="95"/>
      <c r="Z58" s="95"/>
    </row>
    <row r="59" spans="1:26" ht="15" customHeight="1">
      <c r="A59" s="101"/>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5" customHeight="1">
      <c r="A60" s="101"/>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spans="1:26" ht="15" customHeight="1">
      <c r="A61" s="101"/>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spans="1:26" ht="15" customHeight="1">
      <c r="A62" s="101"/>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spans="1:26" ht="15" customHeight="1">
      <c r="A63" s="101"/>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spans="1:26" ht="15" customHeight="1">
      <c r="A64" s="101"/>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spans="1:26" ht="15" customHeight="1">
      <c r="A65" s="101"/>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spans="1:26" ht="15" customHeight="1">
      <c r="A66" s="101"/>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spans="1:26" ht="15" customHeight="1">
      <c r="A67" s="101"/>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spans="1:26" ht="15" customHeight="1">
      <c r="A68" s="101"/>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spans="1:26" ht="15" customHeight="1">
      <c r="A69" s="101"/>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spans="1:26" ht="15" customHeight="1">
      <c r="A70" s="101"/>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spans="1:26" ht="15" customHeight="1">
      <c r="A71" s="101"/>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spans="1:26" ht="15" customHeight="1">
      <c r="A72" s="101"/>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spans="1:26" ht="15" customHeight="1">
      <c r="A73" s="101"/>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spans="1:26" ht="15" customHeight="1">
      <c r="A74" s="101"/>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spans="1:26" ht="15" customHeight="1">
      <c r="A75" s="101"/>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spans="1:26" ht="15" customHeight="1">
      <c r="A76" s="101"/>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spans="1:26" ht="15" customHeight="1">
      <c r="A77" s="101"/>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spans="1:26" ht="15" customHeight="1">
      <c r="A78" s="101"/>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spans="1:26" ht="15" customHeight="1">
      <c r="A79" s="101"/>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spans="1:26" ht="15" customHeight="1">
      <c r="A80" s="101"/>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spans="1:26" ht="15" customHeight="1">
      <c r="A81" s="101"/>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spans="1:26" ht="15" customHeight="1">
      <c r="A82" s="101"/>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spans="1:26" ht="15" customHeight="1">
      <c r="A83" s="101"/>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spans="1:26" ht="15" customHeight="1">
      <c r="A84" s="101"/>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spans="1:26" ht="15" customHeight="1">
      <c r="A85" s="101"/>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spans="1:26" ht="15" customHeight="1">
      <c r="A86" s="101"/>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spans="1:26" ht="15" customHeight="1">
      <c r="A87" s="101"/>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spans="1:26" ht="12.75" customHeight="1">
      <c r="A88" s="93"/>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spans="1:26" ht="12.75" customHeight="1">
      <c r="A89" s="93"/>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spans="1:26" ht="12.75" customHeight="1">
      <c r="A90" s="93"/>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spans="1:26" ht="12.75" customHeight="1">
      <c r="A91" s="93"/>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spans="1:26" ht="12.75" customHeight="1">
      <c r="A92" s="93"/>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spans="1:26" ht="12.75" customHeight="1">
      <c r="A93" s="93"/>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spans="1:26" ht="12.75" customHeight="1">
      <c r="A94" s="93"/>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spans="1:26" ht="12.75" customHeight="1">
      <c r="A95" s="93"/>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spans="1:26" ht="12.75" customHeight="1">
      <c r="A96" s="93"/>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spans="1:26" ht="12.75" customHeight="1">
      <c r="A97" s="93"/>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spans="1:26" ht="12.75" customHeight="1">
      <c r="A98" s="93"/>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spans="1:26" ht="12.75" customHeight="1">
      <c r="A99" s="93"/>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spans="1:26" ht="12.75" customHeight="1">
      <c r="A100" s="93"/>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spans="1:26" ht="12.75" customHeight="1">
      <c r="A101" s="93"/>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spans="1:26" ht="12.75" customHeight="1">
      <c r="A102" s="93"/>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spans="1:26" ht="12.75" customHeight="1">
      <c r="A103" s="93"/>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spans="1:26" ht="12.75" customHeight="1">
      <c r="A104" s="93"/>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1:26" ht="12.75" customHeight="1">
      <c r="A105" s="93"/>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1:26" ht="12.75" customHeight="1">
      <c r="A106" s="93"/>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1:26" ht="12.75" customHeight="1">
      <c r="A107" s="93"/>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1:26" ht="12.75" customHeight="1">
      <c r="A108" s="93"/>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1:26" ht="12.75" customHeight="1">
      <c r="A109" s="93"/>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spans="1:26" ht="12.75" customHeight="1">
      <c r="A110" s="93"/>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spans="1:26" ht="12.75" customHeight="1">
      <c r="A111" s="93"/>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spans="1:26" ht="12.75" customHeight="1">
      <c r="A112" s="93"/>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spans="1:26" ht="12.75" customHeight="1">
      <c r="A113" s="93"/>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spans="1:26" ht="12.75" customHeight="1">
      <c r="A114" s="93"/>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spans="1:26" ht="12.75" customHeight="1">
      <c r="A115" s="93"/>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spans="1:26" ht="12.75" customHeight="1">
      <c r="A116" s="93"/>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spans="1:26" ht="12.75" customHeight="1">
      <c r="A117" s="93"/>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spans="1:26" ht="12.75" customHeight="1">
      <c r="A118" s="93"/>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spans="1:26" ht="12.75" customHeight="1">
      <c r="A119" s="93"/>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spans="1:26" ht="12.75" customHeight="1">
      <c r="A120" s="93"/>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spans="1:26" ht="12.75" customHeight="1">
      <c r="A121" s="93"/>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spans="1:26" ht="12.75" customHeight="1">
      <c r="A122" s="93"/>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spans="1:26" ht="12.75" customHeight="1">
      <c r="A123" s="93"/>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spans="1:26" ht="12.75" customHeight="1">
      <c r="A124" s="93"/>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spans="1:26" ht="12.75" customHeight="1">
      <c r="A125" s="93"/>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spans="1:26" ht="12.75" customHeight="1">
      <c r="A126" s="93"/>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spans="1:26" ht="12.75" customHeight="1">
      <c r="A127" s="93"/>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spans="1:26" ht="12.75" customHeight="1">
      <c r="A128" s="93"/>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spans="1:26" ht="12.75" customHeight="1">
      <c r="A129" s="93"/>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spans="1:26" ht="12.75" customHeight="1">
      <c r="A130" s="93"/>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spans="1:26" ht="12.75" customHeight="1">
      <c r="A131" s="93"/>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spans="1:26" ht="12.75" customHeight="1">
      <c r="A132" s="93"/>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spans="1:26" ht="12.75" customHeight="1">
      <c r="A133" s="93"/>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spans="1:26" ht="12.75" customHeight="1">
      <c r="A134" s="93"/>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spans="1:26" ht="12.75" customHeight="1">
      <c r="A135" s="93"/>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spans="1:26" ht="12.75" customHeight="1">
      <c r="A136" s="93"/>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spans="1:26" ht="12.75" customHeight="1">
      <c r="A137" s="93"/>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spans="1:26" ht="12.75" customHeight="1">
      <c r="A138" s="93"/>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spans="1:26" ht="12.75" customHeight="1">
      <c r="A139" s="93"/>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spans="1:26" ht="12.75" customHeight="1">
      <c r="A140" s="93"/>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spans="1:26" ht="12.75" customHeight="1">
      <c r="A141" s="93"/>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spans="1:26" ht="12.75" customHeight="1">
      <c r="A142" s="93"/>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spans="1:26" ht="12.75" customHeight="1">
      <c r="A143" s="93"/>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spans="1:26" ht="12.75" customHeight="1">
      <c r="A144" s="93"/>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spans="1:26" ht="12.75" customHeight="1">
      <c r="A145" s="93"/>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spans="1:26" ht="12.75" customHeight="1">
      <c r="A146" s="93"/>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spans="1:26" ht="12.75" customHeight="1">
      <c r="A147" s="93"/>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spans="1:26" ht="12.75" customHeight="1">
      <c r="A148" s="93"/>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spans="1:26" ht="12.75" customHeight="1">
      <c r="A149" s="93"/>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spans="1:26" ht="12.75" customHeight="1">
      <c r="A150" s="93"/>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spans="1:26" ht="12.75" customHeight="1">
      <c r="A151" s="93"/>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spans="1:26" ht="12.75" customHeight="1">
      <c r="A152" s="93"/>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spans="1:26" ht="12.75" customHeight="1">
      <c r="A153" s="93"/>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spans="1:26" ht="12.75" customHeight="1">
      <c r="A154" s="93"/>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spans="1:26" ht="12.75" customHeight="1">
      <c r="A155" s="93"/>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spans="1:26" ht="12.75" customHeight="1">
      <c r="A156" s="93"/>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spans="1:26" ht="12.75" customHeight="1">
      <c r="A157" s="93"/>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spans="1:26" ht="12.75" customHeight="1">
      <c r="A158" s="93"/>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spans="1:26" ht="12.75" customHeight="1">
      <c r="A159" s="93"/>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spans="1:26" ht="12.75" customHeight="1">
      <c r="A160" s="93"/>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spans="1:26" ht="12.75" customHeight="1">
      <c r="A161" s="93"/>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spans="1:26" ht="12.75" customHeight="1">
      <c r="A162" s="93"/>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spans="1:26" ht="12.75" customHeight="1">
      <c r="A163" s="93"/>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spans="1:26" ht="12.75" customHeight="1">
      <c r="A164" s="93"/>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spans="1:26" ht="12.75" customHeight="1">
      <c r="A165" s="93"/>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spans="1:26" ht="12.75" customHeight="1">
      <c r="A166" s="93"/>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spans="1:26" ht="12.75" customHeight="1">
      <c r="A167" s="93"/>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spans="1:26" ht="12.75" customHeight="1">
      <c r="A168" s="93"/>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spans="1:26" ht="12.75" customHeight="1">
      <c r="A169" s="93"/>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spans="1:26" ht="12.75" customHeight="1">
      <c r="A170" s="93"/>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spans="1:26" ht="12.75" customHeight="1">
      <c r="A171" s="93"/>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spans="1:26" ht="12.75" customHeight="1">
      <c r="A172" s="93"/>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spans="1:26" ht="12.75" customHeight="1">
      <c r="A173" s="93"/>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spans="1:26" ht="12.75" customHeight="1">
      <c r="A174" s="93"/>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spans="1:26" ht="12.75" customHeight="1">
      <c r="A175" s="93"/>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spans="1:26" ht="12.75" customHeight="1">
      <c r="A176" s="93"/>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spans="1:26" ht="12.75" customHeight="1">
      <c r="A177" s="93"/>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spans="1:26" ht="12.75" customHeight="1">
      <c r="A178" s="93"/>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spans="1:26" ht="12.75" customHeight="1">
      <c r="A179" s="93"/>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spans="1:26" ht="12.75" customHeight="1">
      <c r="A180" s="93"/>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spans="1:26" ht="12.75" customHeight="1">
      <c r="A181" s="93"/>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spans="1:26" ht="12.75" customHeight="1">
      <c r="A182" s="93"/>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spans="1:26" ht="12.75" customHeight="1">
      <c r="A183" s="93"/>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spans="1:26" ht="12.75" customHeight="1">
      <c r="A184" s="93"/>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spans="1:26" ht="12.75" customHeight="1">
      <c r="A185" s="93"/>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spans="1:26" ht="12.75" customHeight="1">
      <c r="A186" s="93"/>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spans="1:26" ht="12.75" customHeight="1">
      <c r="A187" s="93"/>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spans="1:26" ht="12.75" customHeight="1">
      <c r="A188" s="93"/>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spans="1:26" ht="12.75" customHeight="1">
      <c r="A189" s="93"/>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spans="1:26" ht="12.75" customHeight="1">
      <c r="A190" s="93"/>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spans="1:26" ht="12.75" customHeight="1">
      <c r="A191" s="93"/>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spans="1:26" ht="12.75" customHeight="1">
      <c r="A192" s="93"/>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spans="1:26" ht="12.75" customHeight="1">
      <c r="A193" s="93"/>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spans="1:26" ht="12.75" customHeight="1">
      <c r="A194" s="93"/>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spans="1:26" ht="12.75" customHeight="1">
      <c r="A195" s="93"/>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spans="1:26" ht="12.75" customHeight="1">
      <c r="A196" s="93"/>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spans="1:26" ht="12.75" customHeight="1">
      <c r="A197" s="93"/>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spans="1:26" ht="12.75" customHeight="1">
      <c r="A198" s="93"/>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spans="1:26" ht="12.75" customHeight="1">
      <c r="A199" s="93"/>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spans="1:26" ht="12.75" customHeight="1">
      <c r="A200" s="93"/>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spans="1:26" ht="12.75" customHeight="1">
      <c r="A201" s="93"/>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spans="1:26" ht="12.75" customHeight="1">
      <c r="A202" s="93"/>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spans="1:26" ht="12.75" customHeight="1">
      <c r="A203" s="93"/>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spans="1:26" ht="12.75" customHeight="1">
      <c r="A204" s="93"/>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spans="1:26" ht="12.75" customHeight="1">
      <c r="A205" s="93"/>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spans="1:26" ht="12.75" customHeight="1">
      <c r="A206" s="93"/>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spans="1:26" ht="12.75" customHeight="1">
      <c r="A207" s="93"/>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spans="1:26" ht="12.75" customHeight="1">
      <c r="A208" s="93"/>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spans="1:26" ht="12.75" customHeight="1">
      <c r="A209" s="93"/>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spans="1:26" ht="12.75" customHeight="1">
      <c r="A210" s="93"/>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spans="1:26" ht="12.75" customHeight="1">
      <c r="A211" s="93"/>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spans="1:26" ht="12.75" customHeight="1">
      <c r="A212" s="93"/>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spans="1:26" ht="12.75" customHeight="1">
      <c r="A213" s="93"/>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spans="1:26" ht="12.75" customHeight="1">
      <c r="A214" s="93"/>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spans="1:26" ht="12.75" customHeight="1">
      <c r="A215" s="93"/>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spans="1:26" ht="12.75" customHeight="1">
      <c r="A216" s="93"/>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spans="1:26" ht="12.75" customHeight="1">
      <c r="A217" s="93"/>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1:26" ht="12.75" customHeight="1">
      <c r="A218" s="93"/>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1:26" ht="12.75" customHeight="1">
      <c r="A219" s="93"/>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1:26" ht="12.75" customHeight="1">
      <c r="A220" s="93"/>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1:26" ht="12.75" customHeight="1">
      <c r="A221" s="93"/>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1:26" ht="12.75" customHeight="1">
      <c r="A222" s="93"/>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1:26" ht="12.75" customHeight="1">
      <c r="A223" s="93"/>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1:26" ht="12.75" customHeight="1">
      <c r="A224" s="93"/>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1:26" ht="12.75" customHeight="1">
      <c r="A225" s="93"/>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1:26" ht="12.75" customHeight="1">
      <c r="A226" s="93"/>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1:26" ht="12.75" customHeight="1">
      <c r="A227" s="93"/>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1:26" ht="12.75" customHeight="1">
      <c r="A228" s="93"/>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1:26" ht="12.75" customHeight="1">
      <c r="A229" s="93"/>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1:26" ht="12.75" customHeight="1">
      <c r="A230" s="93"/>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1:26" ht="12.75" customHeight="1">
      <c r="A231" s="93"/>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1:26" ht="12.75" customHeight="1">
      <c r="A232" s="93"/>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1:26" ht="12.75" customHeight="1">
      <c r="A233" s="93"/>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1:26" ht="12.75" customHeight="1">
      <c r="A234" s="93"/>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1:26" ht="12.75" customHeight="1">
      <c r="A235" s="93"/>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1:26" ht="12.75" customHeight="1">
      <c r="A236" s="93"/>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1:26" ht="12.75" customHeight="1">
      <c r="A237" s="93"/>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1:26" ht="12.75" customHeight="1">
      <c r="A238" s="93"/>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1:26" ht="12.75" customHeight="1">
      <c r="A239" s="93"/>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1:26" ht="12.75" customHeight="1">
      <c r="A240" s="93"/>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1:26" ht="12.75" customHeight="1">
      <c r="A241" s="93"/>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1:26" ht="12.75" customHeight="1">
      <c r="A242" s="93"/>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1:26" ht="12.75" customHeight="1">
      <c r="A243" s="93"/>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1:26" ht="12.75" customHeight="1">
      <c r="A244" s="93"/>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1:26" ht="12.75" customHeight="1">
      <c r="A245" s="93"/>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1:26" ht="12.75" customHeight="1">
      <c r="A246" s="93"/>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1:26" ht="12.75" customHeight="1">
      <c r="A247" s="93"/>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1:26" ht="12.75" customHeight="1">
      <c r="A248" s="93"/>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1:26" ht="12.75" customHeight="1">
      <c r="A249" s="93"/>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1:26" ht="12.75" customHeight="1">
      <c r="A250" s="93"/>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1:26" ht="12.75" customHeight="1">
      <c r="A251" s="93"/>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1:26" ht="12.75" customHeight="1">
      <c r="A252" s="93"/>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1:26" ht="12.75" customHeight="1">
      <c r="A253" s="93"/>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1:26" ht="12.75" customHeight="1">
      <c r="A254" s="93"/>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1:26" ht="12.75" customHeight="1">
      <c r="A255" s="93"/>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1:26" ht="12.75" customHeight="1">
      <c r="A256" s="93"/>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1:26" ht="12.75" customHeight="1">
      <c r="A257" s="93"/>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1:26" ht="12.75" customHeight="1">
      <c r="A258" s="93"/>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1:26" ht="12.75" customHeight="1">
      <c r="A259" s="93"/>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1:26" ht="12.75" customHeight="1">
      <c r="A260" s="93"/>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1:26" ht="12.75" customHeight="1">
      <c r="A261" s="93"/>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1:26" ht="12.75" customHeight="1">
      <c r="A262" s="93"/>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1:26" ht="12.75" customHeight="1">
      <c r="A263" s="93"/>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1:26" ht="12.75" customHeight="1">
      <c r="A264" s="93"/>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1:26" ht="12.75" customHeight="1">
      <c r="A265" s="93"/>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1:26" ht="12.75" customHeight="1">
      <c r="A266" s="93"/>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1:26" ht="12.75" customHeight="1">
      <c r="A267" s="93"/>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1:26" ht="12.75" customHeight="1">
      <c r="A268" s="93"/>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1:26" ht="12.75" customHeight="1">
      <c r="A269" s="93"/>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1:26" ht="12.75" customHeight="1">
      <c r="A270" s="93"/>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1:26" ht="12.75" customHeight="1">
      <c r="A271" s="93"/>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1:26" ht="12.75" customHeight="1">
      <c r="A272" s="93"/>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1:26" ht="12.75" customHeight="1">
      <c r="A273" s="93"/>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1:26" ht="12.75" customHeight="1">
      <c r="A274" s="93"/>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1:26" ht="12.75" customHeight="1">
      <c r="A275" s="93"/>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1:26" ht="12.75" customHeight="1">
      <c r="A276" s="93"/>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1:26" ht="12.75" customHeight="1">
      <c r="A277" s="93"/>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1:26" ht="12.75" customHeight="1">
      <c r="A278" s="93"/>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1:26" ht="12.75" customHeight="1">
      <c r="A279" s="93"/>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1:26" ht="12.75" customHeight="1">
      <c r="A280" s="93"/>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1:26" ht="12.75" customHeight="1">
      <c r="A281" s="93"/>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1:26" ht="12.75" customHeight="1">
      <c r="A282" s="93"/>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1:26" ht="12.75" customHeight="1">
      <c r="A283" s="93"/>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1:26" ht="12.75" customHeight="1">
      <c r="A284" s="93"/>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1:26" ht="12.75" customHeight="1">
      <c r="A285" s="93"/>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1:26" ht="12.75" customHeight="1">
      <c r="A286" s="93"/>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1:26" ht="12.75" customHeight="1">
      <c r="A287" s="93"/>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1:26" ht="12.75" customHeight="1">
      <c r="A288" s="93"/>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1:26" ht="12.75" customHeight="1">
      <c r="A289" s="93"/>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1:26" ht="12.75" customHeight="1">
      <c r="A290" s="93"/>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1:26" ht="12.75" customHeight="1">
      <c r="A291" s="93"/>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1:26" ht="12.75" customHeight="1">
      <c r="A292" s="93"/>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1:26" ht="12.75" customHeight="1">
      <c r="A293" s="93"/>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1:26" ht="12.75" customHeight="1">
      <c r="A294" s="93"/>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1:26" ht="12.75" customHeight="1">
      <c r="A295" s="93"/>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1:26" ht="12.75" customHeight="1">
      <c r="A296" s="93"/>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1:26" ht="12.75" customHeight="1">
      <c r="A297" s="93"/>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1:26" ht="12.75" customHeight="1">
      <c r="A298" s="93"/>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1:26" ht="12.75" customHeight="1">
      <c r="A299" s="93"/>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1:26" ht="12.75" customHeight="1">
      <c r="A300" s="93"/>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spans="1:26" ht="12.75" customHeight="1">
      <c r="A301" s="93"/>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spans="1:26" ht="12.75" customHeight="1">
      <c r="A302" s="93"/>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spans="1:26" ht="12.75" customHeight="1">
      <c r="A303" s="93"/>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spans="1:26" ht="12.75" customHeight="1">
      <c r="A304" s="93"/>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spans="1:26" ht="12.75" customHeight="1">
      <c r="A305" s="93"/>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spans="1:26" ht="12.75" customHeight="1">
      <c r="A306" s="93"/>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spans="1:26" ht="12.75" customHeight="1">
      <c r="A307" s="93"/>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spans="1:26" ht="12.75" customHeight="1">
      <c r="A308" s="93"/>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spans="1:26" ht="12.75" customHeight="1">
      <c r="A309" s="93"/>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spans="1:26" ht="12.75" customHeight="1">
      <c r="A310" s="93"/>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spans="1:26" ht="12.75" customHeight="1">
      <c r="A311" s="93"/>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spans="1:26" ht="12.75" customHeight="1">
      <c r="A312" s="93"/>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spans="1:26" ht="12.75" customHeight="1">
      <c r="A313" s="93"/>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spans="1:26" ht="12.75" customHeight="1">
      <c r="A314" s="93"/>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spans="1:26" ht="12.75" customHeight="1">
      <c r="A315" s="93"/>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spans="1:26" ht="12.75" customHeight="1">
      <c r="A316" s="93"/>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spans="1:26" ht="12.75" customHeight="1">
      <c r="A317" s="93"/>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spans="1:26" ht="12.75" customHeight="1">
      <c r="A318" s="93"/>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spans="1:26" ht="12.75" customHeight="1">
      <c r="A319" s="93"/>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spans="1:26" ht="12.75" customHeight="1">
      <c r="A320" s="93"/>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spans="1:26" ht="12.75" customHeight="1">
      <c r="A321" s="93"/>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spans="1:26" ht="12.75" customHeight="1">
      <c r="A322" s="93"/>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spans="1:26" ht="12.75" customHeight="1">
      <c r="A323" s="93"/>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spans="1:26" ht="12.75" customHeight="1">
      <c r="A324" s="93"/>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spans="1:26" ht="12.75" customHeight="1">
      <c r="A325" s="93"/>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spans="1:26" ht="12.75" customHeight="1">
      <c r="A326" s="93"/>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spans="1:26" ht="12.75" customHeight="1">
      <c r="A327" s="93"/>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spans="1:26" ht="12.75" customHeight="1">
      <c r="A328" s="93"/>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spans="1:26" ht="12.75" customHeight="1">
      <c r="A329" s="93"/>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spans="1:26" ht="12.75" customHeight="1">
      <c r="A330" s="93"/>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spans="1:26" ht="12.75" customHeight="1">
      <c r="A331" s="93"/>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spans="1:26" ht="12.75" customHeight="1">
      <c r="A332" s="93"/>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spans="1:26" ht="12.75" customHeight="1">
      <c r="A333" s="93"/>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spans="1:26" ht="12.75" customHeight="1">
      <c r="A334" s="93"/>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spans="1:26" ht="12.75" customHeight="1">
      <c r="A335" s="93"/>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spans="1:26" ht="12.75" customHeight="1">
      <c r="A336" s="93"/>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spans="1:26" ht="12.75" customHeight="1">
      <c r="A337" s="93"/>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spans="1:26" ht="12.75" customHeight="1">
      <c r="A338" s="93"/>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spans="1:26" ht="12.75" customHeight="1">
      <c r="A339" s="93"/>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spans="1:26" ht="12.75" customHeight="1">
      <c r="A340" s="93"/>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spans="1:26" ht="12.75" customHeight="1">
      <c r="A341" s="93"/>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spans="1:26" ht="12.75" customHeight="1">
      <c r="A342" s="93"/>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spans="1:26" ht="12.75" customHeight="1">
      <c r="A343" s="93"/>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spans="1:26" ht="12.75" customHeight="1">
      <c r="A344" s="93"/>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spans="1:26" ht="12.75" customHeight="1">
      <c r="A345" s="93"/>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spans="1:26" ht="12.75" customHeight="1">
      <c r="A346" s="93"/>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spans="1:26" ht="12.75" customHeight="1">
      <c r="A347" s="93"/>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spans="1:26" ht="12.75" customHeight="1">
      <c r="A348" s="93"/>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spans="1:26" ht="12.75" customHeight="1">
      <c r="A349" s="93"/>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spans="1:26" ht="12.75" customHeight="1">
      <c r="A350" s="93"/>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spans="1:26" ht="12.75" customHeight="1">
      <c r="A351" s="93"/>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spans="1:26" ht="12.75" customHeight="1">
      <c r="A352" s="93"/>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spans="1:26" ht="12.75" customHeight="1">
      <c r="A353" s="93"/>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spans="1:26" ht="12.75" customHeight="1">
      <c r="A354" s="93"/>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spans="1:26" ht="12.75" customHeight="1">
      <c r="A355" s="93"/>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spans="1:26" ht="12.75" customHeight="1">
      <c r="A356" s="93"/>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spans="1:26" ht="12.75" customHeight="1">
      <c r="A357" s="93"/>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spans="1:26" ht="12.75" customHeight="1">
      <c r="A358" s="93"/>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spans="1:26" ht="12.75" customHeight="1">
      <c r="A359" s="93"/>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spans="1:26" ht="12.75" customHeight="1">
      <c r="A360" s="93"/>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spans="1:26" ht="12.75" customHeight="1">
      <c r="A361" s="93"/>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spans="1:26" ht="12.75" customHeight="1">
      <c r="A362" s="93"/>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spans="1:26" ht="12.75" customHeight="1">
      <c r="A363" s="93"/>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spans="1:26" ht="12.75" customHeight="1">
      <c r="A364" s="93"/>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spans="1:26" ht="12.75" customHeight="1">
      <c r="A365" s="93"/>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spans="1:26" ht="12.75" customHeight="1">
      <c r="A366" s="93"/>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spans="1:26" ht="12.75" customHeight="1">
      <c r="A367" s="93"/>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spans="1:26" ht="12.75" customHeight="1">
      <c r="A368" s="93"/>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spans="1:26" ht="12.75" customHeight="1">
      <c r="A369" s="93"/>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spans="1:26" ht="12.75" customHeight="1">
      <c r="A370" s="93"/>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spans="1:26" ht="12.75" customHeight="1">
      <c r="A371" s="93"/>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spans="1:26" ht="12.75" customHeight="1">
      <c r="A372" s="93"/>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spans="1:26" ht="12.75" customHeight="1">
      <c r="A373" s="93"/>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spans="1:26" ht="12.75" customHeight="1">
      <c r="A374" s="93"/>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spans="1:26" ht="12.75" customHeight="1">
      <c r="A375" s="93"/>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spans="1:26" ht="12.75" customHeight="1">
      <c r="A376" s="93"/>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spans="1:26" ht="12.75" customHeight="1">
      <c r="A377" s="93"/>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spans="1:26" ht="12.75" customHeight="1">
      <c r="A378" s="93"/>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spans="1:26" ht="12.75" customHeight="1">
      <c r="A379" s="93"/>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spans="1:26" ht="12.75" customHeight="1">
      <c r="A380" s="93"/>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spans="1:26" ht="12.75" customHeight="1">
      <c r="A381" s="93"/>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spans="1:26" ht="12.75" customHeight="1">
      <c r="A382" s="93"/>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spans="1:26" ht="12.75" customHeight="1">
      <c r="A383" s="93"/>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spans="1:26" ht="12.75" customHeight="1">
      <c r="A384" s="93"/>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spans="1:26" ht="12.75" customHeight="1">
      <c r="A385" s="93"/>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spans="1:26" ht="12.75" customHeight="1">
      <c r="A386" s="93"/>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spans="1:26" ht="12.75" customHeight="1">
      <c r="A387" s="93"/>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spans="1:26" ht="12.75" customHeight="1">
      <c r="A388" s="93"/>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spans="1:26" ht="12.75" customHeight="1">
      <c r="A389" s="93"/>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spans="1:26" ht="12.75" customHeight="1">
      <c r="A390" s="93"/>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spans="1:26" ht="12.75" customHeight="1">
      <c r="A391" s="93"/>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spans="1:26" ht="12.75" customHeight="1">
      <c r="A392" s="93"/>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spans="1:26" ht="12.75" customHeight="1">
      <c r="A393" s="93"/>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spans="1:26" ht="12.75" customHeight="1">
      <c r="A394" s="93"/>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spans="1:26" ht="12.75" customHeight="1">
      <c r="A395" s="93"/>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spans="1:26" ht="12.75" customHeight="1">
      <c r="A396" s="93"/>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spans="1:26" ht="12.75" customHeight="1">
      <c r="A397" s="93"/>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spans="1:26" ht="12.75" customHeight="1">
      <c r="A398" s="93"/>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spans="1:26" ht="12.75" customHeight="1">
      <c r="A399" s="93"/>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spans="1:26" ht="12.75" customHeight="1">
      <c r="A400" s="93"/>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spans="1:26" ht="12.75" customHeight="1">
      <c r="A401" s="93"/>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spans="1:26" ht="12.75" customHeight="1">
      <c r="A402" s="93"/>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spans="1:26" ht="12.75" customHeight="1">
      <c r="A403" s="93"/>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spans="1:26" ht="12.75" customHeight="1">
      <c r="A404" s="93"/>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spans="1:26" ht="12.75" customHeight="1">
      <c r="A405" s="93"/>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spans="1:26" ht="12.75" customHeight="1">
      <c r="A406" s="93"/>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spans="1:26" ht="12.75" customHeight="1">
      <c r="A407" s="93"/>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spans="1:26" ht="12.75" customHeight="1">
      <c r="A408" s="93"/>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spans="1:26" ht="12.75" customHeight="1">
      <c r="A409" s="93"/>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spans="1:26" ht="12.75" customHeight="1">
      <c r="A410" s="93"/>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spans="1:26" ht="12.75" customHeight="1">
      <c r="A411" s="93"/>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spans="1:26" ht="12.75" customHeight="1">
      <c r="A412" s="93"/>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spans="1:26" ht="12.75" customHeight="1">
      <c r="A413" s="93"/>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spans="1:26" ht="12.75" customHeight="1">
      <c r="A414" s="93"/>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spans="1:26" ht="12.75" customHeight="1">
      <c r="A415" s="93"/>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spans="1:26" ht="12.75" customHeight="1">
      <c r="A416" s="93"/>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spans="1:26" ht="12.75" customHeight="1">
      <c r="A417" s="93"/>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spans="1:26" ht="12.75" customHeight="1">
      <c r="A418" s="93"/>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spans="1:26" ht="12.75" customHeight="1">
      <c r="A419" s="93"/>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spans="1:26" ht="12.75" customHeight="1">
      <c r="A420" s="93"/>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spans="1:26" ht="12.75" customHeight="1">
      <c r="A421" s="93"/>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spans="1:26" ht="12.75" customHeight="1">
      <c r="A422" s="93"/>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spans="1:26" ht="12.75" customHeight="1">
      <c r="A423" s="93"/>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spans="1:26" ht="12.75" customHeight="1">
      <c r="A424" s="93"/>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spans="1:26" ht="12.75" customHeight="1">
      <c r="A425" s="93"/>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spans="1:26" ht="12.75" customHeight="1">
      <c r="A426" s="93"/>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spans="1:26" ht="12.75" customHeight="1">
      <c r="A427" s="93"/>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spans="1:26" ht="12.75" customHeight="1">
      <c r="A428" s="93"/>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spans="1:26" ht="12.75" customHeight="1">
      <c r="A429" s="93"/>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spans="1:26" ht="12.75" customHeight="1">
      <c r="A430" s="93"/>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spans="1:26" ht="12.75" customHeight="1">
      <c r="A431" s="93"/>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spans="1:26" ht="12.75" customHeight="1">
      <c r="A432" s="93"/>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spans="1:26" ht="12.75" customHeight="1">
      <c r="A433" s="93"/>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spans="1:26" ht="12.75" customHeight="1">
      <c r="A434" s="93"/>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spans="1:26" ht="12.75" customHeight="1">
      <c r="A435" s="93"/>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spans="1:26" ht="12.75" customHeight="1">
      <c r="A436" s="93"/>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spans="1:26" ht="12.75" customHeight="1">
      <c r="A437" s="93"/>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spans="1:26" ht="12.75" customHeight="1">
      <c r="A438" s="93"/>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spans="1:26" ht="12.75" customHeight="1">
      <c r="A439" s="93"/>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spans="1:26" ht="12.75" customHeight="1">
      <c r="A440" s="93"/>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spans="1:26" ht="12.75" customHeight="1">
      <c r="A441" s="93"/>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spans="1:26" ht="12.75" customHeight="1">
      <c r="A442" s="93"/>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spans="1:26" ht="12.75" customHeight="1">
      <c r="A443" s="93"/>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spans="1:26" ht="12.75" customHeight="1">
      <c r="A444" s="93"/>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spans="1:26" ht="12.75" customHeight="1">
      <c r="A445" s="93"/>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spans="1:26" ht="12.75" customHeight="1">
      <c r="A446" s="93"/>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spans="1:26" ht="12.75" customHeight="1">
      <c r="A447" s="93"/>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spans="1:26" ht="12.75" customHeight="1">
      <c r="A448" s="93"/>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spans="1:26" ht="12.75" customHeight="1">
      <c r="A449" s="93"/>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spans="1:26" ht="12.75" customHeight="1">
      <c r="A450" s="93"/>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spans="1:26" ht="12.75" customHeight="1">
      <c r="A451" s="93"/>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spans="1:26" ht="12.75" customHeight="1">
      <c r="A452" s="93"/>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spans="1:26" ht="12.75" customHeight="1">
      <c r="A453" s="93"/>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spans="1:26" ht="12.75" customHeight="1">
      <c r="A454" s="93"/>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spans="1:26" ht="12.75" customHeight="1">
      <c r="A455" s="93"/>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spans="1:26" ht="12.75" customHeight="1">
      <c r="A456" s="93"/>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spans="1:26" ht="12.75" customHeight="1">
      <c r="A457" s="93"/>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spans="1:26" ht="12.75" customHeight="1">
      <c r="A458" s="93"/>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spans="1:26" ht="12.75" customHeight="1">
      <c r="A459" s="93"/>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spans="1:26" ht="12.75" customHeight="1">
      <c r="A460" s="93"/>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spans="1:26" ht="12.75" customHeight="1">
      <c r="A461" s="93"/>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spans="1:26" ht="12.75" customHeight="1">
      <c r="A462" s="93"/>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spans="1:26" ht="12.75" customHeight="1">
      <c r="A463" s="93"/>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spans="1:26" ht="12.75" customHeight="1">
      <c r="A464" s="93"/>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spans="1:26" ht="12.75" customHeight="1">
      <c r="A465" s="93"/>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spans="1:26" ht="12.75" customHeight="1">
      <c r="A466" s="93"/>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spans="1:26" ht="12.75" customHeight="1">
      <c r="A467" s="93"/>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spans="1:26" ht="12.75" customHeight="1">
      <c r="A468" s="93"/>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spans="1:26" ht="12.75" customHeight="1">
      <c r="A469" s="93"/>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spans="1:26" ht="12.75" customHeight="1">
      <c r="A470" s="93"/>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spans="1:26" ht="12.75" customHeight="1">
      <c r="A471" s="93"/>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spans="1:26" ht="12.75" customHeight="1">
      <c r="A472" s="93"/>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spans="1:26" ht="12.75" customHeight="1">
      <c r="A473" s="93"/>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spans="1:26" ht="12.75" customHeight="1">
      <c r="A474" s="93"/>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spans="1:26" ht="12.75" customHeight="1">
      <c r="A475" s="93"/>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spans="1:26" ht="12.75" customHeight="1">
      <c r="A476" s="93"/>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spans="1:26" ht="12.75" customHeight="1">
      <c r="A477" s="93"/>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spans="1:26" ht="12.75" customHeight="1">
      <c r="A478" s="93"/>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spans="1:26" ht="12.75" customHeight="1">
      <c r="A479" s="93"/>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spans="1:26" ht="12.75" customHeight="1">
      <c r="A480" s="93"/>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spans="1:26" ht="12.75" customHeight="1">
      <c r="A481" s="93"/>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spans="1:26" ht="12.75" customHeight="1">
      <c r="A482" s="93"/>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spans="1:26" ht="12.75" customHeight="1">
      <c r="A483" s="93"/>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spans="1:26" ht="12.75" customHeight="1">
      <c r="A484" s="93"/>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spans="1:26" ht="12.75" customHeight="1">
      <c r="A485" s="93"/>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spans="1:26" ht="12.75" customHeight="1">
      <c r="A486" s="93"/>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spans="1:26" ht="12.75" customHeight="1">
      <c r="A487" s="93"/>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spans="1:26" ht="12.75" customHeight="1">
      <c r="A488" s="93"/>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spans="1:26" ht="12.75" customHeight="1">
      <c r="A489" s="93"/>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spans="1:26" ht="12.75" customHeight="1">
      <c r="A490" s="93"/>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spans="1:26" ht="12.75" customHeight="1">
      <c r="A491" s="93"/>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spans="1:26" ht="12.75" customHeight="1">
      <c r="A492" s="93"/>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spans="1:26" ht="12.75" customHeight="1">
      <c r="A493" s="93"/>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spans="1:26" ht="12.75" customHeight="1">
      <c r="A494" s="93"/>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spans="1:26" ht="12.75" customHeight="1">
      <c r="A495" s="93"/>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spans="1:26" ht="12.75" customHeight="1">
      <c r="A496" s="93"/>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spans="1:26" ht="12.75" customHeight="1">
      <c r="A497" s="93"/>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spans="1:26" ht="12.75" customHeight="1">
      <c r="A498" s="93"/>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spans="1:26" ht="12.75" customHeight="1">
      <c r="A499" s="93"/>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spans="1:26" ht="12.75" customHeight="1">
      <c r="A500" s="93"/>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spans="1:26" ht="12.75" customHeight="1">
      <c r="A501" s="93"/>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spans="1:26" ht="12.75" customHeight="1">
      <c r="A502" s="93"/>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spans="1:26" ht="12.75" customHeight="1">
      <c r="A503" s="93"/>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spans="1:26" ht="12.75" customHeight="1">
      <c r="A504" s="93"/>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spans="1:26" ht="12.75" customHeight="1">
      <c r="A505" s="93"/>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spans="1:26" ht="12.75" customHeight="1">
      <c r="A506" s="93"/>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spans="1:26" ht="12.75" customHeight="1">
      <c r="A507" s="93"/>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spans="1:26" ht="12.75" customHeight="1">
      <c r="A508" s="93"/>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spans="1:26" ht="12.75" customHeight="1">
      <c r="A509" s="93"/>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spans="1:26" ht="12.75" customHeight="1">
      <c r="A510" s="93"/>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spans="1:26" ht="12.75" customHeight="1">
      <c r="A511" s="93"/>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spans="1:26" ht="12.75" customHeight="1">
      <c r="A512" s="93"/>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spans="1:26" ht="12.75" customHeight="1">
      <c r="A513" s="93"/>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spans="1:26" ht="12.75" customHeight="1">
      <c r="A514" s="93"/>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spans="1:26" ht="12.75" customHeight="1">
      <c r="A515" s="93"/>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spans="1:26" ht="12.75" customHeight="1">
      <c r="A516" s="93"/>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spans="1:26" ht="12.75" customHeight="1">
      <c r="A517" s="93"/>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spans="1:26" ht="12.75" customHeight="1">
      <c r="A518" s="93"/>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spans="1:26" ht="12.75" customHeight="1">
      <c r="A519" s="93"/>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spans="1:26" ht="12.75" customHeight="1">
      <c r="A520" s="93"/>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spans="1:26" ht="12.75" customHeight="1">
      <c r="A521" s="93"/>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spans="1:26" ht="12.75" customHeight="1">
      <c r="A522" s="93"/>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spans="1:26" ht="12.75" customHeight="1">
      <c r="A523" s="93"/>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spans="1:26" ht="12.75" customHeight="1">
      <c r="A524" s="93"/>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spans="1:26" ht="12.75" customHeight="1">
      <c r="A525" s="93"/>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spans="1:26" ht="12.75" customHeight="1">
      <c r="A526" s="93"/>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spans="1:26" ht="12.75" customHeight="1">
      <c r="A527" s="93"/>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spans="1:26" ht="12.75" customHeight="1">
      <c r="A528" s="93"/>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spans="1:26" ht="12.75" customHeight="1">
      <c r="A529" s="93"/>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spans="1:26" ht="12.75" customHeight="1">
      <c r="A530" s="93"/>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spans="1:26" ht="12.75" customHeight="1">
      <c r="A531" s="93"/>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spans="1:26" ht="12.75" customHeight="1">
      <c r="A532" s="93"/>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spans="1:26" ht="12.75" customHeight="1">
      <c r="A533" s="93"/>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spans="1:26" ht="12.75" customHeight="1">
      <c r="A534" s="93"/>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spans="1:26" ht="12.75" customHeight="1">
      <c r="A535" s="93"/>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spans="1:26" ht="12.75" customHeight="1">
      <c r="A536" s="93"/>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spans="1:26" ht="12.75" customHeight="1">
      <c r="A537" s="93"/>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spans="1:26" ht="12.75" customHeight="1">
      <c r="A538" s="93"/>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spans="1:26" ht="12.75" customHeight="1">
      <c r="A539" s="93"/>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spans="1:26" ht="12.75" customHeight="1">
      <c r="A540" s="93"/>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spans="1:26" ht="12.75" customHeight="1">
      <c r="A541" s="93"/>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spans="1:26" ht="12.75" customHeight="1">
      <c r="A542" s="93"/>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spans="1:26" ht="12.75" customHeight="1">
      <c r="A543" s="93"/>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spans="1:26" ht="12.75" customHeight="1">
      <c r="A544" s="93"/>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spans="1:26" ht="12.75" customHeight="1">
      <c r="A545" s="93"/>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spans="1:26" ht="12.75" customHeight="1">
      <c r="A546" s="93"/>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spans="1:26" ht="12.75" customHeight="1">
      <c r="A547" s="93"/>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spans="1:26" ht="12.75" customHeight="1">
      <c r="A548" s="93"/>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spans="1:26" ht="12.75" customHeight="1">
      <c r="A549" s="93"/>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spans="1:26" ht="12.75" customHeight="1">
      <c r="A550" s="93"/>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spans="1:26" ht="12.75" customHeight="1">
      <c r="A551" s="93"/>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spans="1:26" ht="12.75" customHeight="1">
      <c r="A552" s="93"/>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spans="1:26" ht="12.75" customHeight="1">
      <c r="A553" s="93"/>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spans="1:26" ht="12.75" customHeight="1">
      <c r="A554" s="93"/>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spans="1:26" ht="12.75" customHeight="1">
      <c r="A555" s="93"/>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spans="1:26" ht="12.75" customHeight="1">
      <c r="A556" s="93"/>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spans="1:26" ht="12.75" customHeight="1">
      <c r="A557" s="93"/>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spans="1:26" ht="12.75" customHeight="1">
      <c r="A558" s="93"/>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spans="1:26" ht="12.75" customHeight="1">
      <c r="A559" s="93"/>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spans="1:26" ht="12.75" customHeight="1">
      <c r="A560" s="93"/>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spans="1:26" ht="12.75" customHeight="1">
      <c r="A561" s="93"/>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spans="1:26" ht="12.75" customHeight="1">
      <c r="A562" s="93"/>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spans="1:26" ht="12.75" customHeight="1">
      <c r="A563" s="93"/>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spans="1:26" ht="12.75" customHeight="1">
      <c r="A564" s="93"/>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spans="1:26" ht="12.75" customHeight="1">
      <c r="A565" s="93"/>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spans="1:26" ht="12.75" customHeight="1">
      <c r="A566" s="93"/>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spans="1:26" ht="12.75" customHeight="1">
      <c r="A567" s="93"/>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spans="1:26" ht="12.75" customHeight="1">
      <c r="A568" s="93"/>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spans="1:26" ht="12.75" customHeight="1">
      <c r="A569" s="93"/>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spans="1:26" ht="12.75" customHeight="1">
      <c r="A570" s="93"/>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spans="1:26" ht="12.75" customHeight="1">
      <c r="A571" s="93"/>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spans="1:26" ht="12.75" customHeight="1">
      <c r="A572" s="93"/>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spans="1:26" ht="12.75" customHeight="1">
      <c r="A573" s="93"/>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spans="1:26" ht="12.75" customHeight="1">
      <c r="A574" s="93"/>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spans="1:26" ht="12.75" customHeight="1">
      <c r="A575" s="93"/>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spans="1:26" ht="12.75" customHeight="1">
      <c r="A576" s="93"/>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spans="1:26" ht="12.75" customHeight="1">
      <c r="A577" s="93"/>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spans="1:26" ht="12.75" customHeight="1">
      <c r="A578" s="93"/>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spans="1:26" ht="12.75" customHeight="1">
      <c r="A579" s="93"/>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spans="1:26" ht="12.75" customHeight="1">
      <c r="A580" s="93"/>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spans="1:26" ht="12.75" customHeight="1">
      <c r="A581" s="93"/>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spans="1:26" ht="12.75" customHeight="1">
      <c r="A582" s="93"/>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spans="1:26" ht="12.75" customHeight="1">
      <c r="A583" s="93"/>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spans="1:26" ht="12.75" customHeight="1">
      <c r="A584" s="93"/>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spans="1:26" ht="12.75" customHeight="1">
      <c r="A585" s="93"/>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spans="1:26" ht="12.75" customHeight="1">
      <c r="A586" s="93"/>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spans="1:26" ht="12.75" customHeight="1">
      <c r="A587" s="93"/>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spans="1:26" ht="12.75" customHeight="1">
      <c r="A588" s="93"/>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spans="1:26" ht="12.75" customHeight="1">
      <c r="A589" s="93"/>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spans="1:26" ht="12.75" customHeight="1">
      <c r="A590" s="93"/>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spans="1:26" ht="12.75" customHeight="1">
      <c r="A591" s="93"/>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spans="1:26" ht="12.75" customHeight="1">
      <c r="A592" s="93"/>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spans="1:26" ht="12.75" customHeight="1">
      <c r="A593" s="93"/>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spans="1:26" ht="12.75" customHeight="1">
      <c r="A594" s="93"/>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spans="1:26" ht="12.75" customHeight="1">
      <c r="A595" s="93"/>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spans="1:26" ht="12.75" customHeight="1">
      <c r="A596" s="93"/>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spans="1:26" ht="12.75" customHeight="1">
      <c r="A597" s="93"/>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spans="1:26" ht="12.75" customHeight="1">
      <c r="A598" s="93"/>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spans="1:26" ht="12.75" customHeight="1">
      <c r="A599" s="93"/>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spans="1:26" ht="12.75" customHeight="1">
      <c r="A600" s="93"/>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spans="1:26" ht="12.75" customHeight="1">
      <c r="A601" s="93"/>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spans="1:26" ht="12.75" customHeight="1">
      <c r="A602" s="93"/>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spans="1:26" ht="12.75" customHeight="1">
      <c r="A603" s="93"/>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spans="1:26" ht="12.75" customHeight="1">
      <c r="A604" s="93"/>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spans="1:26" ht="12.75" customHeight="1">
      <c r="A605" s="93"/>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spans="1:26" ht="12.75" customHeight="1">
      <c r="A606" s="93"/>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spans="1:26" ht="12.75" customHeight="1">
      <c r="A607" s="93"/>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spans="1:26" ht="12.75" customHeight="1">
      <c r="A608" s="93"/>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spans="1:26" ht="12.75" customHeight="1">
      <c r="A609" s="93"/>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spans="1:26" ht="12.75" customHeight="1">
      <c r="A610" s="93"/>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spans="1:26" ht="12.75" customHeight="1">
      <c r="A611" s="93"/>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spans="1:26" ht="12.75" customHeight="1">
      <c r="A612" s="93"/>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spans="1:26" ht="12.75" customHeight="1">
      <c r="A613" s="93"/>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spans="1:26" ht="12.75" customHeight="1">
      <c r="A614" s="93"/>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spans="1:26" ht="12.75" customHeight="1">
      <c r="A615" s="93"/>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spans="1:26" ht="12.75" customHeight="1">
      <c r="A616" s="93"/>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spans="1:26" ht="12.75" customHeight="1">
      <c r="A617" s="93"/>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spans="1:26" ht="12.75" customHeight="1">
      <c r="A618" s="93"/>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spans="1:26" ht="12.75" customHeight="1">
      <c r="A619" s="93"/>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spans="1:26" ht="12.75" customHeight="1">
      <c r="A620" s="93"/>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spans="1:26" ht="12.75" customHeight="1">
      <c r="A621" s="93"/>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spans="1:26" ht="12.75" customHeight="1">
      <c r="A622" s="93"/>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spans="1:26" ht="12.75" customHeight="1">
      <c r="A623" s="93"/>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spans="1:26" ht="12.75" customHeight="1">
      <c r="A624" s="93"/>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spans="1:26" ht="12.75" customHeight="1">
      <c r="A625" s="93"/>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spans="1:26" ht="12.75" customHeight="1">
      <c r="A626" s="93"/>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spans="1:26" ht="12.75" customHeight="1">
      <c r="A627" s="93"/>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spans="1:26" ht="12.75" customHeight="1">
      <c r="A628" s="93"/>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spans="1:26" ht="12.75" customHeight="1">
      <c r="A629" s="93"/>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spans="1:26" ht="12.75" customHeight="1">
      <c r="A630" s="93"/>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spans="1:26" ht="12.75" customHeight="1">
      <c r="A631" s="93"/>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spans="1:26" ht="12.75" customHeight="1">
      <c r="A632" s="93"/>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spans="1:26" ht="12.75" customHeight="1">
      <c r="A633" s="93"/>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spans="1:26" ht="12.75" customHeight="1">
      <c r="A634" s="93"/>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spans="1:26" ht="12.75" customHeight="1">
      <c r="A635" s="93"/>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spans="1:26" ht="12.75" customHeight="1">
      <c r="A636" s="93"/>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spans="1:26" ht="12.75" customHeight="1">
      <c r="A637" s="93"/>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spans="1:26" ht="12.75" customHeight="1">
      <c r="A638" s="93"/>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spans="1:26" ht="12.75" customHeight="1">
      <c r="A639" s="93"/>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spans="1:26" ht="12.75" customHeight="1">
      <c r="A640" s="93"/>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spans="1:26" ht="12.75" customHeight="1">
      <c r="A641" s="93"/>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spans="1:26" ht="12.75" customHeight="1">
      <c r="A642" s="93"/>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spans="1:26" ht="12.75" customHeight="1">
      <c r="A643" s="93"/>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spans="1:26" ht="12.75" customHeight="1">
      <c r="A644" s="93"/>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spans="1:26" ht="12.75" customHeight="1">
      <c r="A645" s="93"/>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spans="1:26" ht="12.75" customHeight="1">
      <c r="A646" s="93"/>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spans="1:26" ht="12.75" customHeight="1">
      <c r="A647" s="93"/>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spans="1:26" ht="12.75" customHeight="1">
      <c r="A648" s="93"/>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spans="1:26" ht="12.75" customHeight="1">
      <c r="A649" s="93"/>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spans="1:26" ht="12.75" customHeight="1">
      <c r="A650" s="93"/>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spans="1:26" ht="12.75" customHeight="1">
      <c r="A651" s="93"/>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spans="1:26" ht="12.75" customHeight="1">
      <c r="A652" s="93"/>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spans="1:26" ht="12.75" customHeight="1">
      <c r="A653" s="93"/>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spans="1:26" ht="12.75" customHeight="1">
      <c r="A654" s="93"/>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spans="1:26" ht="12.75" customHeight="1">
      <c r="A655" s="93"/>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spans="1:26" ht="12.75" customHeight="1">
      <c r="A656" s="93"/>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spans="1:26" ht="12.75" customHeight="1">
      <c r="A657" s="93"/>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spans="1:26" ht="12.75" customHeight="1">
      <c r="A658" s="93"/>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spans="1:26" ht="12.75" customHeight="1">
      <c r="A659" s="93"/>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spans="1:26" ht="12.75" customHeight="1">
      <c r="A660" s="93"/>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spans="1:26" ht="12.75" customHeight="1">
      <c r="A661" s="93"/>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spans="1:26" ht="12.75" customHeight="1">
      <c r="A662" s="93"/>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spans="1:26" ht="12.75" customHeight="1">
      <c r="A663" s="93"/>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spans="1:26" ht="12.75" customHeight="1">
      <c r="A664" s="93"/>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spans="1:26" ht="12.75" customHeight="1">
      <c r="A665" s="93"/>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spans="1:26" ht="12.75" customHeight="1">
      <c r="A666" s="93"/>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spans="1:26" ht="12.75" customHeight="1">
      <c r="A667" s="93"/>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spans="1:26" ht="12.75" customHeight="1">
      <c r="A668" s="93"/>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spans="1:26" ht="12.75" customHeight="1">
      <c r="A669" s="93"/>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spans="1:26" ht="12.75" customHeight="1">
      <c r="A670" s="93"/>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spans="1:26" ht="12.75" customHeight="1">
      <c r="A671" s="93"/>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spans="1:26" ht="12.75" customHeight="1">
      <c r="A672" s="93"/>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spans="1:26" ht="12.75" customHeight="1">
      <c r="A673" s="93"/>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spans="1:26" ht="12.75" customHeight="1">
      <c r="A674" s="93"/>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spans="1:26" ht="12.75" customHeight="1">
      <c r="A675" s="93"/>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spans="1:26" ht="12.75" customHeight="1">
      <c r="A676" s="93"/>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spans="1:26" ht="12.75" customHeight="1">
      <c r="A677" s="93"/>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spans="1:26" ht="12.75" customHeight="1">
      <c r="A678" s="93"/>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spans="1:26" ht="12.75" customHeight="1">
      <c r="A679" s="93"/>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spans="1:26" ht="12.75" customHeight="1">
      <c r="A680" s="93"/>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spans="1:26" ht="12.75" customHeight="1">
      <c r="A681" s="93"/>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spans="1:26" ht="12.75" customHeight="1">
      <c r="A682" s="93"/>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spans="1:26" ht="12.75" customHeight="1">
      <c r="A683" s="93"/>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spans="1:26" ht="12.75" customHeight="1">
      <c r="A684" s="93"/>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spans="1:26" ht="12.75" customHeight="1">
      <c r="A685" s="93"/>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spans="1:26" ht="12.75" customHeight="1">
      <c r="A686" s="93"/>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spans="1:26" ht="12.75" customHeight="1">
      <c r="A687" s="93"/>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spans="1:26" ht="12.75" customHeight="1">
      <c r="A688" s="93"/>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spans="1:26" ht="12.75" customHeight="1">
      <c r="A689" s="93"/>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spans="1:26" ht="12.75" customHeight="1">
      <c r="A690" s="93"/>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spans="1:26" ht="12.75" customHeight="1">
      <c r="A691" s="93"/>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spans="1:26" ht="12.75" customHeight="1">
      <c r="A692" s="93"/>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spans="1:26" ht="12.75" customHeight="1">
      <c r="A693" s="93"/>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spans="1:26" ht="12.75" customHeight="1">
      <c r="A694" s="93"/>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spans="1:26" ht="12.75" customHeight="1">
      <c r="A695" s="93"/>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spans="1:26" ht="12.75" customHeight="1">
      <c r="A696" s="93"/>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spans="1:26" ht="12.75" customHeight="1">
      <c r="A697" s="93"/>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spans="1:26" ht="12.75" customHeight="1">
      <c r="A698" s="93"/>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spans="1:26" ht="12.75" customHeight="1">
      <c r="A699" s="93"/>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spans="1:26" ht="12.75" customHeight="1">
      <c r="A700" s="93"/>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spans="1:26" ht="12.75" customHeight="1">
      <c r="A701" s="93"/>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spans="1:26" ht="12.75" customHeight="1">
      <c r="A702" s="93"/>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spans="1:26" ht="12.75" customHeight="1">
      <c r="A703" s="93"/>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spans="1:26" ht="12.75" customHeight="1">
      <c r="A704" s="93"/>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spans="1:26" ht="12.75" customHeight="1">
      <c r="A705" s="93"/>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spans="1:26" ht="12.75" customHeight="1">
      <c r="A706" s="93"/>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spans="1:26" ht="12.75" customHeight="1">
      <c r="A707" s="93"/>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spans="1:26" ht="12.75" customHeight="1">
      <c r="A708" s="93"/>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spans="1:26" ht="12.75" customHeight="1">
      <c r="A709" s="93"/>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spans="1:26" ht="12.75" customHeight="1">
      <c r="A710" s="93"/>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spans="1:26" ht="12.75" customHeight="1">
      <c r="A711" s="93"/>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spans="1:26" ht="12.75" customHeight="1">
      <c r="A712" s="93"/>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spans="1:26" ht="12.75" customHeight="1">
      <c r="A713" s="93"/>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spans="1:26" ht="12.75" customHeight="1">
      <c r="A714" s="93"/>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spans="1:26" ht="12.75" customHeight="1">
      <c r="A715" s="93"/>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spans="1:26" ht="12.75" customHeight="1">
      <c r="A716" s="93"/>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spans="1:26" ht="12.75" customHeight="1">
      <c r="A717" s="93"/>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spans="1:26" ht="12.75" customHeight="1">
      <c r="A718" s="93"/>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spans="1:26" ht="12.75" customHeight="1">
      <c r="A719" s="93"/>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spans="1:26" ht="12.75" customHeight="1">
      <c r="A720" s="93"/>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spans="1:26" ht="12.75" customHeight="1">
      <c r="A721" s="93"/>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spans="1:26" ht="12.75" customHeight="1">
      <c r="A722" s="93"/>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spans="1:26" ht="12.75" customHeight="1">
      <c r="A723" s="93"/>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spans="1:26" ht="12.75" customHeight="1">
      <c r="A724" s="93"/>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spans="1:26" ht="12.75" customHeight="1">
      <c r="A725" s="93"/>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spans="1:26" ht="12.75" customHeight="1">
      <c r="A726" s="93"/>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spans="1:26" ht="12.75" customHeight="1">
      <c r="A727" s="93"/>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spans="1:26" ht="12.75" customHeight="1">
      <c r="A728" s="93"/>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spans="1:26" ht="12.75" customHeight="1">
      <c r="A729" s="93"/>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spans="1:26" ht="12.75" customHeight="1">
      <c r="A730" s="93"/>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spans="1:26" ht="12.75" customHeight="1">
      <c r="A731" s="93"/>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spans="1:26" ht="12.75" customHeight="1">
      <c r="A732" s="93"/>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spans="1:26" ht="12.75" customHeight="1">
      <c r="A733" s="93"/>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spans="1:26" ht="12.75" customHeight="1">
      <c r="A734" s="93"/>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spans="1:26" ht="12.75" customHeight="1">
      <c r="A735" s="93"/>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spans="1:26" ht="12.75" customHeight="1">
      <c r="A736" s="93"/>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spans="1:26" ht="12.75" customHeight="1">
      <c r="A737" s="93"/>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spans="1:26" ht="12.75" customHeight="1">
      <c r="A738" s="93"/>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spans="1:26" ht="12.75" customHeight="1">
      <c r="A739" s="93"/>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spans="1:26" ht="12.75" customHeight="1">
      <c r="A740" s="93"/>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spans="1:26" ht="12.75" customHeight="1">
      <c r="A741" s="93"/>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spans="1:26" ht="12.75" customHeight="1">
      <c r="A742" s="93"/>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spans="1:26" ht="12.75" customHeight="1">
      <c r="A743" s="93"/>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spans="1:26" ht="12.75" customHeight="1">
      <c r="A744" s="93"/>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spans="1:26" ht="12.75" customHeight="1">
      <c r="A745" s="93"/>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spans="1:26" ht="12.75" customHeight="1">
      <c r="A746" s="93"/>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spans="1:26" ht="12.75" customHeight="1">
      <c r="A747" s="93"/>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spans="1:26" ht="12.75" customHeight="1">
      <c r="A748" s="93"/>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spans="1:26" ht="12.75" customHeight="1">
      <c r="A749" s="93"/>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spans="1:26" ht="12.75" customHeight="1">
      <c r="A750" s="93"/>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spans="1:26" ht="12.75" customHeight="1">
      <c r="A751" s="93"/>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spans="1:26" ht="12.75" customHeight="1">
      <c r="A752" s="93"/>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spans="1:26" ht="12.75" customHeight="1">
      <c r="A753" s="93"/>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spans="1:26" ht="12.75" customHeight="1">
      <c r="A754" s="93"/>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spans="1:26" ht="12.75" customHeight="1">
      <c r="A755" s="93"/>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spans="1:26" ht="12.75" customHeight="1">
      <c r="A756" s="93"/>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spans="1:26" ht="12.75" customHeight="1">
      <c r="A757" s="93"/>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spans="1:26" ht="12.75" customHeight="1">
      <c r="A758" s="93"/>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spans="1:26" ht="12.75" customHeight="1">
      <c r="A759" s="93"/>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spans="1:26" ht="12.75" customHeight="1">
      <c r="A760" s="93"/>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spans="1:26" ht="12.75" customHeight="1">
      <c r="A761" s="93"/>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spans="1:26" ht="12.75" customHeight="1">
      <c r="A762" s="93"/>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spans="1:26" ht="12.75" customHeight="1">
      <c r="A763" s="93"/>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spans="1:26" ht="12.75" customHeight="1">
      <c r="A764" s="93"/>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spans="1:26" ht="12.75" customHeight="1">
      <c r="A765" s="93"/>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spans="1:26" ht="12.75" customHeight="1">
      <c r="A766" s="93"/>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spans="1:26" ht="12.75" customHeight="1">
      <c r="A767" s="93"/>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spans="1:26" ht="12.75" customHeight="1">
      <c r="A768" s="93"/>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spans="1:26" ht="12.75" customHeight="1">
      <c r="A769" s="93"/>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spans="1:26" ht="12.75" customHeight="1">
      <c r="A770" s="93"/>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spans="1:26" ht="12.75" customHeight="1">
      <c r="A771" s="93"/>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spans="1:26" ht="12.75" customHeight="1">
      <c r="A772" s="93"/>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spans="1:26" ht="12.75" customHeight="1">
      <c r="A773" s="93"/>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spans="1:26" ht="12.75" customHeight="1">
      <c r="A774" s="93"/>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spans="1:26" ht="12.75" customHeight="1">
      <c r="A775" s="93"/>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spans="1:26" ht="12.75" customHeight="1">
      <c r="A776" s="93"/>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spans="1:26" ht="12.75" customHeight="1">
      <c r="A777" s="93"/>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spans="1:26" ht="12.75" customHeight="1">
      <c r="A778" s="93"/>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spans="1:26" ht="12.75" customHeight="1">
      <c r="A779" s="93"/>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spans="1:26" ht="12.75" customHeight="1">
      <c r="A780" s="93"/>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spans="1:26" ht="12.75" customHeight="1">
      <c r="A781" s="93"/>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spans="1:26" ht="12.75" customHeight="1">
      <c r="A782" s="93"/>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spans="1:26" ht="12.75" customHeight="1">
      <c r="A783" s="93"/>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spans="1:26" ht="12.75" customHeight="1">
      <c r="A784" s="93"/>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spans="1:26" ht="12.75" customHeight="1">
      <c r="A785" s="93"/>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spans="1:26" ht="12.75" customHeight="1">
      <c r="A786" s="93"/>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spans="1:26" ht="12.75" customHeight="1">
      <c r="A787" s="93"/>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spans="1:26" ht="12.75" customHeight="1">
      <c r="A788" s="93"/>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spans="1:26" ht="12.75" customHeight="1">
      <c r="A789" s="93"/>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spans="1:26" ht="12.75" customHeight="1">
      <c r="A790" s="93"/>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spans="1:26" ht="12.75" customHeight="1">
      <c r="A791" s="93"/>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spans="1:26" ht="12.75" customHeight="1">
      <c r="A792" s="93"/>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spans="1:26" ht="12.75" customHeight="1">
      <c r="A793" s="93"/>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spans="1:26" ht="12.75" customHeight="1">
      <c r="A794" s="93"/>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spans="1:26" ht="12.75" customHeight="1">
      <c r="A795" s="93"/>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spans="1:26" ht="12.75" customHeight="1">
      <c r="A796" s="93"/>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spans="1:26" ht="12.75" customHeight="1">
      <c r="A797" s="93"/>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spans="1:26" ht="12.75" customHeight="1">
      <c r="A798" s="93"/>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spans="1:26" ht="12.75" customHeight="1">
      <c r="A799" s="93"/>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spans="1:26" ht="12.75" customHeight="1">
      <c r="A800" s="93"/>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spans="1:26" ht="12.75" customHeight="1">
      <c r="A801" s="93"/>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spans="1:26" ht="12.75" customHeight="1">
      <c r="A802" s="93"/>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spans="1:26" ht="12.75" customHeight="1">
      <c r="A803" s="93"/>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spans="1:26" ht="12.75" customHeight="1">
      <c r="A804" s="93"/>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spans="1:26" ht="12.75" customHeight="1">
      <c r="A805" s="93"/>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spans="1:26" ht="12.75" customHeight="1">
      <c r="A806" s="93"/>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spans="1:26" ht="12.75" customHeight="1">
      <c r="A807" s="93"/>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spans="1:26" ht="12.75" customHeight="1">
      <c r="A808" s="93"/>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spans="1:26" ht="12.75" customHeight="1">
      <c r="A809" s="93"/>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spans="1:26" ht="12.75" customHeight="1">
      <c r="A810" s="93"/>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spans="1:26" ht="12.75" customHeight="1">
      <c r="A811" s="93"/>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spans="1:26" ht="12.75" customHeight="1">
      <c r="A812" s="93"/>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spans="1:26" ht="12.75" customHeight="1">
      <c r="A813" s="93"/>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spans="1:26" ht="12.75" customHeight="1">
      <c r="A814" s="93"/>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spans="1:26" ht="12.75" customHeight="1">
      <c r="A815" s="93"/>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spans="1:26" ht="12.75" customHeight="1">
      <c r="A816" s="93"/>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spans="1:26" ht="12.75" customHeight="1">
      <c r="A817" s="93"/>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spans="1:26" ht="12.75" customHeight="1">
      <c r="A818" s="93"/>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spans="1:26" ht="12.75" customHeight="1">
      <c r="A819" s="93"/>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spans="1:26" ht="12.75" customHeight="1">
      <c r="A820" s="93"/>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spans="1:26" ht="12.75" customHeight="1">
      <c r="A821" s="93"/>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spans="1:26" ht="12.75" customHeight="1">
      <c r="A822" s="93"/>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spans="1:26" ht="12.75" customHeight="1">
      <c r="A823" s="93"/>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spans="1:26" ht="12.75" customHeight="1">
      <c r="A824" s="93"/>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spans="1:26" ht="12.75" customHeight="1">
      <c r="A825" s="93"/>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spans="1:26" ht="12.75" customHeight="1">
      <c r="A826" s="93"/>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spans="1:26" ht="12.75" customHeight="1">
      <c r="A827" s="93"/>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spans="1:26" ht="12.75" customHeight="1">
      <c r="A828" s="93"/>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spans="1:26" ht="12.75" customHeight="1">
      <c r="A829" s="93"/>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spans="1:26" ht="12.75" customHeight="1">
      <c r="A830" s="93"/>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spans="1:26" ht="12.75" customHeight="1">
      <c r="A831" s="93"/>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spans="1:26" ht="12.75" customHeight="1">
      <c r="A832" s="93"/>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spans="1:26" ht="12.75" customHeight="1">
      <c r="A833" s="93"/>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spans="1:26" ht="12.75" customHeight="1">
      <c r="A834" s="93"/>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spans="1:26" ht="12.75" customHeight="1">
      <c r="A835" s="93"/>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spans="1:26" ht="12.75" customHeight="1">
      <c r="A836" s="93"/>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spans="1:26" ht="12.75" customHeight="1">
      <c r="A837" s="93"/>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spans="1:26" ht="12.75" customHeight="1">
      <c r="A838" s="93"/>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spans="1:26" ht="12.75" customHeight="1">
      <c r="A839" s="93"/>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spans="1:26" ht="12.75" customHeight="1">
      <c r="A840" s="93"/>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spans="1:26" ht="12.75" customHeight="1">
      <c r="A841" s="93"/>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spans="1:26" ht="12.75" customHeight="1">
      <c r="A842" s="93"/>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spans="1:26" ht="12.75" customHeight="1">
      <c r="A843" s="93"/>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spans="1:26" ht="12.75" customHeight="1">
      <c r="A844" s="93"/>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spans="1:26" ht="12.75" customHeight="1">
      <c r="A845" s="93"/>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spans="1:26" ht="12.75" customHeight="1">
      <c r="A846" s="93"/>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spans="1:26" ht="12.75" customHeight="1">
      <c r="A847" s="93"/>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spans="1:26" ht="12.75" customHeight="1">
      <c r="A848" s="93"/>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spans="1:26" ht="12.75" customHeight="1">
      <c r="A849" s="93"/>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spans="1:26" ht="12.75" customHeight="1">
      <c r="A850" s="93"/>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spans="1:26" ht="12.75" customHeight="1">
      <c r="A851" s="93"/>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spans="1:26" ht="12.75" customHeight="1">
      <c r="A852" s="93"/>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spans="1:26" ht="12.75" customHeight="1">
      <c r="A853" s="93"/>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spans="1:26" ht="12.75" customHeight="1">
      <c r="A854" s="93"/>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spans="1:26" ht="12.75" customHeight="1">
      <c r="A855" s="93"/>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spans="1:26" ht="12.75" customHeight="1">
      <c r="A856" s="93"/>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spans="1:26" ht="12.75" customHeight="1">
      <c r="A857" s="93"/>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spans="1:26" ht="12.75" customHeight="1">
      <c r="A858" s="93"/>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spans="1:26" ht="12.75" customHeight="1">
      <c r="A859" s="93"/>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spans="1:26" ht="12.75" customHeight="1">
      <c r="A860" s="93"/>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spans="1:26" ht="12.75" customHeight="1">
      <c r="A861" s="93"/>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spans="1:26" ht="12.75" customHeight="1">
      <c r="A862" s="93"/>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spans="1:26" ht="12.75" customHeight="1">
      <c r="A863" s="93"/>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spans="1:26" ht="12.75" customHeight="1">
      <c r="A864" s="93"/>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spans="1:26" ht="12.75" customHeight="1">
      <c r="A865" s="93"/>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spans="1:26" ht="12.75" customHeight="1">
      <c r="A866" s="93"/>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spans="1:26" ht="12.75" customHeight="1">
      <c r="A867" s="93"/>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spans="1:26" ht="12.75" customHeight="1">
      <c r="A868" s="93"/>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spans="1:26" ht="12.75" customHeight="1">
      <c r="A869" s="93"/>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spans="1:26" ht="12.75" customHeight="1">
      <c r="A870" s="93"/>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spans="1:26" ht="12.75" customHeight="1">
      <c r="A871" s="93"/>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spans="1:26" ht="12.75" customHeight="1">
      <c r="A872" s="93"/>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spans="1:26" ht="12.75" customHeight="1">
      <c r="A873" s="93"/>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spans="1:26" ht="12.75" customHeight="1">
      <c r="A874" s="93"/>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spans="1:26" ht="12.75" customHeight="1">
      <c r="A875" s="93"/>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spans="1:26" ht="12.75" customHeight="1">
      <c r="A876" s="93"/>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spans="1:26" ht="12.75" customHeight="1">
      <c r="A877" s="93"/>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spans="1:26" ht="12.75" customHeight="1">
      <c r="A878" s="93"/>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spans="1:26" ht="12.75" customHeight="1">
      <c r="A879" s="93"/>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spans="1:26" ht="12.75" customHeight="1">
      <c r="A880" s="93"/>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spans="1:26" ht="12.75" customHeight="1">
      <c r="A881" s="93"/>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spans="1:26" ht="12.75" customHeight="1">
      <c r="A882" s="93"/>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spans="1:26" ht="12.75" customHeight="1">
      <c r="A883" s="93"/>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spans="1:26" ht="12.75" customHeight="1">
      <c r="A884" s="93"/>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spans="1:26" ht="12.75" customHeight="1">
      <c r="A885" s="93"/>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spans="1:26" ht="12.75" customHeight="1">
      <c r="A886" s="93"/>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spans="1:26" ht="12.75" customHeight="1">
      <c r="A887" s="93"/>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spans="1:26" ht="12.75" customHeight="1">
      <c r="A888" s="93"/>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spans="1:26" ht="12.75" customHeight="1">
      <c r="A889" s="93"/>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spans="1:26" ht="12.75" customHeight="1">
      <c r="A890" s="93"/>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spans="1:26" ht="12.75" customHeight="1">
      <c r="A891" s="93"/>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spans="1:26" ht="12.75" customHeight="1">
      <c r="A892" s="93"/>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spans="1:26" ht="12.75" customHeight="1">
      <c r="A893" s="93"/>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spans="1:26" ht="12.75" customHeight="1">
      <c r="A894" s="93"/>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spans="1:26" ht="12.75" customHeight="1">
      <c r="A895" s="93"/>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spans="1:26" ht="12.75" customHeight="1">
      <c r="A896" s="93"/>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spans="1:26" ht="12.75" customHeight="1">
      <c r="A897" s="93"/>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spans="1:26" ht="12.75" customHeight="1">
      <c r="A898" s="93"/>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spans="1:26" ht="12.75" customHeight="1">
      <c r="A899" s="93"/>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spans="1:26" ht="12.75" customHeight="1">
      <c r="A900" s="93"/>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spans="1:26" ht="12.75" customHeight="1">
      <c r="A901" s="93"/>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spans="1:26" ht="12.75" customHeight="1">
      <c r="A902" s="93"/>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spans="1:26" ht="12.75" customHeight="1">
      <c r="A903" s="93"/>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spans="1:26" ht="12.75" customHeight="1">
      <c r="A904" s="93"/>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spans="1:26" ht="12.75" customHeight="1">
      <c r="A905" s="93"/>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spans="1:26" ht="12.75" customHeight="1">
      <c r="A906" s="93"/>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spans="1:26" ht="12.75" customHeight="1">
      <c r="A907" s="93"/>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spans="1:26" ht="12.75" customHeight="1">
      <c r="A908" s="93"/>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spans="1:26" ht="12.75" customHeight="1">
      <c r="A909" s="93"/>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spans="1:26" ht="12.75" customHeight="1">
      <c r="A910" s="93"/>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spans="1:26" ht="12.75" customHeight="1">
      <c r="A911" s="93"/>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spans="1:26" ht="12.75" customHeight="1">
      <c r="A912" s="93"/>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spans="1:26" ht="12.75" customHeight="1">
      <c r="A913" s="93"/>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spans="1:26" ht="12.75" customHeight="1">
      <c r="A914" s="93"/>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spans="1:26" ht="12.75" customHeight="1">
      <c r="A915" s="93"/>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spans="1:26" ht="12.75" customHeight="1">
      <c r="A916" s="93"/>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spans="1:26" ht="12.75" customHeight="1">
      <c r="A917" s="93"/>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spans="1:26" ht="12.75" customHeight="1">
      <c r="A918" s="93"/>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spans="1:26" ht="12.75" customHeight="1">
      <c r="A919" s="93"/>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spans="1:26" ht="12.75" customHeight="1">
      <c r="A920" s="93"/>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spans="1:26" ht="12.75" customHeight="1">
      <c r="A921" s="93"/>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spans="1:26" ht="12.75" customHeight="1">
      <c r="A922" s="93"/>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spans="1:26" ht="12.75" customHeight="1">
      <c r="A923" s="93"/>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spans="1:26" ht="12.75" customHeight="1">
      <c r="A924" s="93"/>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spans="1:26" ht="12.75" customHeight="1">
      <c r="A925" s="93"/>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spans="1:26" ht="12.75" customHeight="1">
      <c r="A926" s="93"/>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spans="1:26" ht="12.75" customHeight="1">
      <c r="A927" s="93"/>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spans="1:26" ht="12.75" customHeight="1">
      <c r="A928" s="93"/>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spans="1:26" ht="12.75" customHeight="1">
      <c r="A929" s="93"/>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spans="1:26" ht="12.75" customHeight="1">
      <c r="A930" s="93"/>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spans="1:26" ht="12.75" customHeight="1">
      <c r="A931" s="93"/>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spans="1:26" ht="12.75" customHeight="1">
      <c r="A932" s="93"/>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spans="1:26" ht="12.75" customHeight="1">
      <c r="A933" s="93"/>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spans="1:26" ht="12.75" customHeight="1">
      <c r="A934" s="93"/>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spans="1:26" ht="12.75" customHeight="1">
      <c r="A935" s="93"/>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spans="1:26" ht="12.75" customHeight="1">
      <c r="A936" s="93"/>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spans="1:26" ht="12.75" customHeight="1">
      <c r="A937" s="93"/>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spans="1:26" ht="12.75" customHeight="1">
      <c r="A938" s="93"/>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spans="1:26" ht="12.75" customHeight="1">
      <c r="A939" s="93"/>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spans="1:26" ht="12.75" customHeight="1">
      <c r="A940" s="93"/>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spans="1:26" ht="12.75" customHeight="1">
      <c r="A941" s="93"/>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spans="1:26" ht="12.75" customHeight="1">
      <c r="A942" s="93"/>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spans="1:26" ht="12.75" customHeight="1">
      <c r="A943" s="93"/>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spans="1:26" ht="12.75" customHeight="1">
      <c r="A944" s="93"/>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spans="1:26" ht="12.75" customHeight="1">
      <c r="A945" s="93"/>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spans="1:26" ht="12.75" customHeight="1">
      <c r="A946" s="93"/>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spans="1:26" ht="12.75" customHeight="1">
      <c r="A947" s="93"/>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spans="1:26" ht="12.75" customHeight="1">
      <c r="A948" s="93"/>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spans="1:26" ht="12.75" customHeight="1">
      <c r="A949" s="93"/>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spans="1:26" ht="12.75" customHeight="1">
      <c r="A950" s="93"/>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spans="1:26" ht="12.75" customHeight="1">
      <c r="A951" s="93"/>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spans="1:26" ht="12.75" customHeight="1">
      <c r="A952" s="93"/>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spans="1:26" ht="12.75" customHeight="1">
      <c r="A953" s="93"/>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spans="1:26" ht="12.75" customHeight="1">
      <c r="A954" s="93"/>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spans="1:26" ht="12.75" customHeight="1">
      <c r="A955" s="93"/>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spans="1:26" ht="12.75" customHeight="1">
      <c r="A956" s="93"/>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spans="1:26" ht="12.75" customHeight="1">
      <c r="A957" s="93"/>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spans="1:26" ht="12.75" customHeight="1">
      <c r="A958" s="93"/>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spans="1:26" ht="12.75" customHeight="1">
      <c r="A959" s="93"/>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spans="1:26" ht="12.75" customHeight="1">
      <c r="A960" s="93"/>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spans="1:26" ht="12.75" customHeight="1">
      <c r="A961" s="93"/>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spans="1:26" ht="12.75" customHeight="1">
      <c r="A962" s="93"/>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spans="1:26" ht="12.75" customHeight="1">
      <c r="A963" s="93"/>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spans="1:26" ht="12.75" customHeight="1">
      <c r="A964" s="93"/>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spans="1:26" ht="12.75" customHeight="1">
      <c r="A965" s="93"/>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spans="1:26" ht="12.75" customHeight="1">
      <c r="A966" s="93"/>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spans="1:26" ht="12.75" customHeight="1">
      <c r="A967" s="93"/>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spans="1:26" ht="12.75" customHeight="1">
      <c r="A968" s="93"/>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spans="1:26" ht="12.75" customHeight="1">
      <c r="A969" s="93"/>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spans="1:26" ht="12.75" customHeight="1">
      <c r="A970" s="93"/>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spans="1:26" ht="12.75" customHeight="1">
      <c r="A971" s="93"/>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spans="1:26" ht="12.75" customHeight="1">
      <c r="A972" s="93"/>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spans="1:26" ht="12.75" customHeight="1">
      <c r="A973" s="93"/>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spans="1:26" ht="12.75" customHeight="1">
      <c r="A974" s="93"/>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spans="1:26" ht="12.75" customHeight="1">
      <c r="A975" s="93"/>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spans="1:26" ht="12.75" customHeight="1">
      <c r="A976" s="93"/>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spans="1:26" ht="12.75" customHeight="1">
      <c r="A977" s="93"/>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spans="1:26" ht="12.75" customHeight="1">
      <c r="A978" s="93"/>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spans="1:26" ht="12.75" customHeight="1">
      <c r="A979" s="93"/>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spans="1:26" ht="12.75" customHeight="1">
      <c r="A980" s="93"/>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spans="1:26" ht="12.75" customHeight="1">
      <c r="A981" s="93"/>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spans="1:26" ht="12.75" customHeight="1">
      <c r="A982" s="93"/>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spans="1:26" ht="12.75" customHeight="1">
      <c r="A983" s="93"/>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spans="1:26" ht="12.75" customHeight="1">
      <c r="A984" s="93"/>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sheetData>
  <hyperlinks>
    <hyperlink ref="A16"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DCE44BC2-63A3-49FB-A37A-26B1DA19694E}"/>
    <hyperlink ref="A36" r:id="rId2" xr:uid="{7AF46D56-4FFD-4BE5-89E3-60D54E3B756C}"/>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1"/>
  <sheetViews>
    <sheetView workbookViewId="0">
      <selection sqref="A1:C1"/>
    </sheetView>
  </sheetViews>
  <sheetFormatPr defaultColWidth="9" defaultRowHeight="15"/>
  <cols>
    <col min="1" max="1" width="10.7109375" customWidth="1"/>
    <col min="2" max="2" width="88.28515625" customWidth="1"/>
    <col min="3" max="3" width="53.7109375" customWidth="1"/>
  </cols>
  <sheetData>
    <row r="1" spans="1:3">
      <c r="A1" s="151" t="s">
        <v>8</v>
      </c>
      <c r="B1" s="151"/>
      <c r="C1" s="151"/>
    </row>
    <row r="2" spans="1:3" ht="115.15" customHeight="1">
      <c r="A2" s="152" t="s">
        <v>123</v>
      </c>
      <c r="B2" s="153"/>
      <c r="C2" s="153"/>
    </row>
    <row r="3" spans="1:3" ht="73.900000000000006" customHeight="1">
      <c r="A3" s="154" t="s">
        <v>120</v>
      </c>
      <c r="B3" s="155"/>
      <c r="C3" s="156"/>
    </row>
    <row r="4" spans="1:3" ht="202.5" customHeight="1">
      <c r="A4" s="159" t="s">
        <v>122</v>
      </c>
      <c r="B4" s="160"/>
      <c r="C4" s="161"/>
    </row>
    <row r="5" spans="1:3" ht="43.15" customHeight="1">
      <c r="A5" s="152" t="s">
        <v>99</v>
      </c>
      <c r="B5" s="153"/>
      <c r="C5" s="153"/>
    </row>
    <row r="6" spans="1:3" ht="45.6" customHeight="1">
      <c r="A6" s="154" t="s">
        <v>121</v>
      </c>
      <c r="B6" s="157"/>
      <c r="C6" s="158"/>
    </row>
    <row r="7" spans="1:3">
      <c r="A7" s="150"/>
      <c r="B7" s="150"/>
      <c r="C7" s="150"/>
    </row>
    <row r="11" spans="1:3">
      <c r="A11" s="151" t="s">
        <v>9</v>
      </c>
      <c r="B11" s="151"/>
      <c r="C11" s="151"/>
    </row>
    <row r="12" spans="1:3">
      <c r="A12" s="115" t="s">
        <v>10</v>
      </c>
      <c r="B12" s="115" t="s">
        <v>11</v>
      </c>
      <c r="C12" s="115" t="s">
        <v>12</v>
      </c>
    </row>
    <row r="13" spans="1:3">
      <c r="A13" s="121">
        <v>45540</v>
      </c>
      <c r="B13" s="116" t="s">
        <v>13</v>
      </c>
      <c r="C13" s="116" t="s">
        <v>14</v>
      </c>
    </row>
    <row r="14" spans="1:3">
      <c r="A14" s="121">
        <v>45547</v>
      </c>
      <c r="B14" s="116" t="s">
        <v>15</v>
      </c>
      <c r="C14" s="116" t="s">
        <v>16</v>
      </c>
    </row>
    <row r="15" spans="1:3">
      <c r="A15" s="121">
        <v>45665</v>
      </c>
      <c r="B15" s="117" t="s">
        <v>17</v>
      </c>
      <c r="C15" s="117" t="s">
        <v>18</v>
      </c>
    </row>
    <row r="16" spans="1:3" ht="90">
      <c r="A16" s="122">
        <v>45982</v>
      </c>
      <c r="B16" s="118" t="s">
        <v>187</v>
      </c>
      <c r="C16" s="119" t="s">
        <v>186</v>
      </c>
    </row>
    <row r="17" spans="1:3">
      <c r="A17" s="123">
        <v>46108</v>
      </c>
      <c r="B17" s="120" t="s">
        <v>220</v>
      </c>
      <c r="C17" s="120" t="s">
        <v>228</v>
      </c>
    </row>
    <row r="18" spans="1:3">
      <c r="A18" s="123">
        <v>46128</v>
      </c>
      <c r="B18" s="123" t="s">
        <v>232</v>
      </c>
      <c r="C18" s="123" t="s">
        <v>233</v>
      </c>
    </row>
    <row r="19" spans="1:3">
      <c r="A19" s="123">
        <v>46232</v>
      </c>
      <c r="B19" s="123" t="s">
        <v>299</v>
      </c>
      <c r="C19" s="123" t="s">
        <v>298</v>
      </c>
    </row>
    <row r="71" spans="1:1">
      <c r="A71" s="3"/>
    </row>
  </sheetData>
  <sheetProtection formatCells="0" insertHyperlinks="0" autoFilter="0"/>
  <mergeCells count="8">
    <mergeCell ref="A7:C7"/>
    <mergeCell ref="A11:C11"/>
    <mergeCell ref="A1:C1"/>
    <mergeCell ref="A2:C2"/>
    <mergeCell ref="A3:C3"/>
    <mergeCell ref="A5:C5"/>
    <mergeCell ref="A6:C6"/>
    <mergeCell ref="A4:C4"/>
  </mergeCells>
  <phoneticPr fontId="15"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2"/>
  <sheetViews>
    <sheetView showGridLines="0" topLeftCell="G1" zoomScale="85" zoomScaleNormal="85" workbookViewId="0">
      <pane ySplit="4" topLeftCell="A5" activePane="bottomLeft" state="frozen"/>
      <selection pane="bottomLeft" activeCell="G1" sqref="G1:G4"/>
    </sheetView>
  </sheetViews>
  <sheetFormatPr defaultColWidth="9" defaultRowHeight="15"/>
  <cols>
    <col min="1" max="1" width="8.140625" customWidth="1"/>
    <col min="2" max="2" width="10.140625" customWidth="1"/>
    <col min="3" max="3" width="17.28515625" customWidth="1"/>
    <col min="4" max="4" width="8.7109375" customWidth="1"/>
    <col min="5" max="5" width="50.7109375" customWidth="1"/>
    <col min="6" max="6" width="26.140625" customWidth="1"/>
    <col min="7" max="7" width="26.28515625" customWidth="1"/>
    <col min="8" max="8" width="22.7109375" customWidth="1"/>
    <col min="9" max="9" width="24" customWidth="1"/>
    <col min="10" max="10" width="6.7109375" customWidth="1"/>
    <col min="11" max="11" width="14.28515625" customWidth="1"/>
    <col min="12" max="14" width="9" hidden="1" customWidth="1"/>
    <col min="15" max="15" width="2.85546875" hidden="1" customWidth="1"/>
    <col min="16" max="16" width="32.7109375" style="1" customWidth="1"/>
    <col min="17" max="17" width="10.7109375" customWidth="1"/>
    <col min="18" max="18" width="19.140625" customWidth="1"/>
    <col min="19" max="19" width="9.85546875" customWidth="1"/>
    <col min="20" max="20" width="10.28515625" customWidth="1"/>
    <col min="21" max="21" width="35.7109375" customWidth="1"/>
    <col min="22" max="23" width="10.28515625" customWidth="1"/>
    <col min="24" max="24" width="12.28515625" customWidth="1"/>
    <col min="25" max="25" width="13.140625" customWidth="1"/>
  </cols>
  <sheetData>
    <row r="1" spans="1:25">
      <c r="A1" s="171" t="s">
        <v>119</v>
      </c>
      <c r="B1" s="171" t="s">
        <v>19</v>
      </c>
      <c r="C1" s="171" t="s">
        <v>20</v>
      </c>
      <c r="D1" s="171" t="s">
        <v>21</v>
      </c>
      <c r="E1" s="171" t="s">
        <v>22</v>
      </c>
      <c r="F1" s="171" t="s">
        <v>197</v>
      </c>
      <c r="G1" s="171" t="s">
        <v>24</v>
      </c>
      <c r="H1" s="171" t="s">
        <v>25</v>
      </c>
      <c r="I1" s="171" t="s">
        <v>26</v>
      </c>
      <c r="J1" s="169" t="s">
        <v>27</v>
      </c>
      <c r="K1" s="170" t="s">
        <v>28</v>
      </c>
      <c r="L1" s="54"/>
      <c r="M1" s="54"/>
      <c r="N1" s="54"/>
      <c r="O1" s="54"/>
      <c r="P1" s="167" t="s">
        <v>94</v>
      </c>
      <c r="Q1" s="167"/>
      <c r="R1" s="167"/>
      <c r="S1" s="167"/>
      <c r="T1" s="167"/>
      <c r="U1" s="167"/>
      <c r="V1" s="167"/>
      <c r="W1" s="168"/>
      <c r="X1" s="163" t="s">
        <v>100</v>
      </c>
      <c r="Y1" s="163" t="s">
        <v>30</v>
      </c>
    </row>
    <row r="2" spans="1:25" ht="25.5" customHeight="1">
      <c r="A2" s="171"/>
      <c r="B2" s="171"/>
      <c r="C2" s="171"/>
      <c r="D2" s="171"/>
      <c r="E2" s="171"/>
      <c r="F2" s="171"/>
      <c r="G2" s="171"/>
      <c r="H2" s="171"/>
      <c r="I2" s="171"/>
      <c r="J2" s="169"/>
      <c r="K2" s="170"/>
      <c r="L2" s="54"/>
      <c r="M2" s="54"/>
      <c r="N2" s="54"/>
      <c r="O2" s="54"/>
      <c r="P2" s="68" t="s">
        <v>96</v>
      </c>
      <c r="Q2" s="166" t="s">
        <v>97</v>
      </c>
      <c r="R2" s="166"/>
      <c r="S2" s="166"/>
      <c r="T2" s="166"/>
      <c r="U2" s="166"/>
      <c r="V2" s="164" t="s">
        <v>98</v>
      </c>
      <c r="W2" s="165"/>
      <c r="X2" s="163"/>
      <c r="Y2" s="163"/>
    </row>
    <row r="3" spans="1:25" ht="37.5" customHeight="1">
      <c r="A3" s="171"/>
      <c r="B3" s="171"/>
      <c r="C3" s="171"/>
      <c r="D3" s="171"/>
      <c r="E3" s="171"/>
      <c r="F3" s="171"/>
      <c r="G3" s="171"/>
      <c r="H3" s="171"/>
      <c r="I3" s="171"/>
      <c r="J3" s="169"/>
      <c r="K3" s="170"/>
      <c r="L3" s="55"/>
      <c r="M3" s="56"/>
      <c r="N3" s="56"/>
      <c r="O3" s="56"/>
      <c r="P3" s="69" t="s">
        <v>124</v>
      </c>
      <c r="Q3" s="70" t="s">
        <v>103</v>
      </c>
      <c r="R3" s="70" t="s">
        <v>108</v>
      </c>
      <c r="S3" s="70" t="s">
        <v>104</v>
      </c>
      <c r="T3" s="70" t="s">
        <v>105</v>
      </c>
      <c r="U3" s="70" t="s">
        <v>125</v>
      </c>
      <c r="V3" s="71" t="s">
        <v>106</v>
      </c>
      <c r="W3" s="72" t="s">
        <v>107</v>
      </c>
      <c r="X3" s="163"/>
      <c r="Y3" s="163"/>
    </row>
    <row r="4" spans="1:25" ht="22.5" customHeight="1">
      <c r="A4" s="171"/>
      <c r="B4" s="171"/>
      <c r="C4" s="171"/>
      <c r="D4" s="171"/>
      <c r="E4" s="171"/>
      <c r="F4" s="171"/>
      <c r="G4" s="171"/>
      <c r="H4" s="171"/>
      <c r="I4" s="171"/>
      <c r="J4" s="169"/>
      <c r="K4" s="170"/>
      <c r="L4" s="57" t="s">
        <v>23</v>
      </c>
      <c r="M4" s="58" t="s">
        <v>24</v>
      </c>
      <c r="N4" s="58" t="s">
        <v>25</v>
      </c>
      <c r="O4" s="58" t="s">
        <v>26</v>
      </c>
      <c r="P4" s="73">
        <v>0.05</v>
      </c>
      <c r="Q4" s="74">
        <v>0.1</v>
      </c>
      <c r="R4" s="74">
        <v>0.15</v>
      </c>
      <c r="S4" s="74">
        <v>0.4</v>
      </c>
      <c r="T4" s="74">
        <v>0.05</v>
      </c>
      <c r="U4" s="74">
        <v>0.1</v>
      </c>
      <c r="V4" s="73">
        <v>0.1</v>
      </c>
      <c r="W4" s="73">
        <v>0.05</v>
      </c>
      <c r="X4" s="163"/>
      <c r="Y4" s="163"/>
    </row>
    <row r="5" spans="1:25" ht="288" customHeight="1">
      <c r="A5" s="173" t="s">
        <v>31</v>
      </c>
      <c r="B5" s="75" t="s">
        <v>32</v>
      </c>
      <c r="C5" s="80" t="s">
        <v>137</v>
      </c>
      <c r="D5" s="2">
        <v>0.1</v>
      </c>
      <c r="E5" s="75" t="s">
        <v>136</v>
      </c>
      <c r="F5" s="75" t="s">
        <v>140</v>
      </c>
      <c r="G5" s="80" t="s">
        <v>138</v>
      </c>
      <c r="H5" s="80" t="s">
        <v>139</v>
      </c>
      <c r="I5" s="75" t="s">
        <v>141</v>
      </c>
      <c r="J5" s="75" t="s">
        <v>33</v>
      </c>
      <c r="K5" s="4" t="s">
        <v>34</v>
      </c>
      <c r="L5" s="59">
        <v>4</v>
      </c>
      <c r="M5" s="59">
        <v>3</v>
      </c>
      <c r="N5" s="59">
        <v>2</v>
      </c>
      <c r="O5" s="59">
        <v>1</v>
      </c>
      <c r="P5" s="60" t="s">
        <v>42</v>
      </c>
      <c r="Q5" s="60" t="s">
        <v>42</v>
      </c>
      <c r="R5" s="60" t="s">
        <v>42</v>
      </c>
      <c r="S5" s="60" t="s">
        <v>42</v>
      </c>
      <c r="T5" s="60" t="s">
        <v>42</v>
      </c>
      <c r="U5" s="60" t="s">
        <v>42</v>
      </c>
      <c r="V5" s="60" t="s">
        <v>42</v>
      </c>
      <c r="W5" s="60" t="s">
        <v>42</v>
      </c>
      <c r="X5" s="61"/>
      <c r="Y5" s="61"/>
    </row>
    <row r="6" spans="1:25" ht="300.75" customHeight="1">
      <c r="A6" s="173"/>
      <c r="B6" s="76" t="s">
        <v>35</v>
      </c>
      <c r="C6" s="80" t="s">
        <v>142</v>
      </c>
      <c r="D6" s="2">
        <v>0.1</v>
      </c>
      <c r="E6" s="75" t="s">
        <v>143</v>
      </c>
      <c r="F6" s="75" t="s">
        <v>144</v>
      </c>
      <c r="G6" s="80" t="s">
        <v>145</v>
      </c>
      <c r="H6" s="80" t="s">
        <v>146</v>
      </c>
      <c r="I6" s="80" t="s">
        <v>126</v>
      </c>
      <c r="J6" s="75" t="s">
        <v>33</v>
      </c>
      <c r="K6" s="4" t="s">
        <v>184</v>
      </c>
      <c r="L6" s="59">
        <v>3</v>
      </c>
      <c r="M6" s="59">
        <v>2</v>
      </c>
      <c r="N6" s="59">
        <v>1</v>
      </c>
      <c r="O6" s="59"/>
      <c r="P6" s="62" t="s">
        <v>42</v>
      </c>
      <c r="Q6" s="62" t="s">
        <v>42</v>
      </c>
      <c r="R6" s="62" t="s">
        <v>42</v>
      </c>
      <c r="S6" s="62" t="s">
        <v>42</v>
      </c>
      <c r="T6" s="62" t="s">
        <v>42</v>
      </c>
      <c r="U6" s="62" t="s">
        <v>42</v>
      </c>
      <c r="V6" s="62" t="s">
        <v>42</v>
      </c>
      <c r="W6" s="62" t="s">
        <v>42</v>
      </c>
      <c r="X6" s="61"/>
      <c r="Y6" s="61"/>
    </row>
    <row r="7" spans="1:25" ht="226.5" customHeight="1">
      <c r="A7" s="173"/>
      <c r="B7" s="174" t="s">
        <v>76</v>
      </c>
      <c r="C7" s="80" t="s">
        <v>135</v>
      </c>
      <c r="D7" s="2">
        <v>0.15</v>
      </c>
      <c r="E7" s="75" t="s">
        <v>147</v>
      </c>
      <c r="F7" s="80" t="s">
        <v>148</v>
      </c>
      <c r="G7" s="80" t="s">
        <v>149</v>
      </c>
      <c r="H7" s="80" t="s">
        <v>150</v>
      </c>
      <c r="I7" s="80" t="s">
        <v>151</v>
      </c>
      <c r="J7" s="75" t="s">
        <v>33</v>
      </c>
      <c r="K7" s="4" t="s">
        <v>118</v>
      </c>
      <c r="L7" s="63">
        <v>4</v>
      </c>
      <c r="M7" s="59">
        <v>3</v>
      </c>
      <c r="N7" s="59">
        <v>2</v>
      </c>
      <c r="O7" s="59">
        <v>1</v>
      </c>
      <c r="P7" s="62" t="s">
        <v>42</v>
      </c>
      <c r="Q7" s="62" t="s">
        <v>42</v>
      </c>
      <c r="R7" s="62" t="s">
        <v>42</v>
      </c>
      <c r="S7" s="62" t="s">
        <v>42</v>
      </c>
      <c r="T7" s="62" t="s">
        <v>42</v>
      </c>
      <c r="U7" s="62" t="s">
        <v>42</v>
      </c>
      <c r="V7" s="62" t="s">
        <v>42</v>
      </c>
      <c r="W7" s="62" t="s">
        <v>42</v>
      </c>
      <c r="X7" s="61"/>
      <c r="Y7" s="61"/>
    </row>
    <row r="8" spans="1:25" ht="104.25" customHeight="1">
      <c r="A8" s="173"/>
      <c r="B8" s="175"/>
      <c r="C8" s="80" t="s">
        <v>152</v>
      </c>
      <c r="D8" s="2">
        <v>0.15</v>
      </c>
      <c r="E8" s="75" t="s">
        <v>153</v>
      </c>
      <c r="F8" s="80" t="s">
        <v>154</v>
      </c>
      <c r="G8" s="80" t="s">
        <v>155</v>
      </c>
      <c r="H8" s="80" t="s">
        <v>156</v>
      </c>
      <c r="I8" s="80" t="s">
        <v>157</v>
      </c>
      <c r="J8" s="75" t="s">
        <v>33</v>
      </c>
      <c r="K8" s="4" t="s">
        <v>101</v>
      </c>
      <c r="L8" s="63">
        <v>4</v>
      </c>
      <c r="M8" s="59">
        <v>3</v>
      </c>
      <c r="N8" s="59">
        <v>2</v>
      </c>
      <c r="O8" s="59">
        <v>1</v>
      </c>
      <c r="P8" s="62" t="s">
        <v>42</v>
      </c>
      <c r="Q8" s="62" t="s">
        <v>42</v>
      </c>
      <c r="R8" s="62" t="s">
        <v>42</v>
      </c>
      <c r="S8" s="62" t="s">
        <v>42</v>
      </c>
      <c r="T8" s="62" t="s">
        <v>42</v>
      </c>
      <c r="U8" s="62" t="s">
        <v>42</v>
      </c>
      <c r="V8" s="62" t="s">
        <v>42</v>
      </c>
      <c r="W8" s="62" t="s">
        <v>42</v>
      </c>
      <c r="X8" s="61"/>
      <c r="Y8" s="61"/>
    </row>
    <row r="9" spans="1:25" ht="74.25" customHeight="1">
      <c r="A9" s="173"/>
      <c r="B9" s="175"/>
      <c r="C9" s="80" t="s">
        <v>158</v>
      </c>
      <c r="D9" s="2">
        <v>0.15</v>
      </c>
      <c r="E9" s="80" t="s">
        <v>159</v>
      </c>
      <c r="F9" s="80" t="s">
        <v>160</v>
      </c>
      <c r="G9" s="80" t="s">
        <v>161</v>
      </c>
      <c r="H9" s="80" t="s">
        <v>162</v>
      </c>
      <c r="I9" s="75" t="s">
        <v>163</v>
      </c>
      <c r="J9" s="75" t="s">
        <v>127</v>
      </c>
      <c r="K9" s="4" t="s">
        <v>102</v>
      </c>
      <c r="L9" s="59">
        <v>4</v>
      </c>
      <c r="M9" s="59">
        <v>3</v>
      </c>
      <c r="N9" s="59">
        <v>2</v>
      </c>
      <c r="O9" s="59">
        <v>1</v>
      </c>
      <c r="P9" s="62" t="s">
        <v>42</v>
      </c>
      <c r="Q9" s="62" t="s">
        <v>42</v>
      </c>
      <c r="R9" s="62" t="s">
        <v>42</v>
      </c>
      <c r="S9" s="62" t="s">
        <v>42</v>
      </c>
      <c r="T9" s="62" t="s">
        <v>42</v>
      </c>
      <c r="U9" s="62" t="s">
        <v>42</v>
      </c>
      <c r="V9" s="62" t="s">
        <v>42</v>
      </c>
      <c r="W9" s="62" t="s">
        <v>42</v>
      </c>
      <c r="X9" s="61"/>
      <c r="Y9" s="61"/>
    </row>
    <row r="10" spans="1:25" ht="92.25" customHeight="1">
      <c r="A10" s="173"/>
      <c r="B10" s="176"/>
      <c r="C10" s="80" t="s">
        <v>129</v>
      </c>
      <c r="D10" s="81">
        <v>0.1</v>
      </c>
      <c r="E10" s="80" t="s">
        <v>130</v>
      </c>
      <c r="F10" s="80" t="s">
        <v>131</v>
      </c>
      <c r="G10" s="80" t="s">
        <v>134</v>
      </c>
      <c r="H10" s="80" t="s">
        <v>132</v>
      </c>
      <c r="I10" s="80" t="s">
        <v>133</v>
      </c>
      <c r="J10" s="75" t="s">
        <v>127</v>
      </c>
      <c r="K10" s="4" t="s">
        <v>185</v>
      </c>
      <c r="L10" s="79"/>
      <c r="M10" s="59"/>
      <c r="N10" s="59"/>
      <c r="O10" s="59"/>
      <c r="P10" s="62" t="s">
        <v>42</v>
      </c>
      <c r="Q10" s="62" t="s">
        <v>42</v>
      </c>
      <c r="R10" s="62" t="s">
        <v>42</v>
      </c>
      <c r="S10" s="62" t="s">
        <v>42</v>
      </c>
      <c r="T10" s="62" t="s">
        <v>42</v>
      </c>
      <c r="U10" s="62" t="s">
        <v>42</v>
      </c>
      <c r="V10" s="62" t="s">
        <v>42</v>
      </c>
      <c r="W10" s="62" t="s">
        <v>42</v>
      </c>
      <c r="X10" s="61"/>
      <c r="Y10" s="61"/>
    </row>
    <row r="11" spans="1:25" ht="126" customHeight="1">
      <c r="A11" s="173"/>
      <c r="B11" s="75" t="s">
        <v>36</v>
      </c>
      <c r="C11" s="80" t="s">
        <v>164</v>
      </c>
      <c r="D11" s="2">
        <v>0.15</v>
      </c>
      <c r="E11" s="80" t="s">
        <v>180</v>
      </c>
      <c r="F11" s="80" t="s">
        <v>167</v>
      </c>
      <c r="G11" s="80" t="s">
        <v>165</v>
      </c>
      <c r="H11" s="80" t="s">
        <v>229</v>
      </c>
      <c r="I11" s="75" t="s">
        <v>166</v>
      </c>
      <c r="J11" s="75" t="s">
        <v>33</v>
      </c>
      <c r="K11" s="4" t="s">
        <v>183</v>
      </c>
      <c r="L11" s="64">
        <v>4</v>
      </c>
      <c r="M11" s="59">
        <v>3</v>
      </c>
      <c r="N11" s="59">
        <v>2</v>
      </c>
      <c r="O11" s="59">
        <v>1</v>
      </c>
      <c r="P11" s="62" t="s">
        <v>42</v>
      </c>
      <c r="Q11" s="62" t="s">
        <v>42</v>
      </c>
      <c r="R11" s="62" t="s">
        <v>42</v>
      </c>
      <c r="S11" s="62" t="s">
        <v>42</v>
      </c>
      <c r="T11" s="62" t="s">
        <v>42</v>
      </c>
      <c r="U11" s="62" t="s">
        <v>42</v>
      </c>
      <c r="V11" s="62" t="s">
        <v>42</v>
      </c>
      <c r="W11" s="62" t="s">
        <v>42</v>
      </c>
      <c r="X11" s="61"/>
      <c r="Y11" s="61"/>
    </row>
    <row r="12" spans="1:25" ht="229.5" customHeight="1">
      <c r="A12" s="173"/>
      <c r="B12" s="76" t="s">
        <v>37</v>
      </c>
      <c r="C12" s="80" t="s">
        <v>168</v>
      </c>
      <c r="D12" s="81">
        <v>0.1</v>
      </c>
      <c r="E12" s="80" t="s">
        <v>170</v>
      </c>
      <c r="F12" s="80" t="s">
        <v>172</v>
      </c>
      <c r="G12" s="80" t="s">
        <v>173</v>
      </c>
      <c r="H12" s="80" t="s">
        <v>171</v>
      </c>
      <c r="I12" s="77"/>
      <c r="J12" s="78" t="s">
        <v>33</v>
      </c>
      <c r="K12" s="4" t="s">
        <v>128</v>
      </c>
      <c r="L12" s="64">
        <v>3</v>
      </c>
      <c r="M12" s="64">
        <v>2</v>
      </c>
      <c r="N12" s="64">
        <v>1</v>
      </c>
      <c r="O12" s="64"/>
      <c r="P12" s="62" t="s">
        <v>43</v>
      </c>
      <c r="Q12" s="62" t="s">
        <v>43</v>
      </c>
      <c r="R12" s="62" t="s">
        <v>43</v>
      </c>
      <c r="S12" s="62" t="s">
        <v>43</v>
      </c>
      <c r="T12" s="62" t="s">
        <v>43</v>
      </c>
      <c r="U12" s="62" t="s">
        <v>43</v>
      </c>
      <c r="V12" s="62" t="s">
        <v>43</v>
      </c>
      <c r="W12" s="62" t="s">
        <v>43</v>
      </c>
      <c r="X12" s="64"/>
      <c r="Y12" s="64"/>
    </row>
    <row r="13" spans="1:25">
      <c r="C13" s="3"/>
    </row>
    <row r="15" spans="1:25" ht="6" customHeight="1"/>
    <row r="16" spans="1:25" ht="25.15" customHeight="1">
      <c r="A16" s="177"/>
      <c r="B16" s="178"/>
      <c r="C16" s="178"/>
      <c r="D16" s="178"/>
      <c r="E16" s="178"/>
      <c r="F16" s="178"/>
      <c r="G16" s="178"/>
      <c r="H16" s="178"/>
      <c r="I16" s="178"/>
    </row>
    <row r="17" spans="1:16" ht="25.5" customHeight="1">
      <c r="A17" s="171" t="s">
        <v>218</v>
      </c>
      <c r="B17" s="171"/>
      <c r="C17" s="171"/>
      <c r="D17" s="102" t="s">
        <v>194</v>
      </c>
      <c r="E17" s="102" t="s">
        <v>195</v>
      </c>
      <c r="F17" s="103" t="s">
        <v>197</v>
      </c>
      <c r="G17" s="103" t="s">
        <v>198</v>
      </c>
      <c r="H17" s="103" t="s">
        <v>199</v>
      </c>
      <c r="I17" s="103" t="s">
        <v>200</v>
      </c>
      <c r="J17" s="103" t="s">
        <v>94</v>
      </c>
      <c r="K17" s="103" t="s">
        <v>227</v>
      </c>
      <c r="L17" s="103"/>
      <c r="M17" s="103"/>
      <c r="N17" s="103"/>
      <c r="O17" s="103"/>
      <c r="P17" s="103" t="s">
        <v>223</v>
      </c>
    </row>
    <row r="18" spans="1:16" ht="225">
      <c r="A18" s="172" t="s">
        <v>201</v>
      </c>
      <c r="B18" s="172"/>
      <c r="C18" s="172"/>
      <c r="D18" s="105">
        <v>0.4</v>
      </c>
      <c r="E18" s="106" t="s">
        <v>204</v>
      </c>
      <c r="F18" s="107" t="s">
        <v>205</v>
      </c>
      <c r="G18" s="107" t="s">
        <v>206</v>
      </c>
      <c r="H18" s="107" t="s">
        <v>207</v>
      </c>
      <c r="I18" s="114"/>
      <c r="J18" s="113" t="s">
        <v>224</v>
      </c>
      <c r="K18" s="113"/>
      <c r="L18" s="113"/>
      <c r="M18" s="113"/>
      <c r="N18" s="113"/>
      <c r="O18" s="113"/>
      <c r="P18" s="113"/>
    </row>
    <row r="19" spans="1:16" ht="285">
      <c r="A19" s="172" t="s">
        <v>202</v>
      </c>
      <c r="B19" s="172"/>
      <c r="C19" s="172"/>
      <c r="D19" s="105">
        <v>0.2</v>
      </c>
      <c r="E19" s="106" t="s">
        <v>208</v>
      </c>
      <c r="F19" s="107" t="s">
        <v>209</v>
      </c>
      <c r="G19" s="107" t="s">
        <v>216</v>
      </c>
      <c r="H19" s="107" t="s">
        <v>217</v>
      </c>
      <c r="I19" s="114"/>
      <c r="J19" s="113" t="s">
        <v>225</v>
      </c>
      <c r="K19" s="113"/>
      <c r="L19" s="113"/>
      <c r="M19" s="113"/>
      <c r="N19" s="113"/>
      <c r="O19" s="113"/>
      <c r="P19" s="113"/>
    </row>
    <row r="20" spans="1:16" ht="45">
      <c r="A20" s="172" t="s">
        <v>203</v>
      </c>
      <c r="B20" s="172"/>
      <c r="C20" s="172"/>
      <c r="D20" s="105">
        <v>0.4</v>
      </c>
      <c r="E20" s="106" t="s">
        <v>210</v>
      </c>
      <c r="F20" s="107" t="s">
        <v>211</v>
      </c>
      <c r="G20" s="107" t="s">
        <v>212</v>
      </c>
      <c r="H20" s="107" t="s">
        <v>213</v>
      </c>
      <c r="I20" s="114"/>
      <c r="J20" s="113" t="s">
        <v>225</v>
      </c>
      <c r="K20" s="113"/>
      <c r="L20" s="113"/>
      <c r="M20" s="113"/>
      <c r="N20" s="113"/>
      <c r="O20" s="113"/>
      <c r="P20" s="113"/>
    </row>
    <row r="22" spans="1:16" ht="51.6" customHeight="1">
      <c r="A22" s="162" t="s">
        <v>226</v>
      </c>
      <c r="B22" s="162"/>
      <c r="C22" s="162"/>
      <c r="D22" s="162"/>
      <c r="E22" s="162"/>
      <c r="F22" s="162"/>
      <c r="G22" s="162"/>
      <c r="H22" s="162"/>
    </row>
  </sheetData>
  <sheetProtection formatCells="0" insertHyperlinks="0" autoFilter="0"/>
  <mergeCells count="24">
    <mergeCell ref="A19:C19"/>
    <mergeCell ref="I1:I4"/>
    <mergeCell ref="A1:A4"/>
    <mergeCell ref="A5:A12"/>
    <mergeCell ref="B1:B4"/>
    <mergeCell ref="C1:C4"/>
    <mergeCell ref="B7:B10"/>
    <mergeCell ref="A16:I16"/>
    <mergeCell ref="A22:H22"/>
    <mergeCell ref="X1:X4"/>
    <mergeCell ref="Y1:Y4"/>
    <mergeCell ref="V2:W2"/>
    <mergeCell ref="Q2:U2"/>
    <mergeCell ref="P1:W1"/>
    <mergeCell ref="J1:J4"/>
    <mergeCell ref="K1:K4"/>
    <mergeCell ref="D1:D4"/>
    <mergeCell ref="E1:E4"/>
    <mergeCell ref="F1:F4"/>
    <mergeCell ref="G1:G4"/>
    <mergeCell ref="H1:H4"/>
    <mergeCell ref="A20:C20"/>
    <mergeCell ref="A17:C17"/>
    <mergeCell ref="A18:C18"/>
  </mergeCells>
  <phoneticPr fontId="15" type="noConversion"/>
  <dataValidations count="4">
    <dataValidation type="list" allowBlank="1" showErrorMessage="1" errorTitle="错误提示" error="请输入下拉列表中的一个值" sqref="P12:W12" xr:uid="{00000000-0002-0000-0300-000000000000}">
      <formula1>"A,B,C"</formula1>
    </dataValidation>
    <dataValidation type="list" allowBlank="1" showInputMessage="1" showErrorMessage="1" sqref="P5:W5 P7:W11" xr:uid="{00000000-0002-0000-0300-000001000000}">
      <formula1>"A,B,C,D"</formula1>
    </dataValidation>
    <dataValidation type="list" allowBlank="1" showErrorMessage="1" errorTitle="错误提示" error="请输入下拉列表中的一个值" sqref="P6:W6" xr:uid="{DDF2DB47-DB8E-4B69-B6FB-3E0F4FB1845D}">
      <formula1>"A,B,C,D"</formula1>
    </dataValidation>
    <dataValidation type="list" allowBlank="1" showInputMessage="1" showErrorMessage="1" sqref="J18:J20" xr:uid="{2A9F6372-0765-48C3-954F-8F7197FD597E}">
      <formula1>"A,B,C"</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32"/>
  <sheetViews>
    <sheetView showGridLines="0" zoomScale="85" zoomScaleNormal="85" workbookViewId="0">
      <selection sqref="A1:A4"/>
    </sheetView>
  </sheetViews>
  <sheetFormatPr defaultColWidth="9" defaultRowHeight="15"/>
  <cols>
    <col min="42" max="42" width="13.28515625" customWidth="1"/>
  </cols>
  <sheetData>
    <row r="1" spans="1:42">
      <c r="A1" s="264" t="s">
        <v>109</v>
      </c>
      <c r="B1" s="266" t="s">
        <v>110</v>
      </c>
      <c r="C1" s="269" t="s">
        <v>111</v>
      </c>
      <c r="D1" s="229" t="s">
        <v>112</v>
      </c>
      <c r="E1" s="232" t="s">
        <v>113</v>
      </c>
      <c r="F1" s="239" t="s">
        <v>38</v>
      </c>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1"/>
    </row>
    <row r="2" spans="1:42" ht="36" customHeight="1">
      <c r="A2" s="264"/>
      <c r="B2" s="267"/>
      <c r="C2" s="270"/>
      <c r="D2" s="230"/>
      <c r="E2" s="230"/>
      <c r="F2" s="236" t="s">
        <v>39</v>
      </c>
      <c r="G2" s="236"/>
      <c r="H2" s="236"/>
      <c r="I2" s="236"/>
      <c r="J2" s="248" t="s">
        <v>29</v>
      </c>
      <c r="K2" s="249"/>
      <c r="L2" s="249"/>
      <c r="M2" s="249"/>
      <c r="N2" s="249"/>
      <c r="O2" s="249"/>
      <c r="P2" s="249"/>
      <c r="Q2" s="250"/>
      <c r="R2" s="237" t="str">
        <f>J4</f>
        <v>Hardware Failure
 (should include but not limit to 
board failure, fan failure)</v>
      </c>
      <c r="S2" s="238"/>
      <c r="T2" s="238"/>
      <c r="U2" s="217" t="str">
        <f>K4</f>
        <v>Device Offline</v>
      </c>
      <c r="V2" s="218"/>
      <c r="W2" s="219"/>
      <c r="X2" s="220" t="str">
        <f>L4</f>
        <v>Optical Module Failure or Optical Power Abnormal</v>
      </c>
      <c r="Y2" s="221"/>
      <c r="Z2" s="222"/>
      <c r="AA2" s="223" t="str">
        <f>M4</f>
        <v>Port Failure</v>
      </c>
      <c r="AB2" s="224"/>
      <c r="AC2" s="225"/>
      <c r="AD2" s="226" t="str">
        <f>N4</f>
        <v>High Error Rate</v>
      </c>
      <c r="AE2" s="227"/>
      <c r="AF2" s="228"/>
      <c r="AG2" s="254" t="str">
        <f>O4</f>
        <v>Protocol State Abnormal 
(should include but not limit to IGP and BGP peer state abnormal, BFD session abnormal)</v>
      </c>
      <c r="AH2" s="255"/>
      <c r="AI2" s="256"/>
      <c r="AJ2" s="257" t="str">
        <f>P4</f>
        <v>VPN Degradation</v>
      </c>
      <c r="AK2" s="258"/>
      <c r="AL2" s="259"/>
      <c r="AM2" s="260" t="str">
        <f>Q4</f>
        <v>VPN Interruption</v>
      </c>
      <c r="AN2" s="261"/>
      <c r="AO2" s="262"/>
      <c r="AP2" s="242" t="s">
        <v>231</v>
      </c>
    </row>
    <row r="3" spans="1:42">
      <c r="A3" s="264"/>
      <c r="B3" s="268"/>
      <c r="C3" s="271"/>
      <c r="D3" s="230"/>
      <c r="E3" s="230"/>
      <c r="F3" s="236"/>
      <c r="G3" s="236"/>
      <c r="H3" s="236"/>
      <c r="I3" s="236"/>
      <c r="J3" s="251"/>
      <c r="K3" s="252"/>
      <c r="L3" s="252"/>
      <c r="M3" s="252"/>
      <c r="N3" s="252"/>
      <c r="O3" s="252"/>
      <c r="P3" s="252"/>
      <c r="Q3" s="253"/>
      <c r="R3" s="245">
        <f>'IP Network - Fault Management'!P4</f>
        <v>0.05</v>
      </c>
      <c r="S3" s="236"/>
      <c r="T3" s="236"/>
      <c r="U3" s="219">
        <f>'IP Network - Fault Management'!Q4</f>
        <v>0.1</v>
      </c>
      <c r="V3" s="246"/>
      <c r="W3" s="246"/>
      <c r="X3" s="215">
        <f>'IP Network - Fault Management'!R4</f>
        <v>0.15</v>
      </c>
      <c r="Y3" s="216"/>
      <c r="Z3" s="216"/>
      <c r="AA3" s="213">
        <f>'IP Network - Fault Management'!S4</f>
        <v>0.4</v>
      </c>
      <c r="AB3" s="214"/>
      <c r="AC3" s="214"/>
      <c r="AD3" s="228">
        <f>'IP Network - Fault Management'!T4</f>
        <v>0.05</v>
      </c>
      <c r="AE3" s="247"/>
      <c r="AF3" s="247"/>
      <c r="AG3" s="262">
        <f>'IP Network - Fault Management'!U4</f>
        <v>0.1</v>
      </c>
      <c r="AH3" s="263"/>
      <c r="AI3" s="263"/>
      <c r="AJ3" s="215">
        <f>'IP Network - Fault Management'!V4</f>
        <v>0.1</v>
      </c>
      <c r="AK3" s="216"/>
      <c r="AL3" s="216"/>
      <c r="AM3" s="213">
        <f>'IP Network - Fault Management'!W4</f>
        <v>0.05</v>
      </c>
      <c r="AN3" s="214"/>
      <c r="AO3" s="214"/>
      <c r="AP3" s="243"/>
    </row>
    <row r="4" spans="1:42" ht="178.5">
      <c r="A4" s="233"/>
      <c r="B4" s="268"/>
      <c r="C4" s="271"/>
      <c r="D4" s="231"/>
      <c r="E4" s="233"/>
      <c r="F4" s="20" t="s">
        <v>114</v>
      </c>
      <c r="G4" s="21" t="s">
        <v>115</v>
      </c>
      <c r="H4" s="21" t="s">
        <v>116</v>
      </c>
      <c r="I4" s="21" t="s">
        <v>117</v>
      </c>
      <c r="J4" s="22" t="str">
        <f>'IP Network - Fault Management'!P3</f>
        <v>Hardware Failure
 (should include but not limit to 
board failure, fan failure)</v>
      </c>
      <c r="K4" s="22" t="str">
        <f>'IP Network - Fault Management'!Q3</f>
        <v>Device Offline</v>
      </c>
      <c r="L4" s="22" t="str">
        <f>'IP Network - Fault Management'!R3</f>
        <v>Optical Module Failure or Optical Power Abnormal</v>
      </c>
      <c r="M4" s="22" t="str">
        <f>'IP Network - Fault Management'!S3</f>
        <v>Port Failure</v>
      </c>
      <c r="N4" s="22" t="str">
        <f>'IP Network - Fault Management'!T3</f>
        <v>High Error Rate</v>
      </c>
      <c r="O4" s="22" t="str">
        <f>'IP Network - Fault Management'!U3</f>
        <v>Protocol State Abnormal 
(should include but not limit to IGP and BGP peer state abnormal, BFD session abnormal)</v>
      </c>
      <c r="P4" s="22" t="str">
        <f>'IP Network - Fault Management'!V3</f>
        <v>VPN Degradation</v>
      </c>
      <c r="Q4" s="22" t="str">
        <f>'IP Network - Fault Management'!W3</f>
        <v>VPN Interruption</v>
      </c>
      <c r="R4" s="21" t="s">
        <v>95</v>
      </c>
      <c r="S4" s="21" t="s">
        <v>40</v>
      </c>
      <c r="T4" s="23" t="s">
        <v>41</v>
      </c>
      <c r="U4" s="24" t="s">
        <v>95</v>
      </c>
      <c r="V4" s="24" t="s">
        <v>40</v>
      </c>
      <c r="W4" s="25" t="s">
        <v>41</v>
      </c>
      <c r="X4" s="26" t="s">
        <v>95</v>
      </c>
      <c r="Y4" s="26" t="s">
        <v>40</v>
      </c>
      <c r="Z4" s="27" t="s">
        <v>41</v>
      </c>
      <c r="AA4" s="28" t="s">
        <v>95</v>
      </c>
      <c r="AB4" s="28" t="s">
        <v>40</v>
      </c>
      <c r="AC4" s="29" t="s">
        <v>41</v>
      </c>
      <c r="AD4" s="30" t="s">
        <v>95</v>
      </c>
      <c r="AE4" s="30" t="s">
        <v>40</v>
      </c>
      <c r="AF4" s="31" t="s">
        <v>41</v>
      </c>
      <c r="AG4" s="65" t="s">
        <v>95</v>
      </c>
      <c r="AH4" s="65" t="s">
        <v>40</v>
      </c>
      <c r="AI4" s="66" t="s">
        <v>41</v>
      </c>
      <c r="AJ4" s="32" t="s">
        <v>95</v>
      </c>
      <c r="AK4" s="32" t="s">
        <v>40</v>
      </c>
      <c r="AL4" s="33" t="s">
        <v>41</v>
      </c>
      <c r="AM4" s="65" t="s">
        <v>95</v>
      </c>
      <c r="AN4" s="65" t="s">
        <v>40</v>
      </c>
      <c r="AO4" s="66" t="s">
        <v>41</v>
      </c>
      <c r="AP4" s="244"/>
    </row>
    <row r="5" spans="1:42" ht="60" customHeight="1">
      <c r="A5" s="265" t="s">
        <v>214</v>
      </c>
      <c r="B5" s="34" t="s">
        <v>32</v>
      </c>
      <c r="C5" s="35" t="str">
        <f>'IP Network - Fault Management'!C5</f>
        <v xml:space="preserve">Intent Translation &amp; Fulfillment
</v>
      </c>
      <c r="D5" s="36">
        <f>'IP Network - Fault Management'!D5</f>
        <v>0.1</v>
      </c>
      <c r="E5" s="37" t="s">
        <v>174</v>
      </c>
      <c r="F5" s="38">
        <v>4</v>
      </c>
      <c r="G5" s="39">
        <v>3</v>
      </c>
      <c r="H5" s="39">
        <v>2</v>
      </c>
      <c r="I5" s="40">
        <v>1</v>
      </c>
      <c r="J5" s="41" t="str">
        <f>'IP Network - Fault Management'!P5</f>
        <v>D</v>
      </c>
      <c r="K5" s="41" t="str">
        <f>'IP Network - Fault Management'!Q5</f>
        <v>D</v>
      </c>
      <c r="L5" s="41" t="str">
        <f>'IP Network - Fault Management'!R5</f>
        <v>D</v>
      </c>
      <c r="M5" s="41" t="str">
        <f>'IP Network - Fault Management'!S5</f>
        <v>D</v>
      </c>
      <c r="N5" s="41" t="str">
        <f>'IP Network - Fault Management'!T5</f>
        <v>D</v>
      </c>
      <c r="O5" s="41" t="str">
        <f>'IP Network - Fault Management'!U5</f>
        <v>D</v>
      </c>
      <c r="P5" s="41" t="str">
        <f>'IP Network - Fault Management'!V5</f>
        <v>D</v>
      </c>
      <c r="Q5" s="41" t="str">
        <f>'IP Network - Fault Management'!W5</f>
        <v>D</v>
      </c>
      <c r="R5" s="42">
        <f>IF(J5="A",F5,IF(J5="B",G5,IF(J5="C",H5,IF(J5="D",I5))))</f>
        <v>1</v>
      </c>
      <c r="S5" s="43">
        <f t="shared" ref="S5:S8" si="0">R5</f>
        <v>1</v>
      </c>
      <c r="T5" s="234">
        <f>SUMPRODUCT(S5:S12,D5:D12)</f>
        <v>0.9</v>
      </c>
      <c r="U5" s="42">
        <f>IF(K5="A",F5,IF(K5="B",G5,IF(K5="C",H5,IF(K5="D",I5))))</f>
        <v>1</v>
      </c>
      <c r="V5" s="43">
        <f t="shared" ref="V5" si="1">U5</f>
        <v>1</v>
      </c>
      <c r="W5" s="211">
        <f>SUMPRODUCT(V5:V12,D5:D12)</f>
        <v>0.9</v>
      </c>
      <c r="X5" s="42">
        <f t="shared" ref="X5:X12" si="2">IF(L5="A",F5,IF(L5="B",G5,IF(L5="C",H5,IF(L5="D",I5))))</f>
        <v>1</v>
      </c>
      <c r="Y5" s="43">
        <f t="shared" ref="Y5" si="3">X5</f>
        <v>1</v>
      </c>
      <c r="Z5" s="209">
        <f>SUMPRODUCT(Y5:Y12,D5:D12)</f>
        <v>0.9</v>
      </c>
      <c r="AA5" s="42">
        <f t="shared" ref="AA5:AA12" si="4">IF(M5="A",F5,IF(M5="B",G5,IF(M5="C",H5,IF(M5="D",I5))))</f>
        <v>1</v>
      </c>
      <c r="AB5" s="43">
        <f t="shared" ref="AB5" si="5">AA5</f>
        <v>1</v>
      </c>
      <c r="AC5" s="202">
        <f>SUMPRODUCT(AB5:AB12,D5:D12)</f>
        <v>0.9</v>
      </c>
      <c r="AD5" s="42">
        <f t="shared" ref="AD5:AD12" si="6">IF(N5="A",F5,IF(N5="B",G5,IF(N5="C",H5,IF(N5="D",I5))))</f>
        <v>1</v>
      </c>
      <c r="AE5" s="43">
        <f t="shared" ref="AE5" si="7">AD5</f>
        <v>1</v>
      </c>
      <c r="AF5" s="191">
        <f>SUMPRODUCT(AE5:AE12,D5:D12)</f>
        <v>0.9</v>
      </c>
      <c r="AG5" s="67">
        <f>IF(O5="A",F5,IF(O5="B",G5,IF(O5="C",H5,IF(O5="D",I5))))</f>
        <v>1</v>
      </c>
      <c r="AH5" s="43">
        <f t="shared" ref="AH5:AH11" si="8">AG5</f>
        <v>1</v>
      </c>
      <c r="AI5" s="207">
        <f>SUMPRODUCT(AH5:AH12,D5:D12)</f>
        <v>0.9</v>
      </c>
      <c r="AJ5" s="67">
        <f>IF(P5="A",F5,IF(P5="B",G5,IF(P5="C",H5,IF(P5="D",I5))))</f>
        <v>1</v>
      </c>
      <c r="AK5" s="43">
        <f t="shared" ref="AK5:AK11" si="9">AJ5</f>
        <v>1</v>
      </c>
      <c r="AL5" s="209">
        <f>SUMPRODUCT(AK5:AK12,D5:D12)</f>
        <v>0.9</v>
      </c>
      <c r="AM5" s="67">
        <f>IF(Q5="A",F5,IF(Q5="B",G5,IF(Q5="C",H5,IF(Q5="D",I5))))</f>
        <v>1</v>
      </c>
      <c r="AN5" s="43">
        <f t="shared" ref="AN5:AN11" si="10">AM5</f>
        <v>1</v>
      </c>
      <c r="AO5" s="207">
        <f>SUMPRODUCT(AN5:AN12,D5:D12)</f>
        <v>0.9</v>
      </c>
      <c r="AP5" s="204">
        <f>(T5*R3+W5*U3+Z5*X3+AC5*AA3+AF5*AD3+AI5*AG3+AL5*AJ3+AO5*AM3)/(R3+U3+X3+AA3+AD3+AG3+AJ3+AM3)</f>
        <v>0.90000000000000013</v>
      </c>
    </row>
    <row r="6" spans="1:42" ht="60" customHeight="1">
      <c r="A6" s="265"/>
      <c r="B6" s="44" t="s">
        <v>35</v>
      </c>
      <c r="C6" s="35" t="str">
        <f>'IP Network - Fault Management'!C6</f>
        <v xml:space="preserve">Data Collection&amp; Alarm filtering
</v>
      </c>
      <c r="D6" s="45">
        <f>'IP Network - Fault Management'!D6</f>
        <v>0.1</v>
      </c>
      <c r="E6" s="37" t="s">
        <v>175</v>
      </c>
      <c r="F6" s="38">
        <v>3</v>
      </c>
      <c r="G6" s="39">
        <v>2</v>
      </c>
      <c r="H6" s="39">
        <v>1</v>
      </c>
      <c r="I6" s="40">
        <v>0</v>
      </c>
      <c r="J6" s="41" t="str">
        <f>'IP Network - Fault Management'!P6</f>
        <v>D</v>
      </c>
      <c r="K6" s="41" t="str">
        <f>'IP Network - Fault Management'!Q6</f>
        <v>D</v>
      </c>
      <c r="L6" s="41" t="str">
        <f>'IP Network - Fault Management'!R6</f>
        <v>D</v>
      </c>
      <c r="M6" s="41" t="str">
        <f>'IP Network - Fault Management'!S6</f>
        <v>D</v>
      </c>
      <c r="N6" s="41" t="str">
        <f>'IP Network - Fault Management'!T6</f>
        <v>D</v>
      </c>
      <c r="O6" s="41" t="str">
        <f>'IP Network - Fault Management'!U6</f>
        <v>D</v>
      </c>
      <c r="P6" s="41" t="str">
        <f>'IP Network - Fault Management'!V6</f>
        <v>D</v>
      </c>
      <c r="Q6" s="41" t="str">
        <f>'IP Network - Fault Management'!W6</f>
        <v>D</v>
      </c>
      <c r="R6" s="42">
        <f>IF(J6="A",F6,IF(J6="B",G6,IF(J6="C",H6,IF(J6="D",I6))))</f>
        <v>0</v>
      </c>
      <c r="S6" s="43">
        <f>IF(AND(R6=3,AVERAGE(R5,R7,R8,R9,R10,R11)&gt;3),AVERAGE(R5,R7,R8,R9,R10,R11),R6)</f>
        <v>0</v>
      </c>
      <c r="T6" s="234"/>
      <c r="U6" s="42">
        <f t="shared" ref="U6:U12" si="11">IF(K6="A",F6,IF(K6="B",G6,IF(K6="C",H6,IF(K6="D",I6))))</f>
        <v>0</v>
      </c>
      <c r="V6" s="43">
        <f>IF(AND(U6=3,AVERAGE(U5,U7,U8,U9,U10,U11)&gt;3),AVERAGE(U5,U7,U8,U9,U10,U11),U6)</f>
        <v>0</v>
      </c>
      <c r="W6" s="211"/>
      <c r="X6" s="42">
        <f t="shared" si="2"/>
        <v>0</v>
      </c>
      <c r="Y6" s="43">
        <f>IF(AND(X6=3,AVERAGE(X5,X7,X8,X9,X10,X11)&gt;3),AVERAGE(X5,X7,X8,X9,X10,X11),X6)</f>
        <v>0</v>
      </c>
      <c r="Z6" s="209"/>
      <c r="AA6" s="42">
        <f t="shared" si="4"/>
        <v>0</v>
      </c>
      <c r="AB6" s="43">
        <f>IF(AND(AA6=3,AVERAGE(AA5,AA7,AA8,AA9,AA10,AA11)&gt;3),AVERAGE(AA5,AA7,AA8,AA9,AA10,AA11),AA6)</f>
        <v>0</v>
      </c>
      <c r="AC6" s="202"/>
      <c r="AD6" s="42">
        <f t="shared" si="6"/>
        <v>0</v>
      </c>
      <c r="AE6" s="43">
        <f>IF(AND(AD6=3,AVERAGE(AD5,AD7,AD8,AD9,AD10,AD11)&gt;3),AVERAGE(AD5,AD7,AD8,AD9,AD10,AD11),AD6)</f>
        <v>0</v>
      </c>
      <c r="AF6" s="191"/>
      <c r="AG6" s="67">
        <f t="shared" ref="AG6:AG12" si="12">IF(O6="A",F6,IF(O6="B",G6,IF(O6="C",H6,IF(O6="D",I6))))</f>
        <v>0</v>
      </c>
      <c r="AH6" s="43">
        <f>IF(AND(AG6=3,AVERAGE(AG5,AG7,AG8,AG9,AG10,AG11)&gt;3),AVERAGE(AG5,AG7,AG8,AG9,AG10,AG11),AG6)</f>
        <v>0</v>
      </c>
      <c r="AI6" s="207"/>
      <c r="AJ6" s="67">
        <f t="shared" ref="AJ6:AJ12" si="13">IF(P6="A",F6,IF(P6="B",G6,IF(P6="C",H6,IF(P6="D",I6))))</f>
        <v>0</v>
      </c>
      <c r="AK6" s="43">
        <f>IF(AND(AJ6=3,AVERAGE(AJ5,AJ7,AJ8,AJ9,AJ10,AJ11)&gt;3),AVERAGE(AJ5,AJ7,AJ8,AJ9,AJ10,AJ11),AJ6)</f>
        <v>0</v>
      </c>
      <c r="AL6" s="209"/>
      <c r="AM6" s="67">
        <f t="shared" ref="AM6:AM12" si="14">IF(Q6="A",F6,IF(Q6="B",G6,IF(Q6="C",H6,IF(Q6="D",I6))))</f>
        <v>0</v>
      </c>
      <c r="AN6" s="43">
        <f>IF(AND(AM6=3,AVERAGE(AM5,AM7,AM8,AM9,AM10,AM11)&gt;3),AVERAGE(AM5,AM7,AM8,AM9,AM10,AM11),AM6)</f>
        <v>0</v>
      </c>
      <c r="AO6" s="207"/>
      <c r="AP6" s="205"/>
    </row>
    <row r="7" spans="1:42" ht="60" customHeight="1">
      <c r="A7" s="265"/>
      <c r="B7" s="272" t="s">
        <v>76</v>
      </c>
      <c r="C7" s="35" t="str">
        <f>'IP Network - Fault Management'!C7</f>
        <v>Fault Identification ,Risk identification, impact analysis</v>
      </c>
      <c r="D7" s="45">
        <f>'IP Network - Fault Management'!D7</f>
        <v>0.15</v>
      </c>
      <c r="E7" s="37" t="s">
        <v>176</v>
      </c>
      <c r="F7" s="38">
        <v>4</v>
      </c>
      <c r="G7" s="39">
        <v>3</v>
      </c>
      <c r="H7" s="39">
        <v>2</v>
      </c>
      <c r="I7" s="40">
        <v>1</v>
      </c>
      <c r="J7" s="41" t="str">
        <f>'IP Network - Fault Management'!P7</f>
        <v>D</v>
      </c>
      <c r="K7" s="41" t="str">
        <f>'IP Network - Fault Management'!Q7</f>
        <v>D</v>
      </c>
      <c r="L7" s="41" t="str">
        <f>'IP Network - Fault Management'!R7</f>
        <v>D</v>
      </c>
      <c r="M7" s="41" t="str">
        <f>'IP Network - Fault Management'!S7</f>
        <v>D</v>
      </c>
      <c r="N7" s="41" t="str">
        <f>'IP Network - Fault Management'!T7</f>
        <v>D</v>
      </c>
      <c r="O7" s="41" t="str">
        <f>'IP Network - Fault Management'!U7</f>
        <v>D</v>
      </c>
      <c r="P7" s="41" t="str">
        <f>'IP Network - Fault Management'!V7</f>
        <v>D</v>
      </c>
      <c r="Q7" s="41" t="str">
        <f>'IP Network - Fault Management'!W7</f>
        <v>D</v>
      </c>
      <c r="R7" s="42">
        <f t="shared" ref="R7:R12" si="15">IF(J7="A",F7,IF(J7="B",G7,IF(J7="C",H7,IF(J7="D",I7))))</f>
        <v>1</v>
      </c>
      <c r="S7" s="43">
        <f t="shared" si="0"/>
        <v>1</v>
      </c>
      <c r="T7" s="234"/>
      <c r="U7" s="42">
        <f t="shared" si="11"/>
        <v>1</v>
      </c>
      <c r="V7" s="43">
        <f t="shared" ref="V7:V11" si="16">U7</f>
        <v>1</v>
      </c>
      <c r="W7" s="211"/>
      <c r="X7" s="42">
        <f t="shared" si="2"/>
        <v>1</v>
      </c>
      <c r="Y7" s="43">
        <f t="shared" ref="Y7:Y11" si="17">X7</f>
        <v>1</v>
      </c>
      <c r="Z7" s="209"/>
      <c r="AA7" s="42">
        <f t="shared" si="4"/>
        <v>1</v>
      </c>
      <c r="AB7" s="43">
        <f t="shared" ref="AB7:AB11" si="18">AA7</f>
        <v>1</v>
      </c>
      <c r="AC7" s="202"/>
      <c r="AD7" s="42">
        <f t="shared" si="6"/>
        <v>1</v>
      </c>
      <c r="AE7" s="43">
        <f t="shared" ref="AE7:AE11" si="19">AD7</f>
        <v>1</v>
      </c>
      <c r="AF7" s="191"/>
      <c r="AG7" s="67">
        <f t="shared" si="12"/>
        <v>1</v>
      </c>
      <c r="AH7" s="43">
        <f t="shared" si="8"/>
        <v>1</v>
      </c>
      <c r="AI7" s="207"/>
      <c r="AJ7" s="67">
        <f t="shared" si="13"/>
        <v>1</v>
      </c>
      <c r="AK7" s="43">
        <f t="shared" si="9"/>
        <v>1</v>
      </c>
      <c r="AL7" s="209"/>
      <c r="AM7" s="67">
        <f t="shared" si="14"/>
        <v>1</v>
      </c>
      <c r="AN7" s="43">
        <f t="shared" si="10"/>
        <v>1</v>
      </c>
      <c r="AO7" s="207"/>
      <c r="AP7" s="205"/>
    </row>
    <row r="8" spans="1:42" ht="60" customHeight="1">
      <c r="A8" s="265"/>
      <c r="B8" s="273"/>
      <c r="C8" s="35" t="str">
        <f>'IP Network - Fault Management'!C8</f>
        <v>Fault Demarcation</v>
      </c>
      <c r="D8" s="47">
        <f>'IP Network - Fault Management'!D8</f>
        <v>0.15</v>
      </c>
      <c r="E8" s="48" t="s">
        <v>177</v>
      </c>
      <c r="F8" s="38">
        <v>4</v>
      </c>
      <c r="G8" s="39">
        <v>3</v>
      </c>
      <c r="H8" s="39">
        <v>2</v>
      </c>
      <c r="I8" s="40">
        <v>1</v>
      </c>
      <c r="J8" s="41" t="str">
        <f>'IP Network - Fault Management'!P8</f>
        <v>D</v>
      </c>
      <c r="K8" s="41" t="str">
        <f>'IP Network - Fault Management'!Q8</f>
        <v>D</v>
      </c>
      <c r="L8" s="41" t="str">
        <f>'IP Network - Fault Management'!R8</f>
        <v>D</v>
      </c>
      <c r="M8" s="41" t="str">
        <f>'IP Network - Fault Management'!S8</f>
        <v>D</v>
      </c>
      <c r="N8" s="41" t="str">
        <f>'IP Network - Fault Management'!T8</f>
        <v>D</v>
      </c>
      <c r="O8" s="41" t="str">
        <f>'IP Network - Fault Management'!U8</f>
        <v>D</v>
      </c>
      <c r="P8" s="41" t="str">
        <f>'IP Network - Fault Management'!V8</f>
        <v>D</v>
      </c>
      <c r="Q8" s="41" t="str">
        <f>'IP Network - Fault Management'!W8</f>
        <v>D</v>
      </c>
      <c r="R8" s="42">
        <f t="shared" si="15"/>
        <v>1</v>
      </c>
      <c r="S8" s="43">
        <f t="shared" si="0"/>
        <v>1</v>
      </c>
      <c r="T8" s="234"/>
      <c r="U8" s="42">
        <f t="shared" si="11"/>
        <v>1</v>
      </c>
      <c r="V8" s="43">
        <f t="shared" si="16"/>
        <v>1</v>
      </c>
      <c r="W8" s="211"/>
      <c r="X8" s="42">
        <f t="shared" si="2"/>
        <v>1</v>
      </c>
      <c r="Y8" s="43">
        <f t="shared" si="17"/>
        <v>1</v>
      </c>
      <c r="Z8" s="209"/>
      <c r="AA8" s="42">
        <f t="shared" si="4"/>
        <v>1</v>
      </c>
      <c r="AB8" s="43">
        <f t="shared" si="18"/>
        <v>1</v>
      </c>
      <c r="AC8" s="202"/>
      <c r="AD8" s="42">
        <f t="shared" si="6"/>
        <v>1</v>
      </c>
      <c r="AE8" s="43">
        <f t="shared" si="19"/>
        <v>1</v>
      </c>
      <c r="AF8" s="191"/>
      <c r="AG8" s="67">
        <f t="shared" si="12"/>
        <v>1</v>
      </c>
      <c r="AH8" s="43">
        <f t="shared" si="8"/>
        <v>1</v>
      </c>
      <c r="AI8" s="207"/>
      <c r="AJ8" s="67">
        <f t="shared" si="13"/>
        <v>1</v>
      </c>
      <c r="AK8" s="43">
        <f t="shared" si="9"/>
        <v>1</v>
      </c>
      <c r="AL8" s="209"/>
      <c r="AM8" s="67">
        <f t="shared" si="14"/>
        <v>1</v>
      </c>
      <c r="AN8" s="43">
        <f t="shared" si="10"/>
        <v>1</v>
      </c>
      <c r="AO8" s="207"/>
      <c r="AP8" s="205"/>
    </row>
    <row r="9" spans="1:42" ht="60" customHeight="1">
      <c r="A9" s="265"/>
      <c r="B9" s="273"/>
      <c r="C9" s="35" t="str">
        <f>'IP Network - Fault Management'!C9</f>
        <v>Fault Locating and Root Cause Analysis</v>
      </c>
      <c r="D9" s="47">
        <f>'IP Network - Fault Management'!D9</f>
        <v>0.15</v>
      </c>
      <c r="E9" s="48" t="s">
        <v>178</v>
      </c>
      <c r="F9" s="38">
        <v>4</v>
      </c>
      <c r="G9" s="39">
        <v>3</v>
      </c>
      <c r="H9" s="39">
        <v>2</v>
      </c>
      <c r="I9" s="40">
        <v>1</v>
      </c>
      <c r="J9" s="41" t="str">
        <f>'IP Network - Fault Management'!P9</f>
        <v>D</v>
      </c>
      <c r="K9" s="41" t="str">
        <f>'IP Network - Fault Management'!Q9</f>
        <v>D</v>
      </c>
      <c r="L9" s="41" t="str">
        <f>'IP Network - Fault Management'!R9</f>
        <v>D</v>
      </c>
      <c r="M9" s="41" t="str">
        <f>'IP Network - Fault Management'!S9</f>
        <v>D</v>
      </c>
      <c r="N9" s="41" t="str">
        <f>'IP Network - Fault Management'!T9</f>
        <v>D</v>
      </c>
      <c r="O9" s="41" t="str">
        <f>'IP Network - Fault Management'!U9</f>
        <v>D</v>
      </c>
      <c r="P9" s="41" t="str">
        <f>'IP Network - Fault Management'!V9</f>
        <v>D</v>
      </c>
      <c r="Q9" s="41" t="str">
        <f>'IP Network - Fault Management'!W9</f>
        <v>D</v>
      </c>
      <c r="R9" s="42">
        <f t="shared" si="15"/>
        <v>1</v>
      </c>
      <c r="S9" s="43">
        <f t="shared" ref="S9:S11" si="20">R9</f>
        <v>1</v>
      </c>
      <c r="T9" s="234"/>
      <c r="U9" s="42">
        <f t="shared" si="11"/>
        <v>1</v>
      </c>
      <c r="V9" s="43">
        <f t="shared" si="16"/>
        <v>1</v>
      </c>
      <c r="W9" s="211"/>
      <c r="X9" s="42">
        <f t="shared" si="2"/>
        <v>1</v>
      </c>
      <c r="Y9" s="43">
        <f t="shared" si="17"/>
        <v>1</v>
      </c>
      <c r="Z9" s="209"/>
      <c r="AA9" s="42">
        <f t="shared" si="4"/>
        <v>1</v>
      </c>
      <c r="AB9" s="43">
        <f t="shared" si="18"/>
        <v>1</v>
      </c>
      <c r="AC9" s="202"/>
      <c r="AD9" s="42">
        <f t="shared" si="6"/>
        <v>1</v>
      </c>
      <c r="AE9" s="43">
        <f t="shared" si="19"/>
        <v>1</v>
      </c>
      <c r="AF9" s="191"/>
      <c r="AG9" s="67">
        <f t="shared" si="12"/>
        <v>1</v>
      </c>
      <c r="AH9" s="43">
        <f t="shared" si="8"/>
        <v>1</v>
      </c>
      <c r="AI9" s="207"/>
      <c r="AJ9" s="67">
        <f t="shared" si="13"/>
        <v>1</v>
      </c>
      <c r="AK9" s="43">
        <f t="shared" si="9"/>
        <v>1</v>
      </c>
      <c r="AL9" s="209"/>
      <c r="AM9" s="67">
        <f t="shared" si="14"/>
        <v>1</v>
      </c>
      <c r="AN9" s="43">
        <f t="shared" si="10"/>
        <v>1</v>
      </c>
      <c r="AO9" s="207"/>
      <c r="AP9" s="205"/>
    </row>
    <row r="10" spans="1:42" ht="60" customHeight="1">
      <c r="A10" s="265"/>
      <c r="B10" s="274"/>
      <c r="C10" s="35" t="str">
        <f>'IP Network - Fault Management'!C10</f>
        <v>Solution Generation</v>
      </c>
      <c r="D10" s="47">
        <f>'IP Network - Fault Management'!D10</f>
        <v>0.1</v>
      </c>
      <c r="E10" s="48" t="s">
        <v>179</v>
      </c>
      <c r="F10" s="38">
        <v>4</v>
      </c>
      <c r="G10" s="39">
        <v>3</v>
      </c>
      <c r="H10" s="39">
        <v>2</v>
      </c>
      <c r="I10" s="40">
        <v>1</v>
      </c>
      <c r="J10" s="41" t="str">
        <f>'IP Network - Fault Management'!P10</f>
        <v>D</v>
      </c>
      <c r="K10" s="41" t="str">
        <f>'IP Network - Fault Management'!Q10</f>
        <v>D</v>
      </c>
      <c r="L10" s="41" t="str">
        <f>'IP Network - Fault Management'!R10</f>
        <v>D</v>
      </c>
      <c r="M10" s="41" t="str">
        <f>'IP Network - Fault Management'!S10</f>
        <v>D</v>
      </c>
      <c r="N10" s="41" t="str">
        <f>'IP Network - Fault Management'!T10</f>
        <v>D</v>
      </c>
      <c r="O10" s="41" t="str">
        <f>'IP Network - Fault Management'!U10</f>
        <v>D</v>
      </c>
      <c r="P10" s="41" t="str">
        <f>'IP Network - Fault Management'!V10</f>
        <v>D</v>
      </c>
      <c r="Q10" s="41" t="str">
        <f>'IP Network - Fault Management'!W10</f>
        <v>D</v>
      </c>
      <c r="R10" s="42">
        <f t="shared" si="15"/>
        <v>1</v>
      </c>
      <c r="S10" s="43">
        <f t="shared" si="20"/>
        <v>1</v>
      </c>
      <c r="T10" s="234"/>
      <c r="U10" s="42">
        <f t="shared" si="11"/>
        <v>1</v>
      </c>
      <c r="V10" s="43">
        <f t="shared" si="16"/>
        <v>1</v>
      </c>
      <c r="W10" s="211"/>
      <c r="X10" s="42">
        <f t="shared" si="2"/>
        <v>1</v>
      </c>
      <c r="Y10" s="43">
        <f t="shared" si="17"/>
        <v>1</v>
      </c>
      <c r="Z10" s="209"/>
      <c r="AA10" s="42">
        <f t="shared" si="4"/>
        <v>1</v>
      </c>
      <c r="AB10" s="43">
        <f t="shared" si="18"/>
        <v>1</v>
      </c>
      <c r="AC10" s="202"/>
      <c r="AD10" s="42">
        <f t="shared" si="6"/>
        <v>1</v>
      </c>
      <c r="AE10" s="43">
        <f t="shared" si="19"/>
        <v>1</v>
      </c>
      <c r="AF10" s="191"/>
      <c r="AG10" s="67">
        <f t="shared" si="12"/>
        <v>1</v>
      </c>
      <c r="AH10" s="43">
        <f t="shared" si="8"/>
        <v>1</v>
      </c>
      <c r="AI10" s="207"/>
      <c r="AJ10" s="67">
        <f t="shared" si="13"/>
        <v>1</v>
      </c>
      <c r="AK10" s="43">
        <f t="shared" si="9"/>
        <v>1</v>
      </c>
      <c r="AL10" s="209"/>
      <c r="AM10" s="67">
        <f t="shared" si="14"/>
        <v>1</v>
      </c>
      <c r="AN10" s="43">
        <f t="shared" si="10"/>
        <v>1</v>
      </c>
      <c r="AO10" s="207"/>
      <c r="AP10" s="205"/>
    </row>
    <row r="11" spans="1:42" ht="60" customHeight="1">
      <c r="A11" s="265"/>
      <c r="B11" s="49" t="s">
        <v>36</v>
      </c>
      <c r="C11" s="35" t="str">
        <f>'IP Network - Fault Management'!C11</f>
        <v xml:space="preserve">Solution Evaluation &amp; Decision Making
</v>
      </c>
      <c r="D11" s="47">
        <f>'IP Network - Fault Management'!D11</f>
        <v>0.15</v>
      </c>
      <c r="E11" s="48" t="s">
        <v>181</v>
      </c>
      <c r="F11" s="38">
        <v>4</v>
      </c>
      <c r="G11" s="39">
        <v>3</v>
      </c>
      <c r="H11" s="39">
        <v>2</v>
      </c>
      <c r="I11" s="40">
        <v>1</v>
      </c>
      <c r="J11" s="41" t="str">
        <f>'IP Network - Fault Management'!P11</f>
        <v>D</v>
      </c>
      <c r="K11" s="41" t="str">
        <f>'IP Network - Fault Management'!Q11</f>
        <v>D</v>
      </c>
      <c r="L11" s="41" t="str">
        <f>'IP Network - Fault Management'!R11</f>
        <v>D</v>
      </c>
      <c r="M11" s="41" t="str">
        <f>'IP Network - Fault Management'!S11</f>
        <v>D</v>
      </c>
      <c r="N11" s="41" t="str">
        <f>'IP Network - Fault Management'!T11</f>
        <v>D</v>
      </c>
      <c r="O11" s="41" t="str">
        <f>'IP Network - Fault Management'!U11</f>
        <v>D</v>
      </c>
      <c r="P11" s="41" t="str">
        <f>'IP Network - Fault Management'!V11</f>
        <v>D</v>
      </c>
      <c r="Q11" s="41" t="str">
        <f>'IP Network - Fault Management'!W11</f>
        <v>D</v>
      </c>
      <c r="R11" s="42">
        <f t="shared" si="15"/>
        <v>1</v>
      </c>
      <c r="S11" s="43">
        <f t="shared" si="20"/>
        <v>1</v>
      </c>
      <c r="T11" s="234"/>
      <c r="U11" s="42">
        <f t="shared" si="11"/>
        <v>1</v>
      </c>
      <c r="V11" s="43">
        <f t="shared" si="16"/>
        <v>1</v>
      </c>
      <c r="W11" s="211"/>
      <c r="X11" s="42">
        <f t="shared" si="2"/>
        <v>1</v>
      </c>
      <c r="Y11" s="43">
        <f t="shared" si="17"/>
        <v>1</v>
      </c>
      <c r="Z11" s="209"/>
      <c r="AA11" s="42">
        <f t="shared" si="4"/>
        <v>1</v>
      </c>
      <c r="AB11" s="43">
        <f t="shared" si="18"/>
        <v>1</v>
      </c>
      <c r="AC11" s="202"/>
      <c r="AD11" s="42">
        <f t="shared" si="6"/>
        <v>1</v>
      </c>
      <c r="AE11" s="43">
        <f t="shared" si="19"/>
        <v>1</v>
      </c>
      <c r="AF11" s="191"/>
      <c r="AG11" s="67">
        <f t="shared" si="12"/>
        <v>1</v>
      </c>
      <c r="AH11" s="43">
        <f t="shared" si="8"/>
        <v>1</v>
      </c>
      <c r="AI11" s="207"/>
      <c r="AJ11" s="67">
        <f t="shared" si="13"/>
        <v>1</v>
      </c>
      <c r="AK11" s="43">
        <f t="shared" si="9"/>
        <v>1</v>
      </c>
      <c r="AL11" s="209"/>
      <c r="AM11" s="67">
        <f t="shared" si="14"/>
        <v>1</v>
      </c>
      <c r="AN11" s="43">
        <f t="shared" si="10"/>
        <v>1</v>
      </c>
      <c r="AO11" s="207"/>
      <c r="AP11" s="205"/>
    </row>
    <row r="12" spans="1:42" ht="60" customHeight="1" thickBot="1">
      <c r="A12" s="265"/>
      <c r="B12" s="50" t="s">
        <v>37</v>
      </c>
      <c r="C12" s="51" t="str">
        <f>'IP Network - Fault Management'!C12</f>
        <v>Solution Implementation</v>
      </c>
      <c r="D12" s="52">
        <f>'IP Network - Fault Management'!D12</f>
        <v>0.1</v>
      </c>
      <c r="E12" s="53" t="s">
        <v>169</v>
      </c>
      <c r="F12" s="38">
        <v>3</v>
      </c>
      <c r="G12" s="39">
        <v>2</v>
      </c>
      <c r="H12" s="39">
        <v>1</v>
      </c>
      <c r="I12" s="46"/>
      <c r="J12" s="41" t="str">
        <f>'IP Network - Fault Management'!P12</f>
        <v>C</v>
      </c>
      <c r="K12" s="41" t="str">
        <f>'IP Network - Fault Management'!Q12</f>
        <v>C</v>
      </c>
      <c r="L12" s="41" t="str">
        <f>'IP Network - Fault Management'!R12</f>
        <v>C</v>
      </c>
      <c r="M12" s="41" t="str">
        <f>'IP Network - Fault Management'!S12</f>
        <v>C</v>
      </c>
      <c r="N12" s="41" t="str">
        <f>'IP Network - Fault Management'!T12</f>
        <v>C</v>
      </c>
      <c r="O12" s="41" t="str">
        <f>'IP Network - Fault Management'!U12</f>
        <v>C</v>
      </c>
      <c r="P12" s="41" t="str">
        <f>'IP Network - Fault Management'!V12</f>
        <v>C</v>
      </c>
      <c r="Q12" s="41" t="str">
        <f>'IP Network - Fault Management'!W12</f>
        <v>C</v>
      </c>
      <c r="R12" s="42">
        <f t="shared" si="15"/>
        <v>1</v>
      </c>
      <c r="S12" s="43">
        <f>IF(AND(R12=3,AVERAGE(R5,R7,R8,R9,R10,R11)&gt;3),AVERAGE(R5,R7,R8,R9,R10,R11),R12)</f>
        <v>1</v>
      </c>
      <c r="T12" s="235"/>
      <c r="U12" s="42">
        <f t="shared" si="11"/>
        <v>1</v>
      </c>
      <c r="V12" s="43">
        <f>IF(AND(U12=3,AVERAGE(U5,U7,U8,U9,U10,U11)&gt;3),AVERAGE(U5,U7,U8,U9,U10,U11),U12)</f>
        <v>1</v>
      </c>
      <c r="W12" s="212"/>
      <c r="X12" s="42">
        <f t="shared" si="2"/>
        <v>1</v>
      </c>
      <c r="Y12" s="43">
        <f>IF(AND(X12=3,AVERAGE(X5,X7,X8,X9,X10,X11)&gt;3),AVERAGE(X5,X7,X8,X9,X10,X11),X12)</f>
        <v>1</v>
      </c>
      <c r="Z12" s="210"/>
      <c r="AA12" s="42">
        <f t="shared" si="4"/>
        <v>1</v>
      </c>
      <c r="AB12" s="43">
        <f>IF(AND(AA12=3,AVERAGE(AA5,AA7,AA8,AA9,AA10,AA11)&gt;3),AVERAGE(AA5,AA7,AA8,AA9,AA10,AA11),AA12)</f>
        <v>1</v>
      </c>
      <c r="AC12" s="203"/>
      <c r="AD12" s="42">
        <f t="shared" si="6"/>
        <v>1</v>
      </c>
      <c r="AE12" s="43">
        <f>IF(AND(AD12=3,AVERAGE(AD5,AD7,AD8,AD9,AD10,AD11)&gt;3),AVERAGE(AD5,AD7,AD8,AD9,AD10,AD11),AD12)</f>
        <v>1</v>
      </c>
      <c r="AF12" s="191"/>
      <c r="AG12" s="67">
        <f t="shared" si="12"/>
        <v>1</v>
      </c>
      <c r="AH12" s="43">
        <f>IF(AND(AG12=3,AVERAGE(AG5,AG7,AG8,AG9,AG10,AG11)&gt;3),AVERAGE(AG5,AG7,AG8,AG9,AG10,AG11),AG12)</f>
        <v>1</v>
      </c>
      <c r="AI12" s="208"/>
      <c r="AJ12" s="67">
        <f t="shared" si="13"/>
        <v>1</v>
      </c>
      <c r="AK12" s="43">
        <f>IF(AND(AJ12=3,AVERAGE(AJ5,AJ7,AJ8,AJ9,AJ10,AJ11)&gt;3),AVERAGE(AJ5,AJ7,AJ8,AJ9,AJ10,AJ11),AJ12)</f>
        <v>1</v>
      </c>
      <c r="AL12" s="210"/>
      <c r="AM12" s="67">
        <f t="shared" si="14"/>
        <v>1</v>
      </c>
      <c r="AN12" s="43">
        <f>IF(AND(AM12=3,AVERAGE(AM5,AM7,AM8,AM9,AM10,AM11)&gt;3),AVERAGE(AM5,AM7,AM8,AM9,AM10,AM11),AM12)</f>
        <v>1</v>
      </c>
      <c r="AO12" s="208"/>
      <c r="AP12" s="206"/>
    </row>
    <row r="15" spans="1:42">
      <c r="B15" s="110" t="s">
        <v>219</v>
      </c>
    </row>
    <row r="18" spans="1:22" ht="51" customHeight="1">
      <c r="A18" s="171" t="s">
        <v>196</v>
      </c>
      <c r="B18" s="171"/>
      <c r="C18" s="171"/>
      <c r="D18" s="102" t="s">
        <v>194</v>
      </c>
      <c r="E18" s="103" t="s">
        <v>197</v>
      </c>
      <c r="F18" s="103" t="s">
        <v>198</v>
      </c>
      <c r="G18" s="103" t="s">
        <v>199</v>
      </c>
      <c r="H18" s="103" t="s">
        <v>200</v>
      </c>
      <c r="I18" s="109" t="s">
        <v>94</v>
      </c>
      <c r="J18" s="103" t="s">
        <v>215</v>
      </c>
      <c r="K18" s="192" t="s">
        <v>230</v>
      </c>
      <c r="L18" s="192"/>
      <c r="P18" s="111"/>
      <c r="Q18" s="111"/>
    </row>
    <row r="19" spans="1:22" ht="15" customHeight="1">
      <c r="A19" s="199" t="s">
        <v>201</v>
      </c>
      <c r="B19" s="200"/>
      <c r="C19" s="201"/>
      <c r="D19" s="105">
        <v>0.4</v>
      </c>
      <c r="E19" s="107">
        <v>4</v>
      </c>
      <c r="F19" s="107">
        <v>3</v>
      </c>
      <c r="G19" s="107">
        <v>2</v>
      </c>
      <c r="H19" s="107"/>
      <c r="I19" s="108" t="str">
        <f>'IP Network - Fault Management'!J18</f>
        <v>B</v>
      </c>
      <c r="J19" s="104">
        <f>IF(I19 = "A", E19, IF(I19  = "B", F19, IF(I19  = "C", G19)))</f>
        <v>3</v>
      </c>
      <c r="K19" s="193">
        <f>SUMPRODUCT(D19:D21, J19:J21)</f>
        <v>2.4000000000000004</v>
      </c>
      <c r="L19" s="194"/>
    </row>
    <row r="20" spans="1:22" ht="15" customHeight="1">
      <c r="A20" s="172" t="s">
        <v>202</v>
      </c>
      <c r="B20" s="172"/>
      <c r="C20" s="172"/>
      <c r="D20" s="105">
        <v>0.2</v>
      </c>
      <c r="E20" s="107">
        <v>4</v>
      </c>
      <c r="F20" s="107">
        <v>3</v>
      </c>
      <c r="G20" s="107">
        <v>2</v>
      </c>
      <c r="H20" s="107"/>
      <c r="I20" s="108" t="str">
        <f>'IP Network - Fault Management'!J19</f>
        <v>C</v>
      </c>
      <c r="J20" s="104">
        <f t="shared" ref="J20:J21" si="21">IF(I20 = "A", E20, IF(I20  = "B", F20, IF(I20  = "C", G20)))</f>
        <v>2</v>
      </c>
      <c r="K20" s="195"/>
      <c r="L20" s="196"/>
    </row>
    <row r="21" spans="1:22">
      <c r="A21" s="172" t="s">
        <v>203</v>
      </c>
      <c r="B21" s="172"/>
      <c r="C21" s="172"/>
      <c r="D21" s="105">
        <v>0.4</v>
      </c>
      <c r="E21" s="107">
        <v>4</v>
      </c>
      <c r="F21" s="107">
        <v>3</v>
      </c>
      <c r="G21" s="107">
        <v>2</v>
      </c>
      <c r="H21" s="107"/>
      <c r="I21" s="108" t="str">
        <f>'IP Network - Fault Management'!J20</f>
        <v>C</v>
      </c>
      <c r="J21" s="104">
        <f t="shared" si="21"/>
        <v>2</v>
      </c>
      <c r="K21" s="197"/>
      <c r="L21" s="198"/>
    </row>
    <row r="25" spans="1:22" ht="14.25" customHeight="1">
      <c r="A25" s="179" t="s">
        <v>221</v>
      </c>
      <c r="B25" s="179"/>
      <c r="C25" s="179"/>
      <c r="D25" s="182">
        <f>AP5</f>
        <v>0.90000000000000013</v>
      </c>
      <c r="E25" s="183"/>
      <c r="F25" s="183"/>
      <c r="G25" s="183"/>
      <c r="H25" s="183"/>
      <c r="I25" s="183"/>
      <c r="J25" s="183"/>
      <c r="K25" s="183"/>
      <c r="L25" s="184"/>
      <c r="M25" s="112"/>
      <c r="N25" s="112"/>
      <c r="O25" s="112"/>
      <c r="P25" s="112"/>
      <c r="Q25" s="112"/>
      <c r="R25" s="112"/>
      <c r="S25" s="112"/>
      <c r="T25" s="112"/>
      <c r="U25" s="112"/>
      <c r="V25" s="112"/>
    </row>
    <row r="26" spans="1:22" ht="14.25" customHeight="1">
      <c r="A26" s="180"/>
      <c r="B26" s="180"/>
      <c r="C26" s="180"/>
      <c r="D26" s="185"/>
      <c r="E26" s="186"/>
      <c r="F26" s="186"/>
      <c r="G26" s="186"/>
      <c r="H26" s="186"/>
      <c r="I26" s="186"/>
      <c r="J26" s="186"/>
      <c r="K26" s="186"/>
      <c r="L26" s="187"/>
      <c r="M26" s="112"/>
      <c r="N26" s="112"/>
      <c r="O26" s="112"/>
      <c r="P26" s="112"/>
      <c r="Q26" s="112"/>
      <c r="R26" s="112"/>
      <c r="S26" s="112"/>
      <c r="T26" s="112"/>
      <c r="U26" s="112"/>
      <c r="V26" s="112"/>
    </row>
    <row r="27" spans="1:22" ht="14.25" customHeight="1">
      <c r="A27" s="181"/>
      <c r="B27" s="181"/>
      <c r="C27" s="181"/>
      <c r="D27" s="188"/>
      <c r="E27" s="189"/>
      <c r="F27" s="189"/>
      <c r="G27" s="189"/>
      <c r="H27" s="189"/>
      <c r="I27" s="189"/>
      <c r="J27" s="189"/>
      <c r="K27" s="189"/>
      <c r="L27" s="190"/>
      <c r="M27" s="112"/>
      <c r="N27" s="112"/>
      <c r="O27" s="112"/>
      <c r="P27" s="112"/>
      <c r="Q27" s="112"/>
      <c r="R27" s="112"/>
      <c r="S27" s="112"/>
      <c r="T27" s="112"/>
      <c r="U27" s="112"/>
      <c r="V27" s="112"/>
    </row>
    <row r="30" spans="1:22" ht="14.25" customHeight="1">
      <c r="A30" s="179" t="s">
        <v>222</v>
      </c>
      <c r="B30" s="179"/>
      <c r="C30" s="179"/>
      <c r="D30" s="182">
        <f>K19</f>
        <v>2.4000000000000004</v>
      </c>
      <c r="E30" s="183"/>
      <c r="F30" s="183"/>
      <c r="G30" s="183"/>
      <c r="H30" s="183"/>
      <c r="I30" s="183"/>
      <c r="J30" s="183"/>
      <c r="K30" s="183"/>
      <c r="L30" s="184"/>
      <c r="M30" s="112"/>
      <c r="N30" s="112"/>
      <c r="O30" s="112"/>
      <c r="P30" s="112"/>
      <c r="Q30" s="112"/>
      <c r="R30" s="112"/>
      <c r="S30" s="112"/>
      <c r="T30" s="112"/>
      <c r="U30" s="112"/>
      <c r="V30" s="112"/>
    </row>
    <row r="31" spans="1:22" ht="14.25" customHeight="1">
      <c r="A31" s="180"/>
      <c r="B31" s="180"/>
      <c r="C31" s="180"/>
      <c r="D31" s="185"/>
      <c r="E31" s="186"/>
      <c r="F31" s="186"/>
      <c r="G31" s="186"/>
      <c r="H31" s="186"/>
      <c r="I31" s="186"/>
      <c r="J31" s="186"/>
      <c r="K31" s="186"/>
      <c r="L31" s="187"/>
      <c r="M31" s="112"/>
      <c r="N31" s="112"/>
      <c r="O31" s="112"/>
      <c r="P31" s="112"/>
      <c r="Q31" s="112"/>
      <c r="R31" s="112"/>
      <c r="S31" s="112"/>
      <c r="T31" s="112"/>
      <c r="U31" s="112"/>
      <c r="V31" s="112"/>
    </row>
    <row r="32" spans="1:22" ht="14.25" customHeight="1">
      <c r="A32" s="181"/>
      <c r="B32" s="181"/>
      <c r="C32" s="181"/>
      <c r="D32" s="188"/>
      <c r="E32" s="189"/>
      <c r="F32" s="189"/>
      <c r="G32" s="189"/>
      <c r="H32" s="189"/>
      <c r="I32" s="189"/>
      <c r="J32" s="189"/>
      <c r="K32" s="189"/>
      <c r="L32" s="190"/>
      <c r="M32" s="112"/>
      <c r="N32" s="112"/>
      <c r="O32" s="112"/>
      <c r="P32" s="112"/>
      <c r="Q32" s="112"/>
      <c r="R32" s="112"/>
      <c r="S32" s="112"/>
      <c r="T32" s="112"/>
      <c r="U32" s="112"/>
      <c r="V32" s="112"/>
    </row>
  </sheetData>
  <sheetProtection formatCells="0" insertHyperlinks="0" autoFilter="0"/>
  <mergeCells count="46">
    <mergeCell ref="A1:A4"/>
    <mergeCell ref="A5:A12"/>
    <mergeCell ref="B1:B4"/>
    <mergeCell ref="C1:C4"/>
    <mergeCell ref="B7:B10"/>
    <mergeCell ref="D1:D4"/>
    <mergeCell ref="E1:E4"/>
    <mergeCell ref="T5:T12"/>
    <mergeCell ref="F2:I3"/>
    <mergeCell ref="R2:T2"/>
    <mergeCell ref="F1:AP1"/>
    <mergeCell ref="AP2:AP4"/>
    <mergeCell ref="R3:T3"/>
    <mergeCell ref="U3:W3"/>
    <mergeCell ref="AD3:AF3"/>
    <mergeCell ref="J2:Q3"/>
    <mergeCell ref="AG2:AI2"/>
    <mergeCell ref="AJ2:AL2"/>
    <mergeCell ref="AM2:AO2"/>
    <mergeCell ref="AG3:AI3"/>
    <mergeCell ref="AJ3:AL3"/>
    <mergeCell ref="AM3:AO3"/>
    <mergeCell ref="X3:Z3"/>
    <mergeCell ref="AA3:AC3"/>
    <mergeCell ref="U2:W2"/>
    <mergeCell ref="X2:Z2"/>
    <mergeCell ref="AA2:AC2"/>
    <mergeCell ref="AD2:AF2"/>
    <mergeCell ref="AP5:AP12"/>
    <mergeCell ref="AI5:AI12"/>
    <mergeCell ref="AL5:AL12"/>
    <mergeCell ref="AO5:AO12"/>
    <mergeCell ref="W5:W12"/>
    <mergeCell ref="Z5:Z12"/>
    <mergeCell ref="A30:C32"/>
    <mergeCell ref="D25:L27"/>
    <mergeCell ref="D30:L32"/>
    <mergeCell ref="A25:C27"/>
    <mergeCell ref="AF5:AF12"/>
    <mergeCell ref="A21:C21"/>
    <mergeCell ref="K18:L18"/>
    <mergeCell ref="K19:L21"/>
    <mergeCell ref="A18:C18"/>
    <mergeCell ref="A19:C19"/>
    <mergeCell ref="A20:C20"/>
    <mergeCell ref="AC5:AC12"/>
  </mergeCells>
  <phoneticPr fontId="15"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AB65-620A-4E04-AC05-F03AB2B37FA1}">
  <dimension ref="A1:M25"/>
  <sheetViews>
    <sheetView zoomScaleNormal="100" workbookViewId="0">
      <selection sqref="A1:B2"/>
    </sheetView>
  </sheetViews>
  <sheetFormatPr defaultRowHeight="15"/>
  <cols>
    <col min="1" max="1" width="18" customWidth="1"/>
    <col min="2" max="2" width="24" customWidth="1"/>
    <col min="3" max="10" width="18" customWidth="1"/>
  </cols>
  <sheetData>
    <row r="1" spans="1:13" ht="14.25" customHeight="1">
      <c r="A1" s="280" t="s">
        <v>73</v>
      </c>
      <c r="B1" s="281"/>
      <c r="C1" s="277" t="s">
        <v>94</v>
      </c>
      <c r="D1" s="278"/>
      <c r="E1" s="278"/>
      <c r="F1" s="278"/>
      <c r="G1" s="278"/>
      <c r="H1" s="278"/>
      <c r="I1" s="278"/>
      <c r="J1" s="279"/>
      <c r="K1" s="5"/>
      <c r="L1" s="5"/>
      <c r="M1" s="5"/>
    </row>
    <row r="2" spans="1:13" ht="38.25" customHeight="1">
      <c r="A2" s="282"/>
      <c r="B2" s="283"/>
      <c r="C2" s="18" t="str">
        <f>'IP Network - Fault Management'!P3</f>
        <v>Hardware Failure
 (should include but not limit to 
board failure, fan failure)</v>
      </c>
      <c r="D2" s="18" t="str">
        <f>'IP Network - Fault Management'!Q3</f>
        <v>Device Offline</v>
      </c>
      <c r="E2" s="18" t="str">
        <f>'IP Network - Fault Management'!R3</f>
        <v>Optical Module Failure or Optical Power Abnormal</v>
      </c>
      <c r="F2" s="18" t="str">
        <f>'IP Network - Fault Management'!S3</f>
        <v>Port Failure</v>
      </c>
      <c r="G2" s="18" t="str">
        <f>'IP Network - Fault Management'!T3</f>
        <v>High Error Rate</v>
      </c>
      <c r="H2" s="18" t="str">
        <f>'IP Network - Fault Management'!U3</f>
        <v>Protocol State Abnormal 
(should include but not limit to IGP and BGP peer state abnormal, BFD session abnormal)</v>
      </c>
      <c r="I2" s="18" t="str">
        <f>'IP Network - Fault Management'!V3</f>
        <v>VPN Degradation</v>
      </c>
      <c r="J2" s="18" t="str">
        <f>'IP Network - Fault Management'!W3</f>
        <v>VPN Interruption</v>
      </c>
      <c r="K2" s="5"/>
      <c r="L2" s="5"/>
      <c r="M2" s="5"/>
    </row>
    <row r="3" spans="1:13" ht="15.75">
      <c r="A3" s="275" t="s">
        <v>74</v>
      </c>
      <c r="B3" s="275"/>
      <c r="C3" s="19">
        <f>'IP Network - Fault Management'!P4</f>
        <v>0.05</v>
      </c>
      <c r="D3" s="19">
        <f>'IP Network - Fault Management'!Q4</f>
        <v>0.1</v>
      </c>
      <c r="E3" s="19">
        <f>'IP Network - Fault Management'!R4</f>
        <v>0.15</v>
      </c>
      <c r="F3" s="19">
        <f>'IP Network - Fault Management'!S4</f>
        <v>0.4</v>
      </c>
      <c r="G3" s="19">
        <f>'IP Network - Fault Management'!T4</f>
        <v>0.05</v>
      </c>
      <c r="H3" s="19">
        <f>'IP Network - Fault Management'!U4</f>
        <v>0.1</v>
      </c>
      <c r="I3" s="19">
        <f>'IP Network - Fault Management'!V4</f>
        <v>0.1</v>
      </c>
      <c r="J3" s="19">
        <f>'IP Network - Fault Management'!W4</f>
        <v>0.05</v>
      </c>
      <c r="K3" s="5"/>
      <c r="L3" s="5"/>
      <c r="M3" s="5"/>
    </row>
    <row r="4" spans="1:13" ht="63.75">
      <c r="A4" s="6" t="s">
        <v>93</v>
      </c>
      <c r="B4" s="16" t="str">
        <f>'IP Network - Fault Management'!C5</f>
        <v xml:space="preserve">Intent Translation &amp; Fulfillment
</v>
      </c>
      <c r="C4" s="7" t="str">
        <f>IF('IP Network - Fault Management'!P5="A", "S","P")</f>
        <v>P</v>
      </c>
      <c r="D4" s="7" t="str">
        <f>IF('IP Network - Fault Management'!Q5="A", "S","P")</f>
        <v>P</v>
      </c>
      <c r="E4" s="7" t="str">
        <f>IF('IP Network - Fault Management'!R5="A", "S","P")</f>
        <v>P</v>
      </c>
      <c r="F4" s="7" t="str">
        <f>IF('IP Network - Fault Management'!S5="A", "S","P")</f>
        <v>P</v>
      </c>
      <c r="G4" s="7" t="str">
        <f>IF('IP Network - Fault Management'!T5="A", "S","P")</f>
        <v>P</v>
      </c>
      <c r="H4" s="7" t="str">
        <f>IF('IP Network - Fault Management'!U5="A", "S","P")</f>
        <v>P</v>
      </c>
      <c r="I4" s="7" t="str">
        <f>IF('IP Network - Fault Management'!V5="A", "S","P")</f>
        <v>P</v>
      </c>
      <c r="J4" s="7" t="str">
        <f>IF('IP Network - Fault Management'!W5="A", "S","P")</f>
        <v>P</v>
      </c>
      <c r="K4" s="5"/>
      <c r="L4" s="5"/>
      <c r="M4" s="5"/>
    </row>
    <row r="5" spans="1:13" ht="29.45" customHeight="1">
      <c r="A5" s="6" t="s">
        <v>75</v>
      </c>
      <c r="B5" s="16" t="str">
        <f>'IP Network - Fault Management'!C6</f>
        <v xml:space="preserve">Data Collection&amp; Alarm filtering
</v>
      </c>
      <c r="C5" s="7" t="str">
        <f>IF('IP Network - Fault Management'!P6="A", "S","P")</f>
        <v>P</v>
      </c>
      <c r="D5" s="7" t="str">
        <f>IF('IP Network - Fault Management'!Q6="A", "S","P")</f>
        <v>P</v>
      </c>
      <c r="E5" s="7" t="str">
        <f>IF('IP Network - Fault Management'!R6="A", "S","P")</f>
        <v>P</v>
      </c>
      <c r="F5" s="7" t="str">
        <f>IF('IP Network - Fault Management'!S6="A", "S","P")</f>
        <v>P</v>
      </c>
      <c r="G5" s="7" t="str">
        <f>IF('IP Network - Fault Management'!T6="A", "S","P")</f>
        <v>P</v>
      </c>
      <c r="H5" s="7" t="str">
        <f>IF('IP Network - Fault Management'!U6="A", "S","P")</f>
        <v>P</v>
      </c>
      <c r="I5" s="7" t="str">
        <f>IF('IP Network - Fault Management'!V6="A", "S","P")</f>
        <v>P</v>
      </c>
      <c r="J5" s="7" t="str">
        <f>IF('IP Network - Fault Management'!W6="A", "S","P")</f>
        <v>P</v>
      </c>
      <c r="K5" s="5"/>
      <c r="L5" s="5"/>
      <c r="M5" s="5"/>
    </row>
    <row r="6" spans="1:13" ht="25.5" customHeight="1">
      <c r="A6" s="284" t="s">
        <v>76</v>
      </c>
      <c r="B6" s="16" t="str">
        <f>'IP Network - Fault Management'!C7</f>
        <v>Fault Identification ,Risk identification, impact analysis</v>
      </c>
      <c r="C6" s="7" t="str">
        <f>IF('IP Network - Fault Management'!P7="A", "S","P")</f>
        <v>P</v>
      </c>
      <c r="D6" s="7" t="str">
        <f>IF('IP Network - Fault Management'!Q7="A", "S","P")</f>
        <v>P</v>
      </c>
      <c r="E6" s="7" t="str">
        <f>IF('IP Network - Fault Management'!R7="A", "S","P")</f>
        <v>P</v>
      </c>
      <c r="F6" s="7" t="str">
        <f>IF('IP Network - Fault Management'!S7="A", "S","P")</f>
        <v>P</v>
      </c>
      <c r="G6" s="7" t="str">
        <f>IF('IP Network - Fault Management'!T7="A", "S","P")</f>
        <v>P</v>
      </c>
      <c r="H6" s="7" t="str">
        <f>IF('IP Network - Fault Management'!U7="A", "S","P")</f>
        <v>P</v>
      </c>
      <c r="I6" s="7" t="str">
        <f>IF('IP Network - Fault Management'!V7="A", "S","P")</f>
        <v>P</v>
      </c>
      <c r="J6" s="7" t="str">
        <f>IF('IP Network - Fault Management'!W7="A", "S","P")</f>
        <v>P</v>
      </c>
      <c r="K6" s="5"/>
      <c r="L6" s="5"/>
      <c r="M6" s="5"/>
    </row>
    <row r="7" spans="1:13" ht="25.5" customHeight="1">
      <c r="A7" s="285"/>
      <c r="B7" s="16" t="str">
        <f>'IP Network - Fault Management'!C8</f>
        <v>Fault Demarcation</v>
      </c>
      <c r="C7" s="7" t="str">
        <f>IF('IP Network - Fault Management'!P8="A", "S","P")</f>
        <v>P</v>
      </c>
      <c r="D7" s="7" t="str">
        <f>IF('IP Network - Fault Management'!Q8="A", "S","P")</f>
        <v>P</v>
      </c>
      <c r="E7" s="7" t="str">
        <f>IF('IP Network - Fault Management'!R8="A", "S","P")</f>
        <v>P</v>
      </c>
      <c r="F7" s="7" t="str">
        <f>IF('IP Network - Fault Management'!S8="A", "S","P")</f>
        <v>P</v>
      </c>
      <c r="G7" s="7" t="str">
        <f>IF('IP Network - Fault Management'!T8="A", "S","P")</f>
        <v>P</v>
      </c>
      <c r="H7" s="7" t="str">
        <f>IF('IP Network - Fault Management'!U8="A", "S","P")</f>
        <v>P</v>
      </c>
      <c r="I7" s="7" t="str">
        <f>IF('IP Network - Fault Management'!V8="A", "S","P")</f>
        <v>P</v>
      </c>
      <c r="J7" s="7" t="str">
        <f>IF('IP Network - Fault Management'!W8="A", "S","P")</f>
        <v>P</v>
      </c>
      <c r="K7" s="5"/>
      <c r="L7" s="5"/>
      <c r="M7" s="5"/>
    </row>
    <row r="8" spans="1:13" ht="25.5">
      <c r="A8" s="285"/>
      <c r="B8" s="16" t="str">
        <f>'IP Network - Fault Management'!C9</f>
        <v>Fault Locating and Root Cause Analysis</v>
      </c>
      <c r="C8" s="7" t="str">
        <f>IF('IP Network - Fault Management'!P9="A", "S","P")</f>
        <v>P</v>
      </c>
      <c r="D8" s="7" t="str">
        <f>IF('IP Network - Fault Management'!Q9="A", "S","P")</f>
        <v>P</v>
      </c>
      <c r="E8" s="7" t="str">
        <f>IF('IP Network - Fault Management'!R9="A", "S","P")</f>
        <v>P</v>
      </c>
      <c r="F8" s="7" t="str">
        <f>IF('IP Network - Fault Management'!S9="A", "S","P")</f>
        <v>P</v>
      </c>
      <c r="G8" s="7" t="str">
        <f>IF('IP Network - Fault Management'!T9="A", "S","P")</f>
        <v>P</v>
      </c>
      <c r="H8" s="7" t="str">
        <f>IF('IP Network - Fault Management'!U9="A", "S","P")</f>
        <v>P</v>
      </c>
      <c r="I8" s="7" t="str">
        <f>IF('IP Network - Fault Management'!V9="A", "S","P")</f>
        <v>P</v>
      </c>
      <c r="J8" s="7" t="str">
        <f>IF('IP Network - Fault Management'!W9="A", "S","P")</f>
        <v>P</v>
      </c>
      <c r="K8" s="5"/>
      <c r="L8" s="5"/>
      <c r="M8" s="5"/>
    </row>
    <row r="9" spans="1:13" ht="15.75" customHeight="1">
      <c r="A9" s="286"/>
      <c r="B9" s="16" t="str">
        <f>'IP Network - Fault Management'!C10</f>
        <v>Solution Generation</v>
      </c>
      <c r="C9" s="7" t="str">
        <f>IF('IP Network - Fault Management'!P10="A", "S","P")</f>
        <v>P</v>
      </c>
      <c r="D9" s="7" t="str">
        <f>IF('IP Network - Fault Management'!Q10="A", "S","P")</f>
        <v>P</v>
      </c>
      <c r="E9" s="7" t="str">
        <f>IF('IP Network - Fault Management'!R10="A", "S","P")</f>
        <v>P</v>
      </c>
      <c r="F9" s="7" t="str">
        <f>IF('IP Network - Fault Management'!S10="A", "S","P")</f>
        <v>P</v>
      </c>
      <c r="G9" s="7" t="str">
        <f>IF('IP Network - Fault Management'!T10="A", "S","P")</f>
        <v>P</v>
      </c>
      <c r="H9" s="7" t="str">
        <f>IF('IP Network - Fault Management'!U10="A", "S","P")</f>
        <v>P</v>
      </c>
      <c r="I9" s="7" t="str">
        <f>IF('IP Network - Fault Management'!V10="A", "S","P")</f>
        <v>P</v>
      </c>
      <c r="J9" s="7" t="str">
        <f>IF('IP Network - Fault Management'!W10="A", "S","P")</f>
        <v>P</v>
      </c>
      <c r="K9" s="5"/>
      <c r="L9" s="5"/>
      <c r="M9" s="5"/>
    </row>
    <row r="10" spans="1:13" ht="42.95" customHeight="1">
      <c r="A10" s="8" t="s">
        <v>77</v>
      </c>
      <c r="B10" s="16" t="str">
        <f>'IP Network - Fault Management'!C11</f>
        <v xml:space="preserve">Solution Evaluation &amp; Decision Making
</v>
      </c>
      <c r="C10" s="7" t="str">
        <f>IF('IP Network - Fault Management'!P11="A", "S","P")</f>
        <v>P</v>
      </c>
      <c r="D10" s="7" t="str">
        <f>IF('IP Network - Fault Management'!Q11="A", "S","P")</f>
        <v>P</v>
      </c>
      <c r="E10" s="7" t="str">
        <f>IF('IP Network - Fault Management'!R11="A", "S","P")</f>
        <v>P</v>
      </c>
      <c r="F10" s="7" t="str">
        <f>IF('IP Network - Fault Management'!S11="A", "S","P")</f>
        <v>P</v>
      </c>
      <c r="G10" s="7" t="str">
        <f>IF('IP Network - Fault Management'!T11="A", "S","P")</f>
        <v>P</v>
      </c>
      <c r="H10" s="7" t="str">
        <f>IF('IP Network - Fault Management'!U11="A", "S","P")</f>
        <v>P</v>
      </c>
      <c r="I10" s="7" t="str">
        <f>IF('IP Network - Fault Management'!V11="A", "S","P")</f>
        <v>P</v>
      </c>
      <c r="J10" s="7" t="str">
        <f>IF('IP Network - Fault Management'!W11="A", "S","P")</f>
        <v>P</v>
      </c>
      <c r="K10" s="5"/>
      <c r="L10" s="5"/>
      <c r="M10" s="5"/>
    </row>
    <row r="11" spans="1:13" ht="27.75" thickBot="1">
      <c r="A11" s="8" t="s">
        <v>78</v>
      </c>
      <c r="B11" s="17" t="s">
        <v>182</v>
      </c>
      <c r="C11" s="7" t="str">
        <f>IF('IP Network - Fault Management'!P12="A", "S","P")</f>
        <v>P</v>
      </c>
      <c r="D11" s="7" t="str">
        <f>IF('IP Network - Fault Management'!Q12="A", "S","P")</f>
        <v>P</v>
      </c>
      <c r="E11" s="7" t="str">
        <f>IF('IP Network - Fault Management'!R12="A", "S","P")</f>
        <v>P</v>
      </c>
      <c r="F11" s="7" t="str">
        <f>IF('IP Network - Fault Management'!S12="A", "S","P")</f>
        <v>P</v>
      </c>
      <c r="G11" s="7" t="str">
        <f>IF('IP Network - Fault Management'!T12="A", "S","P")</f>
        <v>P</v>
      </c>
      <c r="H11" s="7" t="str">
        <f>IF('IP Network - Fault Management'!U12="A", "S","P")</f>
        <v>P</v>
      </c>
      <c r="I11" s="7" t="str">
        <f>IF('IP Network - Fault Management'!V12="A", "S","P")</f>
        <v>P</v>
      </c>
      <c r="J11" s="7" t="str">
        <f>IF('IP Network - Fault Management'!W12="A", "S","P")</f>
        <v>P</v>
      </c>
      <c r="K11" s="5"/>
      <c r="L11" s="5"/>
      <c r="M11" s="5"/>
    </row>
    <row r="12" spans="1:13" ht="15.75">
      <c r="A12" s="275" t="s">
        <v>79</v>
      </c>
      <c r="B12" s="275"/>
      <c r="C12" s="9" t="str">
        <f t="shared" ref="C12:J12" si="0">IF(COUNTIF(C5:C11, "")&gt;0, "N",IF(COUNTIF(C5:C11, "P")=0,"Y","N"))</f>
        <v>N</v>
      </c>
      <c r="D12" s="9" t="str">
        <f t="shared" si="0"/>
        <v>N</v>
      </c>
      <c r="E12" s="9" t="str">
        <f t="shared" si="0"/>
        <v>N</v>
      </c>
      <c r="F12" s="9" t="str">
        <f t="shared" si="0"/>
        <v>N</v>
      </c>
      <c r="G12" s="9" t="str">
        <f t="shared" si="0"/>
        <v>N</v>
      </c>
      <c r="H12" s="9" t="str">
        <f t="shared" si="0"/>
        <v>N</v>
      </c>
      <c r="I12" s="9" t="str">
        <f t="shared" si="0"/>
        <v>N</v>
      </c>
      <c r="J12" s="9" t="str">
        <f t="shared" si="0"/>
        <v>N</v>
      </c>
      <c r="K12" s="5"/>
      <c r="L12" s="5"/>
      <c r="M12" s="5"/>
    </row>
    <row r="13" spans="1:13">
      <c r="A13" s="276" t="s">
        <v>80</v>
      </c>
      <c r="B13" s="276"/>
      <c r="C13" s="276"/>
      <c r="D13" s="276"/>
      <c r="E13" s="276"/>
      <c r="F13" s="276"/>
      <c r="G13" s="276"/>
      <c r="H13" s="276"/>
      <c r="I13" s="276"/>
      <c r="J13" s="10">
        <f>SUMIFS(C3:J3, C12:J12, "Y")</f>
        <v>0</v>
      </c>
      <c r="K13" s="5"/>
      <c r="L13" s="5"/>
      <c r="M13" s="5"/>
    </row>
    <row r="14" spans="1:13">
      <c r="A14" s="5"/>
      <c r="B14" s="5"/>
      <c r="C14" s="5"/>
      <c r="D14" s="5"/>
      <c r="E14" s="5"/>
      <c r="F14" s="5"/>
      <c r="G14" s="5"/>
      <c r="H14" s="5"/>
      <c r="I14" s="5"/>
      <c r="J14" s="5"/>
      <c r="K14" s="5"/>
      <c r="L14" s="5"/>
      <c r="M14" s="5"/>
    </row>
    <row r="15" spans="1:13">
      <c r="A15" s="11" t="s">
        <v>81</v>
      </c>
      <c r="B15" s="11" t="s">
        <v>82</v>
      </c>
      <c r="C15" s="11" t="s">
        <v>83</v>
      </c>
      <c r="D15" s="5"/>
      <c r="E15" s="5"/>
      <c r="F15" s="5"/>
      <c r="G15" s="5"/>
      <c r="H15" s="5"/>
      <c r="I15" s="5"/>
      <c r="J15" s="5"/>
      <c r="K15" s="5"/>
      <c r="L15" s="5"/>
      <c r="M15" s="5"/>
    </row>
    <row r="16" spans="1:13">
      <c r="A16" s="12" t="s">
        <v>84</v>
      </c>
      <c r="B16" s="5"/>
      <c r="C16" s="5"/>
      <c r="D16" s="5"/>
      <c r="E16" s="5"/>
      <c r="F16" s="5"/>
      <c r="G16" s="5"/>
      <c r="H16" s="5"/>
      <c r="I16" s="5"/>
      <c r="J16" s="5"/>
      <c r="K16" s="5"/>
      <c r="L16" s="5"/>
      <c r="M16" s="5"/>
    </row>
    <row r="17" spans="1:13">
      <c r="A17" s="13" t="s">
        <v>85</v>
      </c>
      <c r="B17" s="5"/>
      <c r="C17" s="5"/>
      <c r="D17" s="5"/>
      <c r="E17" s="5"/>
      <c r="F17" s="5"/>
      <c r="G17" s="5"/>
      <c r="H17" s="5"/>
      <c r="I17" s="5"/>
      <c r="J17" s="5"/>
      <c r="K17" s="5"/>
      <c r="L17" s="5"/>
      <c r="M17" s="5"/>
    </row>
    <row r="18" spans="1:13">
      <c r="A18" s="14" t="s">
        <v>86</v>
      </c>
      <c r="B18" s="12"/>
      <c r="C18" s="5"/>
      <c r="D18" s="5"/>
      <c r="E18" s="5"/>
      <c r="F18" s="5"/>
      <c r="G18" s="5"/>
      <c r="H18" s="5"/>
      <c r="I18" s="5"/>
      <c r="J18" s="5"/>
      <c r="K18" s="5"/>
      <c r="L18" s="5"/>
      <c r="M18" s="5"/>
    </row>
    <row r="19" spans="1:13">
      <c r="A19" s="15" t="s">
        <v>87</v>
      </c>
      <c r="B19" s="12"/>
      <c r="C19" s="5"/>
      <c r="D19" s="5"/>
      <c r="E19" s="5"/>
      <c r="F19" s="5"/>
      <c r="G19" s="5"/>
      <c r="H19" s="5"/>
      <c r="I19" s="5"/>
      <c r="J19" s="5"/>
      <c r="K19" s="5"/>
      <c r="L19" s="5"/>
      <c r="M19" s="5"/>
    </row>
    <row r="20" spans="1:13">
      <c r="A20" s="15" t="s">
        <v>88</v>
      </c>
      <c r="B20" s="12"/>
      <c r="C20" s="5"/>
      <c r="D20" s="5"/>
      <c r="E20" s="5"/>
      <c r="F20" s="5"/>
      <c r="G20" s="5"/>
      <c r="H20" s="5"/>
      <c r="I20" s="5"/>
      <c r="J20" s="5"/>
      <c r="K20" s="5"/>
      <c r="L20" s="5"/>
      <c r="M20" s="5"/>
    </row>
    <row r="21" spans="1:13">
      <c r="A21" s="15" t="s">
        <v>89</v>
      </c>
      <c r="B21" s="12"/>
      <c r="C21" s="5"/>
      <c r="D21" s="5"/>
      <c r="E21" s="5"/>
      <c r="F21" s="5"/>
      <c r="G21" s="5"/>
      <c r="H21" s="5"/>
      <c r="I21" s="5"/>
      <c r="J21" s="5"/>
      <c r="K21" s="5"/>
      <c r="L21" s="5"/>
      <c r="M21" s="5"/>
    </row>
    <row r="22" spans="1:13">
      <c r="A22" s="14" t="s">
        <v>90</v>
      </c>
      <c r="B22" s="12"/>
      <c r="C22" s="5"/>
      <c r="D22" s="5"/>
      <c r="E22" s="5"/>
      <c r="F22" s="5"/>
      <c r="G22" s="5"/>
      <c r="H22" s="5"/>
      <c r="I22" s="5"/>
      <c r="J22" s="5"/>
      <c r="K22" s="5"/>
      <c r="L22" s="5"/>
      <c r="M22" s="5"/>
    </row>
    <row r="23" spans="1:13">
      <c r="A23" s="15" t="s">
        <v>91</v>
      </c>
      <c r="B23" s="12"/>
      <c r="C23" s="5"/>
      <c r="D23" s="5"/>
      <c r="E23" s="5"/>
      <c r="F23" s="5"/>
      <c r="G23" s="5"/>
      <c r="H23" s="5"/>
      <c r="I23" s="5"/>
      <c r="J23" s="5"/>
      <c r="K23" s="5"/>
      <c r="L23" s="5"/>
      <c r="M23" s="5"/>
    </row>
    <row r="24" spans="1:13">
      <c r="A24" s="15" t="s">
        <v>92</v>
      </c>
      <c r="B24" s="12"/>
      <c r="C24" s="5"/>
      <c r="D24" s="5"/>
      <c r="E24" s="5"/>
      <c r="F24" s="5"/>
      <c r="G24" s="5"/>
      <c r="H24" s="5"/>
      <c r="I24" s="5"/>
      <c r="J24" s="5"/>
      <c r="K24" s="5"/>
      <c r="L24" s="5"/>
      <c r="M24" s="5"/>
    </row>
    <row r="25" spans="1:13">
      <c r="A25" s="5"/>
      <c r="B25" s="5"/>
      <c r="C25" s="5"/>
      <c r="D25" s="5"/>
      <c r="E25" s="5"/>
      <c r="F25" s="5"/>
      <c r="G25" s="5"/>
      <c r="H25" s="5"/>
      <c r="I25" s="5"/>
      <c r="J25" s="5"/>
      <c r="K25" s="5"/>
      <c r="L25" s="5"/>
      <c r="M25" s="5"/>
    </row>
  </sheetData>
  <mergeCells count="6">
    <mergeCell ref="A12:B12"/>
    <mergeCell ref="A13:I13"/>
    <mergeCell ref="C1:J1"/>
    <mergeCell ref="A1:B2"/>
    <mergeCell ref="A3:B3"/>
    <mergeCell ref="A6:A9"/>
  </mergeCells>
  <phoneticPr fontId="15"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466D-982F-4CC2-B13E-F112C1CD1D4E}">
  <dimension ref="A1:Z981"/>
  <sheetViews>
    <sheetView tabSelected="1" workbookViewId="0"/>
  </sheetViews>
  <sheetFormatPr defaultColWidth="14.7109375" defaultRowHeight="15" customHeight="1"/>
  <cols>
    <col min="1" max="1" width="19.28515625" style="86" customWidth="1"/>
    <col min="2" max="2" width="16" style="86" customWidth="1"/>
    <col min="3" max="3" width="19.7109375" style="86" customWidth="1"/>
    <col min="4" max="4" width="32.85546875" style="86" customWidth="1"/>
    <col min="5" max="26" width="9.140625" style="86" customWidth="1"/>
    <col min="27" max="16384" width="14.7109375" style="86"/>
  </cols>
  <sheetData>
    <row r="1" spans="1:26" ht="5.25" customHeight="1">
      <c r="A1" s="93"/>
      <c r="B1" s="85"/>
      <c r="C1" s="85"/>
      <c r="D1" s="85"/>
      <c r="E1" s="85"/>
      <c r="F1" s="85"/>
      <c r="G1" s="85"/>
      <c r="H1" s="85"/>
      <c r="I1" s="85"/>
      <c r="J1" s="85"/>
      <c r="K1" s="85"/>
      <c r="L1" s="85"/>
      <c r="M1" s="85"/>
      <c r="N1" s="85"/>
      <c r="O1" s="85"/>
      <c r="P1" s="85"/>
      <c r="Q1" s="85"/>
      <c r="R1" s="85"/>
      <c r="S1" s="85"/>
      <c r="T1" s="85"/>
      <c r="U1" s="85"/>
      <c r="V1" s="85"/>
      <c r="W1" s="85"/>
      <c r="X1" s="85"/>
      <c r="Y1" s="85"/>
      <c r="Z1" s="85"/>
    </row>
    <row r="2" spans="1:26" ht="24" customHeight="1">
      <c r="A2" s="93"/>
      <c r="B2" s="85"/>
      <c r="C2" s="85"/>
      <c r="D2" s="85"/>
      <c r="E2" s="85"/>
      <c r="F2" s="85"/>
      <c r="G2" s="85"/>
      <c r="H2" s="85"/>
      <c r="I2" s="85"/>
      <c r="J2" s="85"/>
      <c r="K2" s="85"/>
      <c r="L2" s="85"/>
      <c r="M2" s="85"/>
      <c r="N2" s="85"/>
      <c r="O2" s="85"/>
      <c r="P2" s="85"/>
      <c r="Q2" s="85"/>
      <c r="R2" s="85"/>
      <c r="S2" s="85"/>
      <c r="T2" s="85"/>
      <c r="U2" s="85"/>
      <c r="V2" s="85"/>
      <c r="W2" s="85"/>
      <c r="X2" s="85"/>
      <c r="Y2" s="85"/>
      <c r="Z2" s="85"/>
    </row>
    <row r="3" spans="1:26" ht="5.25" customHeight="1">
      <c r="A3" s="93"/>
      <c r="B3" s="85"/>
      <c r="C3" s="85"/>
      <c r="D3" s="85"/>
      <c r="E3" s="85"/>
      <c r="F3" s="85"/>
      <c r="G3" s="85"/>
      <c r="H3" s="85"/>
      <c r="I3" s="85"/>
      <c r="J3" s="85"/>
      <c r="K3" s="85"/>
      <c r="L3" s="85"/>
      <c r="M3" s="85"/>
      <c r="N3" s="85"/>
      <c r="O3" s="85"/>
      <c r="P3" s="85"/>
      <c r="Q3" s="85"/>
      <c r="R3" s="85"/>
      <c r="S3" s="85"/>
      <c r="T3" s="85"/>
      <c r="U3" s="85"/>
      <c r="V3" s="85"/>
      <c r="W3" s="85"/>
      <c r="X3" s="85"/>
      <c r="Y3" s="85"/>
      <c r="Z3" s="85"/>
    </row>
    <row r="4" spans="1:26" ht="5.25" customHeight="1">
      <c r="A4" s="93"/>
      <c r="B4" s="85"/>
      <c r="C4" s="85"/>
      <c r="D4" s="85"/>
      <c r="E4" s="85"/>
      <c r="F4" s="85"/>
      <c r="G4" s="85"/>
      <c r="H4" s="85"/>
      <c r="I4" s="85"/>
      <c r="J4" s="85"/>
      <c r="K4" s="85"/>
      <c r="L4" s="85"/>
      <c r="M4" s="85"/>
      <c r="N4" s="85"/>
      <c r="O4" s="85"/>
      <c r="P4" s="85"/>
      <c r="Q4" s="85"/>
      <c r="R4" s="85"/>
      <c r="S4" s="85"/>
      <c r="T4" s="85"/>
      <c r="U4" s="85"/>
      <c r="V4" s="85"/>
      <c r="W4" s="85"/>
      <c r="X4" s="85"/>
      <c r="Y4" s="85"/>
      <c r="Z4" s="85"/>
    </row>
    <row r="5" spans="1:26" ht="5.25" customHeight="1">
      <c r="A5" s="93"/>
      <c r="B5" s="85"/>
      <c r="C5" s="85"/>
      <c r="D5" s="85"/>
      <c r="E5" s="85"/>
      <c r="F5" s="85"/>
      <c r="G5" s="85"/>
      <c r="H5" s="85"/>
      <c r="I5" s="85"/>
      <c r="J5" s="85"/>
      <c r="K5" s="85"/>
      <c r="L5" s="85"/>
      <c r="M5" s="85"/>
      <c r="N5" s="85"/>
      <c r="O5" s="85"/>
      <c r="P5" s="85"/>
      <c r="Q5" s="85"/>
      <c r="R5" s="85"/>
      <c r="S5" s="85"/>
      <c r="T5" s="85"/>
      <c r="U5" s="85"/>
      <c r="V5" s="85"/>
      <c r="W5" s="85"/>
      <c r="X5" s="85"/>
      <c r="Y5" s="85"/>
      <c r="Z5" s="85"/>
    </row>
    <row r="6" spans="1:26" ht="5.25" customHeight="1">
      <c r="A6" s="93"/>
      <c r="B6" s="85"/>
      <c r="C6" s="85"/>
      <c r="D6" s="85"/>
      <c r="E6" s="85"/>
      <c r="F6" s="85"/>
      <c r="G6" s="85"/>
      <c r="H6" s="85"/>
      <c r="I6" s="85"/>
      <c r="J6" s="85"/>
      <c r="K6" s="85"/>
      <c r="L6" s="85"/>
      <c r="M6" s="85"/>
      <c r="N6" s="85"/>
      <c r="O6" s="85"/>
      <c r="P6" s="85"/>
      <c r="Q6" s="85"/>
      <c r="R6" s="85"/>
      <c r="S6" s="85"/>
      <c r="T6" s="85"/>
      <c r="U6" s="85"/>
      <c r="V6" s="85"/>
      <c r="W6" s="85"/>
      <c r="X6" s="85"/>
      <c r="Y6" s="85"/>
      <c r="Z6" s="85"/>
    </row>
    <row r="7" spans="1:26" s="124" customFormat="1" ht="30" customHeight="1">
      <c r="A7" s="287" t="s">
        <v>236</v>
      </c>
      <c r="B7" s="288"/>
      <c r="C7" s="288"/>
      <c r="D7" s="288"/>
    </row>
    <row r="8" spans="1:26" s="124" customFormat="1" ht="20.25" customHeight="1">
      <c r="A8" s="289" t="s">
        <v>237</v>
      </c>
      <c r="B8" s="289"/>
      <c r="C8" s="125"/>
      <c r="D8" s="125"/>
    </row>
    <row r="9" spans="1:26" s="124" customFormat="1" ht="7.5" customHeight="1">
      <c r="A9" s="126"/>
      <c r="B9" s="125"/>
      <c r="C9" s="125"/>
      <c r="D9" s="125"/>
    </row>
    <row r="10" spans="1:26" s="124" customFormat="1" ht="18.75" customHeight="1">
      <c r="A10" s="290" t="s">
        <v>238</v>
      </c>
      <c r="B10" s="288"/>
      <c r="C10" s="288"/>
      <c r="D10" s="288"/>
    </row>
    <row r="11" spans="1:26" s="128" customFormat="1" ht="33" customHeight="1">
      <c r="A11" s="127" t="s">
        <v>239</v>
      </c>
      <c r="B11" s="127" t="s">
        <v>240</v>
      </c>
      <c r="C11" s="127" t="s">
        <v>241</v>
      </c>
      <c r="D11" s="127" t="s">
        <v>242</v>
      </c>
    </row>
    <row r="12" spans="1:26" s="128" customFormat="1" ht="27.95" customHeight="1">
      <c r="A12" s="134" t="s">
        <v>243</v>
      </c>
      <c r="B12" s="138">
        <v>45667</v>
      </c>
      <c r="C12" s="132" t="s">
        <v>244</v>
      </c>
      <c r="D12" s="135" t="s">
        <v>245</v>
      </c>
    </row>
    <row r="13" spans="1:26" s="128" customFormat="1" ht="27.95" customHeight="1">
      <c r="A13" s="134" t="s">
        <v>246</v>
      </c>
      <c r="B13" s="138">
        <v>45791</v>
      </c>
      <c r="C13" s="132" t="s">
        <v>244</v>
      </c>
      <c r="D13" s="135" t="s">
        <v>247</v>
      </c>
    </row>
    <row r="14" spans="1:26" s="128" customFormat="1" ht="27.95" customHeight="1">
      <c r="A14" s="134" t="s">
        <v>248</v>
      </c>
      <c r="B14" s="138">
        <v>45982</v>
      </c>
      <c r="C14" s="132" t="s">
        <v>244</v>
      </c>
      <c r="D14" s="135" t="s">
        <v>245</v>
      </c>
    </row>
    <row r="15" spans="1:26" s="129" customFormat="1" ht="27.95" customHeight="1">
      <c r="A15" s="134" t="s">
        <v>249</v>
      </c>
      <c r="B15" s="138">
        <v>46106</v>
      </c>
      <c r="C15" s="132" t="s">
        <v>250</v>
      </c>
      <c r="D15" s="135" t="s">
        <v>251</v>
      </c>
    </row>
    <row r="16" spans="1:26" s="129" customFormat="1" ht="27.95" customHeight="1">
      <c r="A16" s="135" t="s">
        <v>297</v>
      </c>
      <c r="B16" s="140" t="s">
        <v>263</v>
      </c>
      <c r="C16" s="132" t="s">
        <v>250</v>
      </c>
      <c r="D16" s="135" t="s">
        <v>251</v>
      </c>
    </row>
    <row r="17" spans="1:26" s="129" customFormat="1" ht="45">
      <c r="A17" s="135" t="s">
        <v>306</v>
      </c>
      <c r="B17" s="140">
        <v>46233</v>
      </c>
      <c r="C17" s="132" t="s">
        <v>309</v>
      </c>
      <c r="D17" s="135" t="s">
        <v>310</v>
      </c>
    </row>
    <row r="18" spans="1:26" s="129" customFormat="1" ht="12" customHeight="1">
      <c r="A18" s="130"/>
      <c r="B18" s="131"/>
      <c r="C18" s="130"/>
      <c r="D18" s="130"/>
    </row>
    <row r="19" spans="1:26" s="129" customFormat="1" ht="18.75" customHeight="1">
      <c r="A19" s="290" t="s">
        <v>252</v>
      </c>
      <c r="B19" s="291"/>
      <c r="C19" s="291"/>
      <c r="D19" s="291"/>
    </row>
    <row r="20" spans="1:26" s="129" customFormat="1" ht="33.950000000000003" customHeight="1">
      <c r="A20" s="300" t="s">
        <v>253</v>
      </c>
      <c r="B20" s="300" t="s">
        <v>240</v>
      </c>
      <c r="C20" s="300" t="s">
        <v>241</v>
      </c>
      <c r="D20" s="300" t="s">
        <v>242</v>
      </c>
    </row>
    <row r="21" spans="1:26" s="129" customFormat="1" ht="27.95" customHeight="1">
      <c r="A21" s="132" t="s">
        <v>254</v>
      </c>
      <c r="B21" s="138">
        <v>45667</v>
      </c>
      <c r="C21" s="132" t="s">
        <v>244</v>
      </c>
      <c r="D21" s="132" t="s">
        <v>255</v>
      </c>
    </row>
    <row r="22" spans="1:26" s="129" customFormat="1" ht="30.75" customHeight="1">
      <c r="A22" s="132" t="s">
        <v>254</v>
      </c>
      <c r="B22" s="138">
        <v>45705</v>
      </c>
      <c r="C22" s="132" t="s">
        <v>256</v>
      </c>
      <c r="D22" s="132" t="s">
        <v>257</v>
      </c>
    </row>
    <row r="23" spans="1:26" s="129" customFormat="1" ht="27.95" customHeight="1">
      <c r="A23" s="132" t="s">
        <v>254</v>
      </c>
      <c r="B23" s="138">
        <v>45791</v>
      </c>
      <c r="C23" s="132" t="s">
        <v>244</v>
      </c>
      <c r="D23" s="132" t="s">
        <v>258</v>
      </c>
    </row>
    <row r="24" spans="1:26" s="129" customFormat="1" ht="27.95" customHeight="1">
      <c r="A24" s="132" t="s">
        <v>254</v>
      </c>
      <c r="B24" s="138">
        <v>45831</v>
      </c>
      <c r="C24" s="132" t="s">
        <v>256</v>
      </c>
      <c r="D24" s="132" t="s">
        <v>257</v>
      </c>
    </row>
    <row r="25" spans="1:26" s="129" customFormat="1" ht="27.95" customHeight="1">
      <c r="A25" s="132" t="s">
        <v>254</v>
      </c>
      <c r="B25" s="138">
        <v>45982</v>
      </c>
      <c r="C25" s="132" t="s">
        <v>244</v>
      </c>
      <c r="D25" s="132" t="s">
        <v>259</v>
      </c>
    </row>
    <row r="26" spans="1:26" s="129" customFormat="1" ht="27.95" customHeight="1">
      <c r="A26" s="132" t="s">
        <v>260</v>
      </c>
      <c r="B26" s="138">
        <v>46038</v>
      </c>
      <c r="C26" s="132" t="s">
        <v>256</v>
      </c>
      <c r="D26" s="132" t="s">
        <v>261</v>
      </c>
    </row>
    <row r="27" spans="1:26" s="129" customFormat="1" ht="27.95" customHeight="1">
      <c r="A27" s="132" t="s">
        <v>254</v>
      </c>
      <c r="B27" s="138">
        <v>46108</v>
      </c>
      <c r="C27" s="132" t="s">
        <v>250</v>
      </c>
      <c r="D27" s="132" t="s">
        <v>262</v>
      </c>
    </row>
    <row r="28" spans="1:26" s="98" customFormat="1" ht="30.75" customHeight="1">
      <c r="A28" s="132" t="s">
        <v>260</v>
      </c>
      <c r="B28" s="138">
        <v>46164</v>
      </c>
      <c r="C28" s="132" t="s">
        <v>256</v>
      </c>
      <c r="D28" s="132" t="s">
        <v>261</v>
      </c>
      <c r="E28" s="97"/>
      <c r="F28" s="97"/>
      <c r="G28" s="97"/>
      <c r="H28" s="97"/>
      <c r="I28" s="97"/>
      <c r="J28" s="97"/>
      <c r="K28" s="97"/>
      <c r="L28" s="97"/>
      <c r="M28" s="97"/>
      <c r="N28" s="97"/>
      <c r="O28" s="97"/>
      <c r="P28" s="97"/>
      <c r="Q28" s="97"/>
      <c r="R28" s="97"/>
      <c r="S28" s="97"/>
      <c r="T28" s="97"/>
      <c r="U28" s="97"/>
      <c r="V28" s="97"/>
      <c r="W28" s="97"/>
      <c r="X28" s="97"/>
      <c r="Y28" s="97"/>
      <c r="Z28" s="97"/>
    </row>
    <row r="29" spans="1:26" s="98" customFormat="1" ht="27.95" customHeight="1">
      <c r="A29" s="133" t="s">
        <v>254</v>
      </c>
      <c r="B29" s="139" t="s">
        <v>263</v>
      </c>
      <c r="C29" s="132" t="s">
        <v>250</v>
      </c>
      <c r="D29" s="132" t="s">
        <v>264</v>
      </c>
      <c r="E29" s="97"/>
      <c r="F29" s="97"/>
      <c r="G29" s="97"/>
      <c r="H29" s="97"/>
      <c r="I29" s="97"/>
      <c r="J29" s="97"/>
      <c r="K29" s="97"/>
      <c r="L29" s="97"/>
      <c r="M29" s="97"/>
      <c r="N29" s="97"/>
      <c r="O29" s="97"/>
      <c r="P29" s="97"/>
      <c r="Q29" s="97"/>
      <c r="R29" s="97"/>
      <c r="S29" s="97"/>
      <c r="T29" s="97"/>
      <c r="U29" s="97"/>
      <c r="V29" s="97"/>
      <c r="W29" s="97"/>
      <c r="X29" s="97"/>
      <c r="Y29" s="97"/>
      <c r="Z29" s="97"/>
    </row>
    <row r="30" spans="1:26" s="98" customFormat="1" ht="30.75" customHeight="1">
      <c r="A30" s="145" t="s">
        <v>260</v>
      </c>
      <c r="B30" s="146">
        <v>46227</v>
      </c>
      <c r="C30" s="145" t="s">
        <v>256</v>
      </c>
      <c r="D30" s="145" t="s">
        <v>261</v>
      </c>
      <c r="E30" s="97"/>
      <c r="F30" s="97"/>
      <c r="G30" s="97"/>
      <c r="H30" s="97"/>
      <c r="I30" s="97"/>
      <c r="J30" s="97"/>
      <c r="K30" s="97"/>
      <c r="L30" s="97"/>
      <c r="M30" s="97"/>
      <c r="N30" s="97"/>
      <c r="O30" s="97"/>
      <c r="P30" s="97"/>
      <c r="Q30" s="97"/>
      <c r="R30" s="97"/>
      <c r="S30" s="97"/>
      <c r="T30" s="97"/>
      <c r="U30" s="97"/>
      <c r="V30" s="97"/>
      <c r="W30" s="97"/>
      <c r="X30" s="97"/>
      <c r="Y30" s="97"/>
      <c r="Z30" s="97"/>
    </row>
    <row r="31" spans="1:26" s="98" customFormat="1" ht="24.75" customHeight="1">
      <c r="A31" s="145" t="s">
        <v>254</v>
      </c>
      <c r="B31" s="146">
        <v>46233</v>
      </c>
      <c r="C31" s="145" t="s">
        <v>307</v>
      </c>
      <c r="D31" s="145" t="s">
        <v>308</v>
      </c>
      <c r="E31" s="97"/>
      <c r="F31" s="97"/>
      <c r="G31" s="97"/>
      <c r="H31" s="97"/>
      <c r="I31" s="97"/>
      <c r="J31" s="97"/>
      <c r="K31" s="97"/>
      <c r="L31" s="97"/>
      <c r="M31" s="97"/>
      <c r="N31" s="97"/>
      <c r="O31" s="97"/>
      <c r="P31" s="97"/>
      <c r="Q31" s="97"/>
      <c r="R31" s="97"/>
      <c r="S31" s="97"/>
      <c r="T31" s="97"/>
      <c r="U31" s="97"/>
      <c r="V31" s="97"/>
      <c r="W31" s="97"/>
      <c r="X31" s="97"/>
      <c r="Y31" s="97"/>
      <c r="Z31" s="97"/>
    </row>
    <row r="32" spans="1:26" s="98" customFormat="1" ht="30.75" customHeight="1">
      <c r="A32" s="145" t="s">
        <v>260</v>
      </c>
      <c r="B32" s="146">
        <v>46290</v>
      </c>
      <c r="C32" s="145" t="s">
        <v>256</v>
      </c>
      <c r="D32" s="145" t="s">
        <v>261</v>
      </c>
      <c r="E32" s="97"/>
      <c r="F32" s="97"/>
      <c r="G32" s="97"/>
      <c r="H32" s="97"/>
      <c r="I32" s="97"/>
      <c r="J32" s="97"/>
      <c r="K32" s="97"/>
      <c r="L32" s="97"/>
      <c r="M32" s="97"/>
      <c r="N32" s="97"/>
      <c r="O32" s="97"/>
      <c r="P32" s="97"/>
      <c r="Q32" s="97"/>
      <c r="R32" s="97"/>
      <c r="S32" s="97"/>
      <c r="T32" s="97"/>
      <c r="U32" s="97"/>
      <c r="V32" s="97"/>
      <c r="W32" s="97"/>
      <c r="X32" s="97"/>
      <c r="Y32" s="97"/>
      <c r="Z32" s="97"/>
    </row>
    <row r="33" spans="1:26" s="98" customFormat="1" ht="30.75" customHeight="1">
      <c r="A33" s="92" t="s">
        <v>235</v>
      </c>
      <c r="B33" s="296"/>
      <c r="C33" s="295"/>
      <c r="D33" s="295"/>
      <c r="E33" s="97"/>
      <c r="F33" s="97"/>
      <c r="G33" s="97"/>
      <c r="H33" s="97"/>
      <c r="I33" s="97"/>
      <c r="J33" s="97"/>
      <c r="K33" s="97"/>
      <c r="L33" s="97"/>
      <c r="M33" s="97"/>
      <c r="N33" s="97"/>
      <c r="O33" s="97"/>
      <c r="P33" s="97"/>
      <c r="Q33" s="97"/>
      <c r="R33" s="97"/>
      <c r="S33" s="97"/>
      <c r="T33" s="97"/>
      <c r="U33" s="97"/>
      <c r="V33" s="97"/>
      <c r="W33" s="97"/>
      <c r="X33" s="97"/>
      <c r="Y33" s="97"/>
      <c r="Z33" s="97"/>
    </row>
    <row r="35" spans="1:26" ht="14.45" customHeight="1">
      <c r="B35" s="95"/>
      <c r="C35" s="95"/>
      <c r="D35" s="95"/>
      <c r="E35" s="95"/>
      <c r="F35" s="95"/>
      <c r="G35" s="95"/>
      <c r="H35" s="95"/>
      <c r="I35" s="95"/>
      <c r="J35" s="95"/>
      <c r="K35" s="95"/>
      <c r="L35" s="95"/>
      <c r="M35" s="95"/>
      <c r="N35" s="95"/>
      <c r="O35" s="95"/>
      <c r="P35" s="95"/>
      <c r="Q35" s="95"/>
      <c r="R35" s="95"/>
      <c r="S35" s="95"/>
      <c r="T35" s="95"/>
      <c r="U35" s="95"/>
      <c r="V35" s="95"/>
      <c r="W35" s="95"/>
      <c r="X35" s="95"/>
      <c r="Y35" s="95"/>
      <c r="Z35" s="95"/>
    </row>
    <row r="36" spans="1:26" ht="18" customHeight="1">
      <c r="A36" s="94"/>
      <c r="B36" s="95"/>
      <c r="C36" s="95"/>
      <c r="D36" s="95"/>
      <c r="E36" s="95"/>
      <c r="F36" s="95"/>
      <c r="G36" s="95"/>
      <c r="H36" s="95"/>
      <c r="I36" s="95"/>
      <c r="J36" s="95"/>
      <c r="K36" s="95"/>
      <c r="L36" s="95"/>
      <c r="M36" s="95"/>
      <c r="N36" s="95"/>
      <c r="O36" s="95"/>
      <c r="P36" s="95"/>
      <c r="Q36" s="95"/>
      <c r="R36" s="95"/>
      <c r="S36" s="95"/>
      <c r="T36" s="95"/>
      <c r="U36" s="95"/>
      <c r="V36" s="95"/>
      <c r="W36" s="95"/>
      <c r="X36" s="95"/>
      <c r="Y36" s="95"/>
      <c r="Z36" s="95"/>
    </row>
    <row r="37" spans="1:26" ht="18" customHeight="1">
      <c r="A37" s="94"/>
      <c r="B37" s="95"/>
      <c r="C37" s="95"/>
      <c r="D37" s="95"/>
      <c r="E37" s="95"/>
      <c r="F37" s="95"/>
      <c r="G37" s="95"/>
      <c r="H37" s="95"/>
      <c r="I37" s="95"/>
      <c r="J37" s="95"/>
      <c r="K37" s="95"/>
      <c r="L37" s="95"/>
      <c r="M37" s="95"/>
      <c r="N37" s="95"/>
      <c r="O37" s="95"/>
      <c r="P37" s="95"/>
      <c r="Q37" s="95"/>
      <c r="R37" s="95"/>
      <c r="S37" s="95"/>
      <c r="T37" s="95"/>
      <c r="U37" s="95"/>
      <c r="V37" s="95"/>
      <c r="W37" s="95"/>
      <c r="X37" s="95"/>
      <c r="Y37" s="95"/>
      <c r="Z37" s="95"/>
    </row>
    <row r="38" spans="1:26" ht="6.6" customHeight="1">
      <c r="A38" s="94"/>
      <c r="B38" s="95"/>
      <c r="C38" s="95"/>
      <c r="D38" s="95"/>
      <c r="E38" s="95"/>
      <c r="F38" s="95"/>
      <c r="G38" s="95"/>
      <c r="H38" s="95"/>
      <c r="I38" s="95"/>
      <c r="J38" s="95"/>
      <c r="K38" s="95"/>
      <c r="L38" s="95"/>
      <c r="M38" s="95"/>
      <c r="N38" s="95"/>
      <c r="O38" s="95"/>
      <c r="P38" s="95"/>
      <c r="Q38" s="95"/>
      <c r="R38" s="95"/>
      <c r="S38" s="95"/>
      <c r="T38" s="95"/>
      <c r="U38" s="95"/>
      <c r="V38" s="95"/>
      <c r="W38" s="95"/>
      <c r="X38" s="95"/>
      <c r="Y38" s="95"/>
      <c r="Z38" s="95"/>
    </row>
    <row r="39" spans="1:26" ht="16.5" customHeight="1">
      <c r="A39" s="92"/>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spans="1:26" ht="14.25" customHeight="1">
      <c r="A40" s="92"/>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ht="14.25" customHeight="1">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spans="1:26" ht="5.25" customHeight="1">
      <c r="A42" s="92"/>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spans="1:26" ht="14.25" customHeight="1">
      <c r="A43" s="92"/>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spans="1:26" ht="14.25" customHeight="1">
      <c r="A44" s="92"/>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spans="1:26" ht="14.25" customHeight="1">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spans="1:26" ht="14.25" customHeight="1">
      <c r="A46" s="92"/>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spans="1:26" ht="60.75" customHeight="1">
      <c r="A47" s="94"/>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spans="1:26" ht="7.5" customHeight="1">
      <c r="A48" s="94"/>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spans="1:26" ht="7.5" customHeight="1">
      <c r="A49" s="94"/>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spans="1:26" ht="37.5" customHeight="1">
      <c r="A50" s="94"/>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spans="1:26" ht="7.5" customHeight="1">
      <c r="A51" s="94"/>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spans="1:26" ht="7.5" customHeight="1">
      <c r="A52" s="94"/>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spans="1:26" ht="7.5" customHeight="1">
      <c r="A53" s="94"/>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spans="1:26" ht="7.5" customHeight="1">
      <c r="A54" s="94"/>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spans="1:26" ht="7.5" customHeight="1">
      <c r="A55" s="94"/>
      <c r="B55" s="95"/>
      <c r="C55" s="95"/>
      <c r="D55" s="95"/>
      <c r="E55" s="95"/>
      <c r="F55" s="95"/>
      <c r="G55" s="95"/>
      <c r="H55" s="95"/>
      <c r="I55" s="95"/>
      <c r="J55" s="95"/>
      <c r="K55" s="95"/>
      <c r="L55" s="95"/>
      <c r="M55" s="95"/>
      <c r="N55" s="95"/>
      <c r="O55" s="95"/>
      <c r="P55" s="95"/>
      <c r="Q55" s="95"/>
      <c r="R55" s="95"/>
      <c r="S55" s="95"/>
      <c r="T55" s="95"/>
      <c r="U55" s="95"/>
      <c r="V55" s="95"/>
      <c r="W55" s="95"/>
      <c r="X55" s="95"/>
      <c r="Y55" s="95"/>
      <c r="Z55" s="95"/>
    </row>
    <row r="56" spans="1:26" ht="15" customHeight="1">
      <c r="A56" s="101"/>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5" customHeight="1">
      <c r="A57" s="101"/>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ht="15" customHeight="1">
      <c r="A58" s="101"/>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ht="15" customHeight="1">
      <c r="A59" s="101"/>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ht="15" customHeight="1">
      <c r="A60" s="101"/>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spans="1:26" ht="15" customHeight="1">
      <c r="A61" s="101"/>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spans="1:26" ht="15" customHeight="1">
      <c r="A62" s="101"/>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spans="1:26" ht="15" customHeight="1">
      <c r="A63" s="101"/>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spans="1:26" ht="15" customHeight="1">
      <c r="A64" s="101"/>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spans="1:26" ht="15" customHeight="1">
      <c r="A65" s="101"/>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spans="1:26" ht="15" customHeight="1">
      <c r="A66" s="101"/>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spans="1:26" ht="15" customHeight="1">
      <c r="A67" s="101"/>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spans="1:26" ht="15" customHeight="1">
      <c r="A68" s="101"/>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spans="1:26" ht="15" customHeight="1">
      <c r="A69" s="101"/>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spans="1:26" ht="15" customHeight="1">
      <c r="A70" s="101"/>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spans="1:26" ht="15" customHeight="1">
      <c r="A71" s="101"/>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spans="1:26" ht="15" customHeight="1">
      <c r="A72" s="101"/>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spans="1:26" ht="15" customHeight="1">
      <c r="A73" s="101"/>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spans="1:26" ht="15" customHeight="1">
      <c r="A74" s="101"/>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spans="1:26" ht="15" customHeight="1">
      <c r="A75" s="101"/>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spans="1:26" ht="15" customHeight="1">
      <c r="A76" s="101"/>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spans="1:26" ht="15" customHeight="1">
      <c r="A77" s="101"/>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spans="1:26" ht="15" customHeight="1">
      <c r="A78" s="101"/>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spans="1:26" ht="15" customHeight="1">
      <c r="A79" s="101"/>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spans="1:26" ht="15" customHeight="1">
      <c r="A80" s="101"/>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spans="1:26" ht="15" customHeight="1">
      <c r="A81" s="101"/>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spans="1:26" ht="15" customHeight="1">
      <c r="A82" s="101"/>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spans="1:26" ht="15" customHeight="1">
      <c r="A83" s="101"/>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spans="1:26" ht="15" customHeight="1">
      <c r="A84" s="101"/>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spans="1:26" ht="12.75" customHeight="1">
      <c r="A85" s="93"/>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spans="1:26" ht="12.75" customHeight="1">
      <c r="A86" s="93"/>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spans="1:26" ht="12.75" customHeight="1">
      <c r="A87" s="93"/>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spans="1:26" ht="12.75" customHeight="1">
      <c r="A88" s="93"/>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spans="1:26" ht="12.75" customHeight="1">
      <c r="A89" s="93"/>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spans="1:26" ht="12.75" customHeight="1">
      <c r="A90" s="93"/>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spans="1:26" ht="12.75" customHeight="1">
      <c r="A91" s="93"/>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spans="1:26" ht="12.75" customHeight="1">
      <c r="A92" s="93"/>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spans="1:26" ht="12.75" customHeight="1">
      <c r="A93" s="93"/>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spans="1:26" ht="12.75" customHeight="1">
      <c r="A94" s="93"/>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spans="1:26" ht="12.75" customHeight="1">
      <c r="A95" s="93"/>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spans="1:26" ht="12.75" customHeight="1">
      <c r="A96" s="93"/>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spans="1:26" ht="12.75" customHeight="1">
      <c r="A97" s="93"/>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spans="1:26" ht="12.75" customHeight="1">
      <c r="A98" s="93"/>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spans="1:26" ht="12.75" customHeight="1">
      <c r="A99" s="93"/>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spans="1:26" ht="12.75" customHeight="1">
      <c r="A100" s="93"/>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spans="1:26" ht="12.75" customHeight="1">
      <c r="A101" s="93"/>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spans="1:26" ht="12.75" customHeight="1">
      <c r="A102" s="93"/>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spans="1:26" ht="12.75" customHeight="1">
      <c r="A103" s="93"/>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spans="1:26" ht="12.75" customHeight="1">
      <c r="A104" s="93"/>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1:26" ht="12.75" customHeight="1">
      <c r="A105" s="93"/>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1:26" ht="12.75" customHeight="1">
      <c r="A106" s="93"/>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1:26" ht="12.75" customHeight="1">
      <c r="A107" s="93"/>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1:26" ht="12.75" customHeight="1">
      <c r="A108" s="93"/>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1:26" ht="12.75" customHeight="1">
      <c r="A109" s="93"/>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spans="1:26" ht="12.75" customHeight="1">
      <c r="A110" s="93"/>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spans="1:26" ht="12.75" customHeight="1">
      <c r="A111" s="93"/>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spans="1:26" ht="12.75" customHeight="1">
      <c r="A112" s="93"/>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spans="1:26" ht="12.75" customHeight="1">
      <c r="A113" s="93"/>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spans="1:26" ht="12.75" customHeight="1">
      <c r="A114" s="93"/>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spans="1:26" ht="12.75" customHeight="1">
      <c r="A115" s="93"/>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spans="1:26" ht="12.75" customHeight="1">
      <c r="A116" s="93"/>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spans="1:26" ht="12.75" customHeight="1">
      <c r="A117" s="93"/>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spans="1:26" ht="12.75" customHeight="1">
      <c r="A118" s="93"/>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spans="1:26" ht="12.75" customHeight="1">
      <c r="A119" s="93"/>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spans="1:26" ht="12.75" customHeight="1">
      <c r="A120" s="93"/>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spans="1:26" ht="12.75" customHeight="1">
      <c r="A121" s="93"/>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spans="1:26" ht="12.75" customHeight="1">
      <c r="A122" s="93"/>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spans="1:26" ht="12.75" customHeight="1">
      <c r="A123" s="93"/>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spans="1:26" ht="12.75" customHeight="1">
      <c r="A124" s="93"/>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spans="1:26" ht="12.75" customHeight="1">
      <c r="A125" s="93"/>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spans="1:26" ht="12.75" customHeight="1">
      <c r="A126" s="93"/>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spans="1:26" ht="12.75" customHeight="1">
      <c r="A127" s="93"/>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spans="1:26" ht="12.75" customHeight="1">
      <c r="A128" s="93"/>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spans="1:26" ht="12.75" customHeight="1">
      <c r="A129" s="93"/>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spans="1:26" ht="12.75" customHeight="1">
      <c r="A130" s="93"/>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spans="1:26" ht="12.75" customHeight="1">
      <c r="A131" s="93"/>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spans="1:26" ht="12.75" customHeight="1">
      <c r="A132" s="93"/>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spans="1:26" ht="12.75" customHeight="1">
      <c r="A133" s="93"/>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spans="1:26" ht="12.75" customHeight="1">
      <c r="A134" s="93"/>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spans="1:26" ht="12.75" customHeight="1">
      <c r="A135" s="93"/>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spans="1:26" ht="12.75" customHeight="1">
      <c r="A136" s="93"/>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spans="1:26" ht="12.75" customHeight="1">
      <c r="A137" s="93"/>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spans="1:26" ht="12.75" customHeight="1">
      <c r="A138" s="93"/>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spans="1:26" ht="12.75" customHeight="1">
      <c r="A139" s="93"/>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spans="1:26" ht="12.75" customHeight="1">
      <c r="A140" s="93"/>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spans="1:26" ht="12.75" customHeight="1">
      <c r="A141" s="93"/>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spans="1:26" ht="12.75" customHeight="1">
      <c r="A142" s="93"/>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spans="1:26" ht="12.75" customHeight="1">
      <c r="A143" s="93"/>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spans="1:26" ht="12.75" customHeight="1">
      <c r="A144" s="93"/>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spans="1:26" ht="12.75" customHeight="1">
      <c r="A145" s="93"/>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spans="1:26" ht="12.75" customHeight="1">
      <c r="A146" s="93"/>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spans="1:26" ht="12.75" customHeight="1">
      <c r="A147" s="93"/>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spans="1:26" ht="12.75" customHeight="1">
      <c r="A148" s="93"/>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spans="1:26" ht="12.75" customHeight="1">
      <c r="A149" s="93"/>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spans="1:26" ht="12.75" customHeight="1">
      <c r="A150" s="93"/>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spans="1:26" ht="12.75" customHeight="1">
      <c r="A151" s="93"/>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spans="1:26" ht="12.75" customHeight="1">
      <c r="A152" s="93"/>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spans="1:26" ht="12.75" customHeight="1">
      <c r="A153" s="93"/>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spans="1:26" ht="12.75" customHeight="1">
      <c r="A154" s="93"/>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spans="1:26" ht="12.75" customHeight="1">
      <c r="A155" s="93"/>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spans="1:26" ht="12.75" customHeight="1">
      <c r="A156" s="93"/>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spans="1:26" ht="12.75" customHeight="1">
      <c r="A157" s="93"/>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spans="1:26" ht="12.75" customHeight="1">
      <c r="A158" s="93"/>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spans="1:26" ht="12.75" customHeight="1">
      <c r="A159" s="93"/>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spans="1:26" ht="12.75" customHeight="1">
      <c r="A160" s="93"/>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spans="1:26" ht="12.75" customHeight="1">
      <c r="A161" s="93"/>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spans="1:26" ht="12.75" customHeight="1">
      <c r="A162" s="93"/>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spans="1:26" ht="12.75" customHeight="1">
      <c r="A163" s="93"/>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spans="1:26" ht="12.75" customHeight="1">
      <c r="A164" s="93"/>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spans="1:26" ht="12.75" customHeight="1">
      <c r="A165" s="93"/>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spans="1:26" ht="12.75" customHeight="1">
      <c r="A166" s="93"/>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spans="1:26" ht="12.75" customHeight="1">
      <c r="A167" s="93"/>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spans="1:26" ht="12.75" customHeight="1">
      <c r="A168" s="93"/>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spans="1:26" ht="12.75" customHeight="1">
      <c r="A169" s="93"/>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spans="1:26" ht="12.75" customHeight="1">
      <c r="A170" s="93"/>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spans="1:26" ht="12.75" customHeight="1">
      <c r="A171" s="93"/>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spans="1:26" ht="12.75" customHeight="1">
      <c r="A172" s="93"/>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spans="1:26" ht="12.75" customHeight="1">
      <c r="A173" s="93"/>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spans="1:26" ht="12.75" customHeight="1">
      <c r="A174" s="93"/>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spans="1:26" ht="12.75" customHeight="1">
      <c r="A175" s="93"/>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spans="1:26" ht="12.75" customHeight="1">
      <c r="A176" s="93"/>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spans="1:26" ht="12.75" customHeight="1">
      <c r="A177" s="93"/>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spans="1:26" ht="12.75" customHeight="1">
      <c r="A178" s="93"/>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spans="1:26" ht="12.75" customHeight="1">
      <c r="A179" s="93"/>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spans="1:26" ht="12.75" customHeight="1">
      <c r="A180" s="93"/>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spans="1:26" ht="12.75" customHeight="1">
      <c r="A181" s="93"/>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spans="1:26" ht="12.75" customHeight="1">
      <c r="A182" s="93"/>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spans="1:26" ht="12.75" customHeight="1">
      <c r="A183" s="93"/>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spans="1:26" ht="12.75" customHeight="1">
      <c r="A184" s="93"/>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spans="1:26" ht="12.75" customHeight="1">
      <c r="A185" s="93"/>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spans="1:26" ht="12.75" customHeight="1">
      <c r="A186" s="93"/>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spans="1:26" ht="12.75" customHeight="1">
      <c r="A187" s="93"/>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spans="1:26" ht="12.75" customHeight="1">
      <c r="A188" s="93"/>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spans="1:26" ht="12.75" customHeight="1">
      <c r="A189" s="93"/>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spans="1:26" ht="12.75" customHeight="1">
      <c r="A190" s="93"/>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spans="1:26" ht="12.75" customHeight="1">
      <c r="A191" s="93"/>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spans="1:26" ht="12.75" customHeight="1">
      <c r="A192" s="93"/>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spans="1:26" ht="12.75" customHeight="1">
      <c r="A193" s="93"/>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spans="1:26" ht="12.75" customHeight="1">
      <c r="A194" s="93"/>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spans="1:26" ht="12.75" customHeight="1">
      <c r="A195" s="93"/>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spans="1:26" ht="12.75" customHeight="1">
      <c r="A196" s="93"/>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spans="1:26" ht="12.75" customHeight="1">
      <c r="A197" s="93"/>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spans="1:26" ht="12.75" customHeight="1">
      <c r="A198" s="93"/>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spans="1:26" ht="12.75" customHeight="1">
      <c r="A199" s="93"/>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spans="1:26" ht="12.75" customHeight="1">
      <c r="A200" s="93"/>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spans="1:26" ht="12.75" customHeight="1">
      <c r="A201" s="93"/>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spans="1:26" ht="12.75" customHeight="1">
      <c r="A202" s="93"/>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spans="1:26" ht="12.75" customHeight="1">
      <c r="A203" s="93"/>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spans="1:26" ht="12.75" customHeight="1">
      <c r="A204" s="93"/>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spans="1:26" ht="12.75" customHeight="1">
      <c r="A205" s="93"/>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spans="1:26" ht="12.75" customHeight="1">
      <c r="A206" s="93"/>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spans="1:26" ht="12.75" customHeight="1">
      <c r="A207" s="93"/>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spans="1:26" ht="12.75" customHeight="1">
      <c r="A208" s="93"/>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spans="1:26" ht="12.75" customHeight="1">
      <c r="A209" s="93"/>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spans="1:26" ht="12.75" customHeight="1">
      <c r="A210" s="93"/>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spans="1:26" ht="12.75" customHeight="1">
      <c r="A211" s="93"/>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spans="1:26" ht="12.75" customHeight="1">
      <c r="A212" s="93"/>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spans="1:26" ht="12.75" customHeight="1">
      <c r="A213" s="93"/>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spans="1:26" ht="12.75" customHeight="1">
      <c r="A214" s="93"/>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spans="1:26" ht="12.75" customHeight="1">
      <c r="A215" s="93"/>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spans="1:26" ht="12.75" customHeight="1">
      <c r="A216" s="93"/>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spans="1:26" ht="12.75" customHeight="1">
      <c r="A217" s="93"/>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spans="1:26" ht="12.75" customHeight="1">
      <c r="A218" s="93"/>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spans="1:26" ht="12.75" customHeight="1">
      <c r="A219" s="93"/>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spans="1:26" ht="12.75" customHeight="1">
      <c r="A220" s="93"/>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spans="1:26" ht="12.75" customHeight="1">
      <c r="A221" s="93"/>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spans="1:26" ht="12.75" customHeight="1">
      <c r="A222" s="93"/>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spans="1:26" ht="12.75" customHeight="1">
      <c r="A223" s="93"/>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spans="1:26" ht="12.75" customHeight="1">
      <c r="A224" s="93"/>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spans="1:26" ht="12.75" customHeight="1">
      <c r="A225" s="93"/>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spans="1:26" ht="12.75" customHeight="1">
      <c r="A226" s="93"/>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spans="1:26" ht="12.75" customHeight="1">
      <c r="A227" s="93"/>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spans="1:26" ht="12.75" customHeight="1">
      <c r="A228" s="93"/>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spans="1:26" ht="12.75" customHeight="1">
      <c r="A229" s="93"/>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spans="1:26" ht="12.75" customHeight="1">
      <c r="A230" s="93"/>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spans="1:26" ht="12.75" customHeight="1">
      <c r="A231" s="93"/>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spans="1:26" ht="12.75" customHeight="1">
      <c r="A232" s="93"/>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spans="1:26" ht="12.75" customHeight="1">
      <c r="A233" s="93"/>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spans="1:26" ht="12.75" customHeight="1">
      <c r="A234" s="93"/>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spans="1:26" ht="12.75" customHeight="1">
      <c r="A235" s="93"/>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spans="1:26" ht="12.75" customHeight="1">
      <c r="A236" s="93"/>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spans="1:26" ht="12.75" customHeight="1">
      <c r="A237" s="93"/>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spans="1:26" ht="12.75" customHeight="1">
      <c r="A238" s="93"/>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spans="1:26" ht="12.75" customHeight="1">
      <c r="A239" s="93"/>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spans="1:26" ht="12.75" customHeight="1">
      <c r="A240" s="93"/>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spans="1:26" ht="12.75" customHeight="1">
      <c r="A241" s="93"/>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spans="1:26" ht="12.75" customHeight="1">
      <c r="A242" s="93"/>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spans="1:26" ht="12.75" customHeight="1">
      <c r="A243" s="93"/>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spans="1:26" ht="12.75" customHeight="1">
      <c r="A244" s="93"/>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spans="1:26" ht="12.75" customHeight="1">
      <c r="A245" s="93"/>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spans="1:26" ht="12.75" customHeight="1">
      <c r="A246" s="93"/>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spans="1:26" ht="12.75" customHeight="1">
      <c r="A247" s="93"/>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spans="1:26" ht="12.75" customHeight="1">
      <c r="A248" s="93"/>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spans="1:26" ht="12.75" customHeight="1">
      <c r="A249" s="93"/>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spans="1:26" ht="12.75" customHeight="1">
      <c r="A250" s="93"/>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spans="1:26" ht="12.75" customHeight="1">
      <c r="A251" s="93"/>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spans="1:26" ht="12.75" customHeight="1">
      <c r="A252" s="93"/>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spans="1:26" ht="12.75" customHeight="1">
      <c r="A253" s="93"/>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spans="1:26" ht="12.75" customHeight="1">
      <c r="A254" s="93"/>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spans="1:26" ht="12.75" customHeight="1">
      <c r="A255" s="93"/>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spans="1:26" ht="12.75" customHeight="1">
      <c r="A256" s="93"/>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spans="1:26" ht="12.75" customHeight="1">
      <c r="A257" s="93"/>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spans="1:26" ht="12.75" customHeight="1">
      <c r="A258" s="93"/>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spans="1:26" ht="12.75" customHeight="1">
      <c r="A259" s="93"/>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spans="1:26" ht="12.75" customHeight="1">
      <c r="A260" s="93"/>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spans="1:26" ht="12.75" customHeight="1">
      <c r="A261" s="93"/>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spans="1:26" ht="12.75" customHeight="1">
      <c r="A262" s="93"/>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spans="1:26" ht="12.75" customHeight="1">
      <c r="A263" s="93"/>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spans="1:26" ht="12.75" customHeight="1">
      <c r="A264" s="93"/>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spans="1:26" ht="12.75" customHeight="1">
      <c r="A265" s="93"/>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spans="1:26" ht="12.75" customHeight="1">
      <c r="A266" s="93"/>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spans="1:26" ht="12.75" customHeight="1">
      <c r="A267" s="93"/>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spans="1:26" ht="12.75" customHeight="1">
      <c r="A268" s="93"/>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spans="1:26" ht="12.75" customHeight="1">
      <c r="A269" s="93"/>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spans="1:26" ht="12.75" customHeight="1">
      <c r="A270" s="93"/>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spans="1:26" ht="12.75" customHeight="1">
      <c r="A271" s="93"/>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spans="1:26" ht="12.75" customHeight="1">
      <c r="A272" s="93"/>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spans="1:26" ht="12.75" customHeight="1">
      <c r="A273" s="93"/>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spans="1:26" ht="12.75" customHeight="1">
      <c r="A274" s="93"/>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spans="1:26" ht="12.75" customHeight="1">
      <c r="A275" s="93"/>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spans="1:26" ht="12.75" customHeight="1">
      <c r="A276" s="93"/>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spans="1:26" ht="12.75" customHeight="1">
      <c r="A277" s="93"/>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spans="1:26" ht="12.75" customHeight="1">
      <c r="A278" s="93"/>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spans="1:26" ht="12.75" customHeight="1">
      <c r="A279" s="93"/>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spans="1:26" ht="12.75" customHeight="1">
      <c r="A280" s="93"/>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spans="1:26" ht="12.75" customHeight="1">
      <c r="A281" s="93"/>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spans="1:26" ht="12.75" customHeight="1">
      <c r="A282" s="93"/>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spans="1:26" ht="12.75" customHeight="1">
      <c r="A283" s="93"/>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spans="1:26" ht="12.75" customHeight="1">
      <c r="A284" s="93"/>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spans="1:26" ht="12.75" customHeight="1">
      <c r="A285" s="93"/>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spans="1:26" ht="12.75" customHeight="1">
      <c r="A286" s="93"/>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spans="1:26" ht="12.75" customHeight="1">
      <c r="A287" s="93"/>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spans="1:26" ht="12.75" customHeight="1">
      <c r="A288" s="93"/>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spans="1:26" ht="12.75" customHeight="1">
      <c r="A289" s="93"/>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spans="1:26" ht="12.75" customHeight="1">
      <c r="A290" s="93"/>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spans="1:26" ht="12.75" customHeight="1">
      <c r="A291" s="93"/>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spans="1:26" ht="12.75" customHeight="1">
      <c r="A292" s="93"/>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spans="1:26" ht="12.75" customHeight="1">
      <c r="A293" s="93"/>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spans="1:26" ht="12.75" customHeight="1">
      <c r="A294" s="93"/>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spans="1:26" ht="12.75" customHeight="1">
      <c r="A295" s="93"/>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spans="1:26" ht="12.75" customHeight="1">
      <c r="A296" s="93"/>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spans="1:26" ht="12.75" customHeight="1">
      <c r="A297" s="93"/>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spans="1:26" ht="12.75" customHeight="1">
      <c r="A298" s="93"/>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spans="1:26" ht="12.75" customHeight="1">
      <c r="A299" s="93"/>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spans="1:26" ht="12.75" customHeight="1">
      <c r="A300" s="93"/>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spans="1:26" ht="12.75" customHeight="1">
      <c r="A301" s="93"/>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spans="1:26" ht="12.75" customHeight="1">
      <c r="A302" s="93"/>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spans="1:26" ht="12.75" customHeight="1">
      <c r="A303" s="93"/>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spans="1:26" ht="12.75" customHeight="1">
      <c r="A304" s="93"/>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spans="1:26" ht="12.75" customHeight="1">
      <c r="A305" s="93"/>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spans="1:26" ht="12.75" customHeight="1">
      <c r="A306" s="93"/>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spans="1:26" ht="12.75" customHeight="1">
      <c r="A307" s="93"/>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spans="1:26" ht="12.75" customHeight="1">
      <c r="A308" s="93"/>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spans="1:26" ht="12.75" customHeight="1">
      <c r="A309" s="93"/>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spans="1:26" ht="12.75" customHeight="1">
      <c r="A310" s="93"/>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spans="1:26" ht="12.75" customHeight="1">
      <c r="A311" s="93"/>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spans="1:26" ht="12.75" customHeight="1">
      <c r="A312" s="93"/>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spans="1:26" ht="12.75" customHeight="1">
      <c r="A313" s="93"/>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spans="1:26" ht="12.75" customHeight="1">
      <c r="A314" s="93"/>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spans="1:26" ht="12.75" customHeight="1">
      <c r="A315" s="93"/>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spans="1:26" ht="12.75" customHeight="1">
      <c r="A316" s="93"/>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spans="1:26" ht="12.75" customHeight="1">
      <c r="A317" s="93"/>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spans="1:26" ht="12.75" customHeight="1">
      <c r="A318" s="93"/>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spans="1:26" ht="12.75" customHeight="1">
      <c r="A319" s="93"/>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spans="1:26" ht="12.75" customHeight="1">
      <c r="A320" s="93"/>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spans="1:26" ht="12.75" customHeight="1">
      <c r="A321" s="93"/>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spans="1:26" ht="12.75" customHeight="1">
      <c r="A322" s="93"/>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spans="1:26" ht="12.75" customHeight="1">
      <c r="A323" s="93"/>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spans="1:26" ht="12.75" customHeight="1">
      <c r="A324" s="93"/>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spans="1:26" ht="12.75" customHeight="1">
      <c r="A325" s="93"/>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spans="1:26" ht="12.75" customHeight="1">
      <c r="A326" s="93"/>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spans="1:26" ht="12.75" customHeight="1">
      <c r="A327" s="93"/>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spans="1:26" ht="12.75" customHeight="1">
      <c r="A328" s="93"/>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spans="1:26" ht="12.75" customHeight="1">
      <c r="A329" s="93"/>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spans="1:26" ht="12.75" customHeight="1">
      <c r="A330" s="93"/>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spans="1:26" ht="12.75" customHeight="1">
      <c r="A331" s="93"/>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spans="1:26" ht="12.75" customHeight="1">
      <c r="A332" s="93"/>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spans="1:26" ht="12.75" customHeight="1">
      <c r="A333" s="93"/>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spans="1:26" ht="12.75" customHeight="1">
      <c r="A334" s="93"/>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spans="1:26" ht="12.75" customHeight="1">
      <c r="A335" s="93"/>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spans="1:26" ht="12.75" customHeight="1">
      <c r="A336" s="93"/>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spans="1:26" ht="12.75" customHeight="1">
      <c r="A337" s="93"/>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spans="1:26" ht="12.75" customHeight="1">
      <c r="A338" s="93"/>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spans="1:26" ht="12.75" customHeight="1">
      <c r="A339" s="93"/>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spans="1:26" ht="12.75" customHeight="1">
      <c r="A340" s="93"/>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spans="1:26" ht="12.75" customHeight="1">
      <c r="A341" s="93"/>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spans="1:26" ht="12.75" customHeight="1">
      <c r="A342" s="93"/>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spans="1:26" ht="12.75" customHeight="1">
      <c r="A343" s="93"/>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spans="1:26" ht="12.75" customHeight="1">
      <c r="A344" s="93"/>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spans="1:26" ht="12.75" customHeight="1">
      <c r="A345" s="93"/>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spans="1:26" ht="12.75" customHeight="1">
      <c r="A346" s="93"/>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spans="1:26" ht="12.75" customHeight="1">
      <c r="A347" s="93"/>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spans="1:26" ht="12.75" customHeight="1">
      <c r="A348" s="93"/>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spans="1:26" ht="12.75" customHeight="1">
      <c r="A349" s="93"/>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spans="1:26" ht="12.75" customHeight="1">
      <c r="A350" s="93"/>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spans="1:26" ht="12.75" customHeight="1">
      <c r="A351" s="93"/>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spans="1:26" ht="12.75" customHeight="1">
      <c r="A352" s="93"/>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spans="1:26" ht="12.75" customHeight="1">
      <c r="A353" s="93"/>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spans="1:26" ht="12.75" customHeight="1">
      <c r="A354" s="93"/>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spans="1:26" ht="12.75" customHeight="1">
      <c r="A355" s="93"/>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spans="1:26" ht="12.75" customHeight="1">
      <c r="A356" s="93"/>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spans="1:26" ht="12.75" customHeight="1">
      <c r="A357" s="93"/>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spans="1:26" ht="12.75" customHeight="1">
      <c r="A358" s="93"/>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spans="1:26" ht="12.75" customHeight="1">
      <c r="A359" s="93"/>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spans="1:26" ht="12.75" customHeight="1">
      <c r="A360" s="93"/>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spans="1:26" ht="12.75" customHeight="1">
      <c r="A361" s="93"/>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spans="1:26" ht="12.75" customHeight="1">
      <c r="A362" s="93"/>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spans="1:26" ht="12.75" customHeight="1">
      <c r="A363" s="93"/>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spans="1:26" ht="12.75" customHeight="1">
      <c r="A364" s="93"/>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spans="1:26" ht="12.75" customHeight="1">
      <c r="A365" s="93"/>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spans="1:26" ht="12.75" customHeight="1">
      <c r="A366" s="93"/>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spans="1:26" ht="12.75" customHeight="1">
      <c r="A367" s="93"/>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spans="1:26" ht="12.75" customHeight="1">
      <c r="A368" s="93"/>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spans="1:26" ht="12.75" customHeight="1">
      <c r="A369" s="93"/>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spans="1:26" ht="12.75" customHeight="1">
      <c r="A370" s="93"/>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spans="1:26" ht="12.75" customHeight="1">
      <c r="A371" s="93"/>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spans="1:26" ht="12.75" customHeight="1">
      <c r="A372" s="93"/>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spans="1:26" ht="12.75" customHeight="1">
      <c r="A373" s="93"/>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spans="1:26" ht="12.75" customHeight="1">
      <c r="A374" s="93"/>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spans="1:26" ht="12.75" customHeight="1">
      <c r="A375" s="93"/>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spans="1:26" ht="12.75" customHeight="1">
      <c r="A376" s="93"/>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spans="1:26" ht="12.75" customHeight="1">
      <c r="A377" s="93"/>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spans="1:26" ht="12.75" customHeight="1">
      <c r="A378" s="93"/>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spans="1:26" ht="12.75" customHeight="1">
      <c r="A379" s="93"/>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spans="1:26" ht="12.75" customHeight="1">
      <c r="A380" s="93"/>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spans="1:26" ht="12.75" customHeight="1">
      <c r="A381" s="93"/>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spans="1:26" ht="12.75" customHeight="1">
      <c r="A382" s="93"/>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spans="1:26" ht="12.75" customHeight="1">
      <c r="A383" s="93"/>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spans="1:26" ht="12.75" customHeight="1">
      <c r="A384" s="93"/>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spans="1:26" ht="12.75" customHeight="1">
      <c r="A385" s="93"/>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spans="1:26" ht="12.75" customHeight="1">
      <c r="A386" s="93"/>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spans="1:26" ht="12.75" customHeight="1">
      <c r="A387" s="93"/>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spans="1:26" ht="12.75" customHeight="1">
      <c r="A388" s="93"/>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spans="1:26" ht="12.75" customHeight="1">
      <c r="A389" s="93"/>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spans="1:26" ht="12.75" customHeight="1">
      <c r="A390" s="93"/>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spans="1:26" ht="12.75" customHeight="1">
      <c r="A391" s="93"/>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spans="1:26" ht="12.75" customHeight="1">
      <c r="A392" s="93"/>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spans="1:26" ht="12.75" customHeight="1">
      <c r="A393" s="93"/>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spans="1:26" ht="12.75" customHeight="1">
      <c r="A394" s="93"/>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spans="1:26" ht="12.75" customHeight="1">
      <c r="A395" s="93"/>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spans="1:26" ht="12.75" customHeight="1">
      <c r="A396" s="93"/>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spans="1:26" ht="12.75" customHeight="1">
      <c r="A397" s="93"/>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spans="1:26" ht="12.75" customHeight="1">
      <c r="A398" s="93"/>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spans="1:26" ht="12.75" customHeight="1">
      <c r="A399" s="93"/>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spans="1:26" ht="12.75" customHeight="1">
      <c r="A400" s="93"/>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spans="1:26" ht="12.75" customHeight="1">
      <c r="A401" s="93"/>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spans="1:26" ht="12.75" customHeight="1">
      <c r="A402" s="93"/>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spans="1:26" ht="12.75" customHeight="1">
      <c r="A403" s="93"/>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spans="1:26" ht="12.75" customHeight="1">
      <c r="A404" s="93"/>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spans="1:26" ht="12.75" customHeight="1">
      <c r="A405" s="93"/>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spans="1:26" ht="12.75" customHeight="1">
      <c r="A406" s="93"/>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spans="1:26" ht="12.75" customHeight="1">
      <c r="A407" s="93"/>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spans="1:26" ht="12.75" customHeight="1">
      <c r="A408" s="93"/>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spans="1:26" ht="12.75" customHeight="1">
      <c r="A409" s="93"/>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spans="1:26" ht="12.75" customHeight="1">
      <c r="A410" s="93"/>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spans="1:26" ht="12.75" customHeight="1">
      <c r="A411" s="93"/>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spans="1:26" ht="12.75" customHeight="1">
      <c r="A412" s="93"/>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spans="1:26" ht="12.75" customHeight="1">
      <c r="A413" s="93"/>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spans="1:26" ht="12.75" customHeight="1">
      <c r="A414" s="93"/>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spans="1:26" ht="12.75" customHeight="1">
      <c r="A415" s="93"/>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spans="1:26" ht="12.75" customHeight="1">
      <c r="A416" s="93"/>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spans="1:26" ht="12.75" customHeight="1">
      <c r="A417" s="93"/>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spans="1:26" ht="12.75" customHeight="1">
      <c r="A418" s="93"/>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spans="1:26" ht="12.75" customHeight="1">
      <c r="A419" s="93"/>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spans="1:26" ht="12.75" customHeight="1">
      <c r="A420" s="93"/>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spans="1:26" ht="12.75" customHeight="1">
      <c r="A421" s="93"/>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spans="1:26" ht="12.75" customHeight="1">
      <c r="A422" s="93"/>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spans="1:26" ht="12.75" customHeight="1">
      <c r="A423" s="93"/>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spans="1:26" ht="12.75" customHeight="1">
      <c r="A424" s="93"/>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spans="1:26" ht="12.75" customHeight="1">
      <c r="A425" s="93"/>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spans="1:26" ht="12.75" customHeight="1">
      <c r="A426" s="93"/>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spans="1:26" ht="12.75" customHeight="1">
      <c r="A427" s="93"/>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spans="1:26" ht="12.75" customHeight="1">
      <c r="A428" s="93"/>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spans="1:26" ht="12.75" customHeight="1">
      <c r="A429" s="93"/>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spans="1:26" ht="12.75" customHeight="1">
      <c r="A430" s="93"/>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spans="1:26" ht="12.75" customHeight="1">
      <c r="A431" s="93"/>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spans="1:26" ht="12.75" customHeight="1">
      <c r="A432" s="93"/>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spans="1:26" ht="12.75" customHeight="1">
      <c r="A433" s="93"/>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spans="1:26" ht="12.75" customHeight="1">
      <c r="A434" s="93"/>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spans="1:26" ht="12.75" customHeight="1">
      <c r="A435" s="93"/>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spans="1:26" ht="12.75" customHeight="1">
      <c r="A436" s="93"/>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spans="1:26" ht="12.75" customHeight="1">
      <c r="A437" s="93"/>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spans="1:26" ht="12.75" customHeight="1">
      <c r="A438" s="93"/>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spans="1:26" ht="12.75" customHeight="1">
      <c r="A439" s="93"/>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spans="1:26" ht="12.75" customHeight="1">
      <c r="A440" s="93"/>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spans="1:26" ht="12.75" customHeight="1">
      <c r="A441" s="93"/>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spans="1:26" ht="12.75" customHeight="1">
      <c r="A442" s="93"/>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spans="1:26" ht="12.75" customHeight="1">
      <c r="A443" s="93"/>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spans="1:26" ht="12.75" customHeight="1">
      <c r="A444" s="93"/>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spans="1:26" ht="12.75" customHeight="1">
      <c r="A445" s="93"/>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spans="1:26" ht="12.75" customHeight="1">
      <c r="A446" s="93"/>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spans="1:26" ht="12.75" customHeight="1">
      <c r="A447" s="93"/>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spans="1:26" ht="12.75" customHeight="1">
      <c r="A448" s="93"/>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spans="1:26" ht="12.75" customHeight="1">
      <c r="A449" s="93"/>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spans="1:26" ht="12.75" customHeight="1">
      <c r="A450" s="93"/>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spans="1:26" ht="12.75" customHeight="1">
      <c r="A451" s="93"/>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spans="1:26" ht="12.75" customHeight="1">
      <c r="A452" s="93"/>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spans="1:26" ht="12.75" customHeight="1">
      <c r="A453" s="93"/>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spans="1:26" ht="12.75" customHeight="1">
      <c r="A454" s="93"/>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spans="1:26" ht="12.75" customHeight="1">
      <c r="A455" s="93"/>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spans="1:26" ht="12.75" customHeight="1">
      <c r="A456" s="93"/>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spans="1:26" ht="12.75" customHeight="1">
      <c r="A457" s="93"/>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spans="1:26" ht="12.75" customHeight="1">
      <c r="A458" s="93"/>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spans="1:26" ht="12.75" customHeight="1">
      <c r="A459" s="93"/>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spans="1:26" ht="12.75" customHeight="1">
      <c r="A460" s="93"/>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spans="1:26" ht="12.75" customHeight="1">
      <c r="A461" s="93"/>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spans="1:26" ht="12.75" customHeight="1">
      <c r="A462" s="93"/>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spans="1:26" ht="12.75" customHeight="1">
      <c r="A463" s="93"/>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spans="1:26" ht="12.75" customHeight="1">
      <c r="A464" s="93"/>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spans="1:26" ht="12.75" customHeight="1">
      <c r="A465" s="93"/>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spans="1:26" ht="12.75" customHeight="1">
      <c r="A466" s="93"/>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spans="1:26" ht="12.75" customHeight="1">
      <c r="A467" s="93"/>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spans="1:26" ht="12.75" customHeight="1">
      <c r="A468" s="93"/>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spans="1:26" ht="12.75" customHeight="1">
      <c r="A469" s="93"/>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spans="1:26" ht="12.75" customHeight="1">
      <c r="A470" s="93"/>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spans="1:26" ht="12.75" customHeight="1">
      <c r="A471" s="93"/>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spans="1:26" ht="12.75" customHeight="1">
      <c r="A472" s="93"/>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spans="1:26" ht="12.75" customHeight="1">
      <c r="A473" s="93"/>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spans="1:26" ht="12.75" customHeight="1">
      <c r="A474" s="93"/>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spans="1:26" ht="12.75" customHeight="1">
      <c r="A475" s="93"/>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spans="1:26" ht="12.75" customHeight="1">
      <c r="A476" s="93"/>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spans="1:26" ht="12.75" customHeight="1">
      <c r="A477" s="93"/>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spans="1:26" ht="12.75" customHeight="1">
      <c r="A478" s="93"/>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spans="1:26" ht="12.75" customHeight="1">
      <c r="A479" s="93"/>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spans="1:26" ht="12.75" customHeight="1">
      <c r="A480" s="93"/>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spans="1:26" ht="12.75" customHeight="1">
      <c r="A481" s="93"/>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spans="1:26" ht="12.75" customHeight="1">
      <c r="A482" s="93"/>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spans="1:26" ht="12.75" customHeight="1">
      <c r="A483" s="93"/>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spans="1:26" ht="12.75" customHeight="1">
      <c r="A484" s="93"/>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spans="1:26" ht="12.75" customHeight="1">
      <c r="A485" s="93"/>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spans="1:26" ht="12.75" customHeight="1">
      <c r="A486" s="93"/>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spans="1:26" ht="12.75" customHeight="1">
      <c r="A487" s="93"/>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spans="1:26" ht="12.75" customHeight="1">
      <c r="A488" s="93"/>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spans="1:26" ht="12.75" customHeight="1">
      <c r="A489" s="93"/>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spans="1:26" ht="12.75" customHeight="1">
      <c r="A490" s="93"/>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spans="1:26" ht="12.75" customHeight="1">
      <c r="A491" s="93"/>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spans="1:26" ht="12.75" customHeight="1">
      <c r="A492" s="93"/>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spans="1:26" ht="12.75" customHeight="1">
      <c r="A493" s="93"/>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spans="1:26" ht="12.75" customHeight="1">
      <c r="A494" s="93"/>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spans="1:26" ht="12.75" customHeight="1">
      <c r="A495" s="93"/>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spans="1:26" ht="12.75" customHeight="1">
      <c r="A496" s="93"/>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spans="1:26" ht="12.75" customHeight="1">
      <c r="A497" s="93"/>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spans="1:26" ht="12.75" customHeight="1">
      <c r="A498" s="93"/>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spans="1:26" ht="12.75" customHeight="1">
      <c r="A499" s="93"/>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spans="1:26" ht="12.75" customHeight="1">
      <c r="A500" s="93"/>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spans="1:26" ht="12.75" customHeight="1">
      <c r="A501" s="93"/>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spans="1:26" ht="12.75" customHeight="1">
      <c r="A502" s="93"/>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spans="1:26" ht="12.75" customHeight="1">
      <c r="A503" s="93"/>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spans="1:26" ht="12.75" customHeight="1">
      <c r="A504" s="93"/>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spans="1:26" ht="12.75" customHeight="1">
      <c r="A505" s="93"/>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spans="1:26" ht="12.75" customHeight="1">
      <c r="A506" s="93"/>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spans="1:26" ht="12.75" customHeight="1">
      <c r="A507" s="93"/>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spans="1:26" ht="12.75" customHeight="1">
      <c r="A508" s="93"/>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spans="1:26" ht="12.75" customHeight="1">
      <c r="A509" s="93"/>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spans="1:26" ht="12.75" customHeight="1">
      <c r="A510" s="93"/>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spans="1:26" ht="12.75" customHeight="1">
      <c r="A511" s="93"/>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spans="1:26" ht="12.75" customHeight="1">
      <c r="A512" s="93"/>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spans="1:26" ht="12.75" customHeight="1">
      <c r="A513" s="93"/>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spans="1:26" ht="12.75" customHeight="1">
      <c r="A514" s="93"/>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spans="1:26" ht="12.75" customHeight="1">
      <c r="A515" s="93"/>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spans="1:26" ht="12.75" customHeight="1">
      <c r="A516" s="93"/>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spans="1:26" ht="12.75" customHeight="1">
      <c r="A517" s="93"/>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spans="1:26" ht="12.75" customHeight="1">
      <c r="A518" s="93"/>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spans="1:26" ht="12.75" customHeight="1">
      <c r="A519" s="93"/>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spans="1:26" ht="12.75" customHeight="1">
      <c r="A520" s="93"/>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spans="1:26" ht="12.75" customHeight="1">
      <c r="A521" s="93"/>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spans="1:26" ht="12.75" customHeight="1">
      <c r="A522" s="93"/>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spans="1:26" ht="12.75" customHeight="1">
      <c r="A523" s="93"/>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spans="1:26" ht="12.75" customHeight="1">
      <c r="A524" s="93"/>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spans="1:26" ht="12.75" customHeight="1">
      <c r="A525" s="93"/>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spans="1:26" ht="12.75" customHeight="1">
      <c r="A526" s="93"/>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spans="1:26" ht="12.75" customHeight="1">
      <c r="A527" s="93"/>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spans="1:26" ht="12.75" customHeight="1">
      <c r="A528" s="93"/>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spans="1:26" ht="12.75" customHeight="1">
      <c r="A529" s="93"/>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spans="1:26" ht="12.75" customHeight="1">
      <c r="A530" s="93"/>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spans="1:26" ht="12.75" customHeight="1">
      <c r="A531" s="93"/>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spans="1:26" ht="12.75" customHeight="1">
      <c r="A532" s="93"/>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spans="1:26" ht="12.75" customHeight="1">
      <c r="A533" s="93"/>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spans="1:26" ht="12.75" customHeight="1">
      <c r="A534" s="93"/>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spans="1:26" ht="12.75" customHeight="1">
      <c r="A535" s="93"/>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spans="1:26" ht="12.75" customHeight="1">
      <c r="A536" s="93"/>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spans="1:26" ht="12.75" customHeight="1">
      <c r="A537" s="93"/>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spans="1:26" ht="12.75" customHeight="1">
      <c r="A538" s="93"/>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spans="1:26" ht="12.75" customHeight="1">
      <c r="A539" s="93"/>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spans="1:26" ht="12.75" customHeight="1">
      <c r="A540" s="93"/>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spans="1:26" ht="12.75" customHeight="1">
      <c r="A541" s="93"/>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spans="1:26" ht="12.75" customHeight="1">
      <c r="A542" s="93"/>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spans="1:26" ht="12.75" customHeight="1">
      <c r="A543" s="93"/>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spans="1:26" ht="12.75" customHeight="1">
      <c r="A544" s="93"/>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spans="1:26" ht="12.75" customHeight="1">
      <c r="A545" s="93"/>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spans="1:26" ht="12.75" customHeight="1">
      <c r="A546" s="93"/>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spans="1:26" ht="12.75" customHeight="1">
      <c r="A547" s="93"/>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spans="1:26" ht="12.75" customHeight="1">
      <c r="A548" s="93"/>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spans="1:26" ht="12.75" customHeight="1">
      <c r="A549" s="93"/>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spans="1:26" ht="12.75" customHeight="1">
      <c r="A550" s="93"/>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spans="1:26" ht="12.75" customHeight="1">
      <c r="A551" s="93"/>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spans="1:26" ht="12.75" customHeight="1">
      <c r="A552" s="93"/>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spans="1:26" ht="12.75" customHeight="1">
      <c r="A553" s="93"/>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spans="1:26" ht="12.75" customHeight="1">
      <c r="A554" s="93"/>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spans="1:26" ht="12.75" customHeight="1">
      <c r="A555" s="93"/>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spans="1:26" ht="12.75" customHeight="1">
      <c r="A556" s="93"/>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spans="1:26" ht="12.75" customHeight="1">
      <c r="A557" s="93"/>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spans="1:26" ht="12.75" customHeight="1">
      <c r="A558" s="93"/>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spans="1:26" ht="12.75" customHeight="1">
      <c r="A559" s="93"/>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spans="1:26" ht="12.75" customHeight="1">
      <c r="A560" s="93"/>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spans="1:26" ht="12.75" customHeight="1">
      <c r="A561" s="93"/>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spans="1:26" ht="12.75" customHeight="1">
      <c r="A562" s="93"/>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spans="1:26" ht="12.75" customHeight="1">
      <c r="A563" s="93"/>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spans="1:26" ht="12.75" customHeight="1">
      <c r="A564" s="93"/>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spans="1:26" ht="12.75" customHeight="1">
      <c r="A565" s="93"/>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spans="1:26" ht="12.75" customHeight="1">
      <c r="A566" s="93"/>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spans="1:26" ht="12.75" customHeight="1">
      <c r="A567" s="93"/>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spans="1:26" ht="12.75" customHeight="1">
      <c r="A568" s="93"/>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spans="1:26" ht="12.75" customHeight="1">
      <c r="A569" s="93"/>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spans="1:26" ht="12.75" customHeight="1">
      <c r="A570" s="93"/>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spans="1:26" ht="12.75" customHeight="1">
      <c r="A571" s="93"/>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spans="1:26" ht="12.75" customHeight="1">
      <c r="A572" s="93"/>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spans="1:26" ht="12.75" customHeight="1">
      <c r="A573" s="93"/>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spans="1:26" ht="12.75" customHeight="1">
      <c r="A574" s="93"/>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spans="1:26" ht="12.75" customHeight="1">
      <c r="A575" s="93"/>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spans="1:26" ht="12.75" customHeight="1">
      <c r="A576" s="93"/>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spans="1:26" ht="12.75" customHeight="1">
      <c r="A577" s="93"/>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spans="1:26" ht="12.75" customHeight="1">
      <c r="A578" s="93"/>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spans="1:26" ht="12.75" customHeight="1">
      <c r="A579" s="93"/>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spans="1:26" ht="12.75" customHeight="1">
      <c r="A580" s="93"/>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spans="1:26" ht="12.75" customHeight="1">
      <c r="A581" s="93"/>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spans="1:26" ht="12.75" customHeight="1">
      <c r="A582" s="93"/>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spans="1:26" ht="12.75" customHeight="1">
      <c r="A583" s="93"/>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spans="1:26" ht="12.75" customHeight="1">
      <c r="A584" s="93"/>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spans="1:26" ht="12.75" customHeight="1">
      <c r="A585" s="93"/>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spans="1:26" ht="12.75" customHeight="1">
      <c r="A586" s="93"/>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spans="1:26" ht="12.75" customHeight="1">
      <c r="A587" s="93"/>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spans="1:26" ht="12.75" customHeight="1">
      <c r="A588" s="93"/>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spans="1:26" ht="12.75" customHeight="1">
      <c r="A589" s="93"/>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spans="1:26" ht="12.75" customHeight="1">
      <c r="A590" s="93"/>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spans="1:26" ht="12.75" customHeight="1">
      <c r="A591" s="93"/>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spans="1:26" ht="12.75" customHeight="1">
      <c r="A592" s="93"/>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spans="1:26" ht="12.75" customHeight="1">
      <c r="A593" s="93"/>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spans="1:26" ht="12.75" customHeight="1">
      <c r="A594" s="93"/>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spans="1:26" ht="12.75" customHeight="1">
      <c r="A595" s="93"/>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spans="1:26" ht="12.75" customHeight="1">
      <c r="A596" s="93"/>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spans="1:26" ht="12.75" customHeight="1">
      <c r="A597" s="93"/>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spans="1:26" ht="12.75" customHeight="1">
      <c r="A598" s="93"/>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spans="1:26" ht="12.75" customHeight="1">
      <c r="A599" s="93"/>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spans="1:26" ht="12.75" customHeight="1">
      <c r="A600" s="93"/>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spans="1:26" ht="12.75" customHeight="1">
      <c r="A601" s="93"/>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spans="1:26" ht="12.75" customHeight="1">
      <c r="A602" s="93"/>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spans="1:26" ht="12.75" customHeight="1">
      <c r="A603" s="93"/>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spans="1:26" ht="12.75" customHeight="1">
      <c r="A604" s="93"/>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spans="1:26" ht="12.75" customHeight="1">
      <c r="A605" s="93"/>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spans="1:26" ht="12.75" customHeight="1">
      <c r="A606" s="93"/>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spans="1:26" ht="12.75" customHeight="1">
      <c r="A607" s="93"/>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spans="1:26" ht="12.75" customHeight="1">
      <c r="A608" s="93"/>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spans="1:26" ht="12.75" customHeight="1">
      <c r="A609" s="93"/>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spans="1:26" ht="12.75" customHeight="1">
      <c r="A610" s="93"/>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spans="1:26" ht="12.75" customHeight="1">
      <c r="A611" s="93"/>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spans="1:26" ht="12.75" customHeight="1">
      <c r="A612" s="93"/>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spans="1:26" ht="12.75" customHeight="1">
      <c r="A613" s="93"/>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spans="1:26" ht="12.75" customHeight="1">
      <c r="A614" s="93"/>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spans="1:26" ht="12.75" customHeight="1">
      <c r="A615" s="93"/>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spans="1:26" ht="12.75" customHeight="1">
      <c r="A616" s="93"/>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spans="1:26" ht="12.75" customHeight="1">
      <c r="A617" s="93"/>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spans="1:26" ht="12.75" customHeight="1">
      <c r="A618" s="93"/>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spans="1:26" ht="12.75" customHeight="1">
      <c r="A619" s="93"/>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spans="1:26" ht="12.75" customHeight="1">
      <c r="A620" s="93"/>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spans="1:26" ht="12.75" customHeight="1">
      <c r="A621" s="93"/>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spans="1:26" ht="12.75" customHeight="1">
      <c r="A622" s="93"/>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spans="1:26" ht="12.75" customHeight="1">
      <c r="A623" s="93"/>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spans="1:26" ht="12.75" customHeight="1">
      <c r="A624" s="93"/>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spans="1:26" ht="12.75" customHeight="1">
      <c r="A625" s="93"/>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spans="1:26" ht="12.75" customHeight="1">
      <c r="A626" s="93"/>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spans="1:26" ht="12.75" customHeight="1">
      <c r="A627" s="93"/>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spans="1:26" ht="12.75" customHeight="1">
      <c r="A628" s="93"/>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spans="1:26" ht="12.75" customHeight="1">
      <c r="A629" s="93"/>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spans="1:26" ht="12.75" customHeight="1">
      <c r="A630" s="93"/>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spans="1:26" ht="12.75" customHeight="1">
      <c r="A631" s="93"/>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spans="1:26" ht="12.75" customHeight="1">
      <c r="A632" s="93"/>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spans="1:26" ht="12.75" customHeight="1">
      <c r="A633" s="93"/>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spans="1:26" ht="12.75" customHeight="1">
      <c r="A634" s="93"/>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spans="1:26" ht="12.75" customHeight="1">
      <c r="A635" s="93"/>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spans="1:26" ht="12.75" customHeight="1">
      <c r="A636" s="93"/>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spans="1:26" ht="12.75" customHeight="1">
      <c r="A637" s="93"/>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spans="1:26" ht="12.75" customHeight="1">
      <c r="A638" s="93"/>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spans="1:26" ht="12.75" customHeight="1">
      <c r="A639" s="93"/>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spans="1:26" ht="12.75" customHeight="1">
      <c r="A640" s="93"/>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spans="1:26" ht="12.75" customHeight="1">
      <c r="A641" s="93"/>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spans="1:26" ht="12.75" customHeight="1">
      <c r="A642" s="93"/>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spans="1:26" ht="12.75" customHeight="1">
      <c r="A643" s="93"/>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spans="1:26" ht="12.75" customHeight="1">
      <c r="A644" s="93"/>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spans="1:26" ht="12.75" customHeight="1">
      <c r="A645" s="93"/>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spans="1:26" ht="12.75" customHeight="1">
      <c r="A646" s="93"/>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spans="1:26" ht="12.75" customHeight="1">
      <c r="A647" s="93"/>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spans="1:26" ht="12.75" customHeight="1">
      <c r="A648" s="93"/>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spans="1:26" ht="12.75" customHeight="1">
      <c r="A649" s="93"/>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spans="1:26" ht="12.75" customHeight="1">
      <c r="A650" s="93"/>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spans="1:26" ht="12.75" customHeight="1">
      <c r="A651" s="93"/>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spans="1:26" ht="12.75" customHeight="1">
      <c r="A652" s="93"/>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spans="1:26" ht="12.75" customHeight="1">
      <c r="A653" s="93"/>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spans="1:26" ht="12.75" customHeight="1">
      <c r="A654" s="93"/>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spans="1:26" ht="12.75" customHeight="1">
      <c r="A655" s="93"/>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spans="1:26" ht="12.75" customHeight="1">
      <c r="A656" s="93"/>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spans="1:26" ht="12.75" customHeight="1">
      <c r="A657" s="93"/>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spans="1:26" ht="12.75" customHeight="1">
      <c r="A658" s="93"/>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spans="1:26" ht="12.75" customHeight="1">
      <c r="A659" s="93"/>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spans="1:26" ht="12.75" customHeight="1">
      <c r="A660" s="93"/>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spans="1:26" ht="12.75" customHeight="1">
      <c r="A661" s="93"/>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spans="1:26" ht="12.75" customHeight="1">
      <c r="A662" s="93"/>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spans="1:26" ht="12.75" customHeight="1">
      <c r="A663" s="93"/>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spans="1:26" ht="12.75" customHeight="1">
      <c r="A664" s="93"/>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spans="1:26" ht="12.75" customHeight="1">
      <c r="A665" s="93"/>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spans="1:26" ht="12.75" customHeight="1">
      <c r="A666" s="93"/>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spans="1:26" ht="12.75" customHeight="1">
      <c r="A667" s="93"/>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spans="1:26" ht="12.75" customHeight="1">
      <c r="A668" s="93"/>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spans="1:26" ht="12.75" customHeight="1">
      <c r="A669" s="93"/>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spans="1:26" ht="12.75" customHeight="1">
      <c r="A670" s="93"/>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spans="1:26" ht="12.75" customHeight="1">
      <c r="A671" s="93"/>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spans="1:26" ht="12.75" customHeight="1">
      <c r="A672" s="93"/>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spans="1:26" ht="12.75" customHeight="1">
      <c r="A673" s="93"/>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spans="1:26" ht="12.75" customHeight="1">
      <c r="A674" s="93"/>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spans="1:26" ht="12.75" customHeight="1">
      <c r="A675" s="93"/>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spans="1:26" ht="12.75" customHeight="1">
      <c r="A676" s="93"/>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spans="1:26" ht="12.75" customHeight="1">
      <c r="A677" s="93"/>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spans="1:26" ht="12.75" customHeight="1">
      <c r="A678" s="93"/>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spans="1:26" ht="12.75" customHeight="1">
      <c r="A679" s="93"/>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spans="1:26" ht="12.75" customHeight="1">
      <c r="A680" s="93"/>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spans="1:26" ht="12.75" customHeight="1">
      <c r="A681" s="93"/>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spans="1:26" ht="12.75" customHeight="1">
      <c r="A682" s="93"/>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spans="1:26" ht="12.75" customHeight="1">
      <c r="A683" s="93"/>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spans="1:26" ht="12.75" customHeight="1">
      <c r="A684" s="93"/>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spans="1:26" ht="12.75" customHeight="1">
      <c r="A685" s="93"/>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spans="1:26" ht="12.75" customHeight="1">
      <c r="A686" s="93"/>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spans="1:26" ht="12.75" customHeight="1">
      <c r="A687" s="93"/>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spans="1:26" ht="12.75" customHeight="1">
      <c r="A688" s="93"/>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spans="1:26" ht="12.75" customHeight="1">
      <c r="A689" s="93"/>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spans="1:26" ht="12.75" customHeight="1">
      <c r="A690" s="93"/>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spans="1:26" ht="12.75" customHeight="1">
      <c r="A691" s="93"/>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spans="1:26" ht="12.75" customHeight="1">
      <c r="A692" s="93"/>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spans="1:26" ht="12.75" customHeight="1">
      <c r="A693" s="93"/>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spans="1:26" ht="12.75" customHeight="1">
      <c r="A694" s="93"/>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spans="1:26" ht="12.75" customHeight="1">
      <c r="A695" s="93"/>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spans="1:26" ht="12.75" customHeight="1">
      <c r="A696" s="93"/>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spans="1:26" ht="12.75" customHeight="1">
      <c r="A697" s="93"/>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spans="1:26" ht="12.75" customHeight="1">
      <c r="A698" s="93"/>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spans="1:26" ht="12.75" customHeight="1">
      <c r="A699" s="93"/>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spans="1:26" ht="12.75" customHeight="1">
      <c r="A700" s="93"/>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spans="1:26" ht="12.75" customHeight="1">
      <c r="A701" s="93"/>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spans="1:26" ht="12.75" customHeight="1">
      <c r="A702" s="93"/>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spans="1:26" ht="12.75" customHeight="1">
      <c r="A703" s="93"/>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spans="1:26" ht="12.75" customHeight="1">
      <c r="A704" s="93"/>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spans="1:26" ht="12.75" customHeight="1">
      <c r="A705" s="93"/>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spans="1:26" ht="12.75" customHeight="1">
      <c r="A706" s="93"/>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spans="1:26" ht="12.75" customHeight="1">
      <c r="A707" s="93"/>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spans="1:26" ht="12.75" customHeight="1">
      <c r="A708" s="93"/>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spans="1:26" ht="12.75" customHeight="1">
      <c r="A709" s="93"/>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spans="1:26" ht="12.75" customHeight="1">
      <c r="A710" s="93"/>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spans="1:26" ht="12.75" customHeight="1">
      <c r="A711" s="93"/>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spans="1:26" ht="12.75" customHeight="1">
      <c r="A712" s="93"/>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spans="1:26" ht="12.75" customHeight="1">
      <c r="A713" s="93"/>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spans="1:26" ht="12.75" customHeight="1">
      <c r="A714" s="93"/>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spans="1:26" ht="12.75" customHeight="1">
      <c r="A715" s="93"/>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spans="1:26" ht="12.75" customHeight="1">
      <c r="A716" s="93"/>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spans="1:26" ht="12.75" customHeight="1">
      <c r="A717" s="93"/>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spans="1:26" ht="12.75" customHeight="1">
      <c r="A718" s="93"/>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spans="1:26" ht="12.75" customHeight="1">
      <c r="A719" s="93"/>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spans="1:26" ht="12.75" customHeight="1">
      <c r="A720" s="93"/>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spans="1:26" ht="12.75" customHeight="1">
      <c r="A721" s="93"/>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spans="1:26" ht="12.75" customHeight="1">
      <c r="A722" s="93"/>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spans="1:26" ht="12.75" customHeight="1">
      <c r="A723" s="93"/>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spans="1:26" ht="12.75" customHeight="1">
      <c r="A724" s="93"/>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spans="1:26" ht="12.75" customHeight="1">
      <c r="A725" s="93"/>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spans="1:26" ht="12.75" customHeight="1">
      <c r="A726" s="93"/>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spans="1:26" ht="12.75" customHeight="1">
      <c r="A727" s="93"/>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spans="1:26" ht="12.75" customHeight="1">
      <c r="A728" s="93"/>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spans="1:26" ht="12.75" customHeight="1">
      <c r="A729" s="93"/>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spans="1:26" ht="12.75" customHeight="1">
      <c r="A730" s="93"/>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spans="1:26" ht="12.75" customHeight="1">
      <c r="A731" s="93"/>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spans="1:26" ht="12.75" customHeight="1">
      <c r="A732" s="93"/>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spans="1:26" ht="12.75" customHeight="1">
      <c r="A733" s="93"/>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spans="1:26" ht="12.75" customHeight="1">
      <c r="A734" s="93"/>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spans="1:26" ht="12.75" customHeight="1">
      <c r="A735" s="93"/>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spans="1:26" ht="12.75" customHeight="1">
      <c r="A736" s="93"/>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spans="1:26" ht="12.75" customHeight="1">
      <c r="A737" s="93"/>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spans="1:26" ht="12.75" customHeight="1">
      <c r="A738" s="93"/>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spans="1:26" ht="12.75" customHeight="1">
      <c r="A739" s="93"/>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spans="1:26" ht="12.75" customHeight="1">
      <c r="A740" s="93"/>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spans="1:26" ht="12.75" customHeight="1">
      <c r="A741" s="93"/>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spans="1:26" ht="12.75" customHeight="1">
      <c r="A742" s="93"/>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spans="1:26" ht="12.75" customHeight="1">
      <c r="A743" s="93"/>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spans="1:26" ht="12.75" customHeight="1">
      <c r="A744" s="93"/>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spans="1:26" ht="12.75" customHeight="1">
      <c r="A745" s="93"/>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spans="1:26" ht="12.75" customHeight="1">
      <c r="A746" s="93"/>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spans="1:26" ht="12.75" customHeight="1">
      <c r="A747" s="93"/>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spans="1:26" ht="12.75" customHeight="1">
      <c r="A748" s="93"/>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spans="1:26" ht="12.75" customHeight="1">
      <c r="A749" s="93"/>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spans="1:26" ht="12.75" customHeight="1">
      <c r="A750" s="93"/>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spans="1:26" ht="12.75" customHeight="1">
      <c r="A751" s="93"/>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spans="1:26" ht="12.75" customHeight="1">
      <c r="A752" s="93"/>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spans="1:26" ht="12.75" customHeight="1">
      <c r="A753" s="93"/>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spans="1:26" ht="12.75" customHeight="1">
      <c r="A754" s="93"/>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spans="1:26" ht="12.75" customHeight="1">
      <c r="A755" s="93"/>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spans="1:26" ht="12.75" customHeight="1">
      <c r="A756" s="93"/>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spans="1:26" ht="12.75" customHeight="1">
      <c r="A757" s="93"/>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spans="1:26" ht="12.75" customHeight="1">
      <c r="A758" s="93"/>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spans="1:26" ht="12.75" customHeight="1">
      <c r="A759" s="93"/>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spans="1:26" ht="12.75" customHeight="1">
      <c r="A760" s="93"/>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spans="1:26" ht="12.75" customHeight="1">
      <c r="A761" s="93"/>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spans="1:26" ht="12.75" customHeight="1">
      <c r="A762" s="93"/>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spans="1:26" ht="12.75" customHeight="1">
      <c r="A763" s="93"/>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spans="1:26" ht="12.75" customHeight="1">
      <c r="A764" s="93"/>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spans="1:26" ht="12.75" customHeight="1">
      <c r="A765" s="93"/>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spans="1:26" ht="12.75" customHeight="1">
      <c r="A766" s="93"/>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spans="1:26" ht="12.75" customHeight="1">
      <c r="A767" s="93"/>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spans="1:26" ht="12.75" customHeight="1">
      <c r="A768" s="93"/>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spans="1:26" ht="12.75" customHeight="1">
      <c r="A769" s="93"/>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spans="1:26" ht="12.75" customHeight="1">
      <c r="A770" s="93"/>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spans="1:26" ht="12.75" customHeight="1">
      <c r="A771" s="93"/>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spans="1:26" ht="12.75" customHeight="1">
      <c r="A772" s="93"/>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spans="1:26" ht="12.75" customHeight="1">
      <c r="A773" s="93"/>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spans="1:26" ht="12.75" customHeight="1">
      <c r="A774" s="93"/>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spans="1:26" ht="12.75" customHeight="1">
      <c r="A775" s="93"/>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spans="1:26" ht="12.75" customHeight="1">
      <c r="A776" s="93"/>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spans="1:26" ht="12.75" customHeight="1">
      <c r="A777" s="93"/>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spans="1:26" ht="12.75" customHeight="1">
      <c r="A778" s="93"/>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spans="1:26" ht="12.75" customHeight="1">
      <c r="A779" s="93"/>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spans="1:26" ht="12.75" customHeight="1">
      <c r="A780" s="93"/>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spans="1:26" ht="12.75" customHeight="1">
      <c r="A781" s="93"/>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spans="1:26" ht="12.75" customHeight="1">
      <c r="A782" s="93"/>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spans="1:26" ht="12.75" customHeight="1">
      <c r="A783" s="93"/>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spans="1:26" ht="12.75" customHeight="1">
      <c r="A784" s="93"/>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spans="1:26" ht="12.75" customHeight="1">
      <c r="A785" s="93"/>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spans="1:26" ht="12.75" customHeight="1">
      <c r="A786" s="93"/>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spans="1:26" ht="12.75" customHeight="1">
      <c r="A787" s="93"/>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spans="1:26" ht="12.75" customHeight="1">
      <c r="A788" s="93"/>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spans="1:26" ht="12.75" customHeight="1">
      <c r="A789" s="93"/>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spans="1:26" ht="12.75" customHeight="1">
      <c r="A790" s="93"/>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spans="1:26" ht="12.75" customHeight="1">
      <c r="A791" s="93"/>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spans="1:26" ht="12.75" customHeight="1">
      <c r="A792" s="93"/>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spans="1:26" ht="12.75" customHeight="1">
      <c r="A793" s="93"/>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spans="1:26" ht="12.75" customHeight="1">
      <c r="A794" s="93"/>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spans="1:26" ht="12.75" customHeight="1">
      <c r="A795" s="93"/>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spans="1:26" ht="12.75" customHeight="1">
      <c r="A796" s="93"/>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spans="1:26" ht="12.75" customHeight="1">
      <c r="A797" s="93"/>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spans="1:26" ht="12.75" customHeight="1">
      <c r="A798" s="93"/>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spans="1:26" ht="12.75" customHeight="1">
      <c r="A799" s="93"/>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spans="1:26" ht="12.75" customHeight="1">
      <c r="A800" s="93"/>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spans="1:26" ht="12.75" customHeight="1">
      <c r="A801" s="93"/>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spans="1:26" ht="12.75" customHeight="1">
      <c r="A802" s="93"/>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spans="1:26" ht="12.75" customHeight="1">
      <c r="A803" s="93"/>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spans="1:26" ht="12.75" customHeight="1">
      <c r="A804" s="93"/>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spans="1:26" ht="12.75" customHeight="1">
      <c r="A805" s="93"/>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spans="1:26" ht="12.75" customHeight="1">
      <c r="A806" s="93"/>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spans="1:26" ht="12.75" customHeight="1">
      <c r="A807" s="93"/>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spans="1:26" ht="12.75" customHeight="1">
      <c r="A808" s="93"/>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spans="1:26" ht="12.75" customHeight="1">
      <c r="A809" s="93"/>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spans="1:26" ht="12.75" customHeight="1">
      <c r="A810" s="93"/>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spans="1:26" ht="12.75" customHeight="1">
      <c r="A811" s="93"/>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spans="1:26" ht="12.75" customHeight="1">
      <c r="A812" s="93"/>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spans="1:26" ht="12.75" customHeight="1">
      <c r="A813" s="93"/>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spans="1:26" ht="12.75" customHeight="1">
      <c r="A814" s="93"/>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spans="1:26" ht="12.75" customHeight="1">
      <c r="A815" s="93"/>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spans="1:26" ht="12.75" customHeight="1">
      <c r="A816" s="93"/>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spans="1:26" ht="12.75" customHeight="1">
      <c r="A817" s="93"/>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spans="1:26" ht="12.75" customHeight="1">
      <c r="A818" s="93"/>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spans="1:26" ht="12.75" customHeight="1">
      <c r="A819" s="93"/>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spans="1:26" ht="12.75" customHeight="1">
      <c r="A820" s="93"/>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spans="1:26" ht="12.75" customHeight="1">
      <c r="A821" s="93"/>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spans="1:26" ht="12.75" customHeight="1">
      <c r="A822" s="93"/>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spans="1:26" ht="12.75" customHeight="1">
      <c r="A823" s="93"/>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spans="1:26" ht="12.75" customHeight="1">
      <c r="A824" s="93"/>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spans="1:26" ht="12.75" customHeight="1">
      <c r="A825" s="93"/>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spans="1:26" ht="12.75" customHeight="1">
      <c r="A826" s="93"/>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spans="1:26" ht="12.75" customHeight="1">
      <c r="A827" s="93"/>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spans="1:26" ht="12.75" customHeight="1">
      <c r="A828" s="93"/>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spans="1:26" ht="12.75" customHeight="1">
      <c r="A829" s="93"/>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spans="1:26" ht="12.75" customHeight="1">
      <c r="A830" s="93"/>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spans="1:26" ht="12.75" customHeight="1">
      <c r="A831" s="93"/>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spans="1:26" ht="12.75" customHeight="1">
      <c r="A832" s="93"/>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spans="1:26" ht="12.75" customHeight="1">
      <c r="A833" s="93"/>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spans="1:26" ht="12.75" customHeight="1">
      <c r="A834" s="93"/>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spans="1:26" ht="12.75" customHeight="1">
      <c r="A835" s="93"/>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spans="1:26" ht="12.75" customHeight="1">
      <c r="A836" s="93"/>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spans="1:26" ht="12.75" customHeight="1">
      <c r="A837" s="93"/>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spans="1:26" ht="12.75" customHeight="1">
      <c r="A838" s="93"/>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spans="1:26" ht="12.75" customHeight="1">
      <c r="A839" s="93"/>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spans="1:26" ht="12.75" customHeight="1">
      <c r="A840" s="93"/>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spans="1:26" ht="12.75" customHeight="1">
      <c r="A841" s="93"/>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spans="1:26" ht="12.75" customHeight="1">
      <c r="A842" s="93"/>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spans="1:26" ht="12.75" customHeight="1">
      <c r="A843" s="93"/>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spans="1:26" ht="12.75" customHeight="1">
      <c r="A844" s="93"/>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spans="1:26" ht="12.75" customHeight="1">
      <c r="A845" s="93"/>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spans="1:26" ht="12.75" customHeight="1">
      <c r="A846" s="93"/>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spans="1:26" ht="12.75" customHeight="1">
      <c r="A847" s="93"/>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spans="1:26" ht="12.75" customHeight="1">
      <c r="A848" s="93"/>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spans="1:26" ht="12.75" customHeight="1">
      <c r="A849" s="93"/>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spans="1:26" ht="12.75" customHeight="1">
      <c r="A850" s="93"/>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spans="1:26" ht="12.75" customHeight="1">
      <c r="A851" s="93"/>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spans="1:26" ht="12.75" customHeight="1">
      <c r="A852" s="93"/>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spans="1:26" ht="12.75" customHeight="1">
      <c r="A853" s="93"/>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spans="1:26" ht="12.75" customHeight="1">
      <c r="A854" s="93"/>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spans="1:26" ht="12.75" customHeight="1">
      <c r="A855" s="93"/>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spans="1:26" ht="12.75" customHeight="1">
      <c r="A856" s="93"/>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spans="1:26" ht="12.75" customHeight="1">
      <c r="A857" s="93"/>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spans="1:26" ht="12.75" customHeight="1">
      <c r="A858" s="93"/>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spans="1:26" ht="12.75" customHeight="1">
      <c r="A859" s="93"/>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spans="1:26" ht="12.75" customHeight="1">
      <c r="A860" s="93"/>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spans="1:26" ht="12.75" customHeight="1">
      <c r="A861" s="93"/>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spans="1:26" ht="12.75" customHeight="1">
      <c r="A862" s="93"/>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spans="1:26" ht="12.75" customHeight="1">
      <c r="A863" s="93"/>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spans="1:26" ht="12.75" customHeight="1">
      <c r="A864" s="93"/>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spans="1:26" ht="12.75" customHeight="1">
      <c r="A865" s="93"/>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spans="1:26" ht="12.75" customHeight="1">
      <c r="A866" s="93"/>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spans="1:26" ht="12.75" customHeight="1">
      <c r="A867" s="93"/>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spans="1:26" ht="12.75" customHeight="1">
      <c r="A868" s="93"/>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spans="1:26" ht="12.75" customHeight="1">
      <c r="A869" s="93"/>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spans="1:26" ht="12.75" customHeight="1">
      <c r="A870" s="93"/>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spans="1:26" ht="12.75" customHeight="1">
      <c r="A871" s="93"/>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spans="1:26" ht="12.75" customHeight="1">
      <c r="A872" s="93"/>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spans="1:26" ht="12.75" customHeight="1">
      <c r="A873" s="93"/>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spans="1:26" ht="12.75" customHeight="1">
      <c r="A874" s="93"/>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spans="1:26" ht="12.75" customHeight="1">
      <c r="A875" s="93"/>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spans="1:26" ht="12.75" customHeight="1">
      <c r="A876" s="93"/>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spans="1:26" ht="12.75" customHeight="1">
      <c r="A877" s="93"/>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spans="1:26" ht="12.75" customHeight="1">
      <c r="A878" s="93"/>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spans="1:26" ht="12.75" customHeight="1">
      <c r="A879" s="93"/>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spans="1:26" ht="12.75" customHeight="1">
      <c r="A880" s="93"/>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spans="1:26" ht="12.75" customHeight="1">
      <c r="A881" s="93"/>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spans="1:26" ht="12.75" customHeight="1">
      <c r="A882" s="93"/>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spans="1:26" ht="12.75" customHeight="1">
      <c r="A883" s="93"/>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spans="1:26" ht="12.75" customHeight="1">
      <c r="A884" s="93"/>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spans="1:26" ht="12.75" customHeight="1">
      <c r="A885" s="93"/>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spans="1:26" ht="12.75" customHeight="1">
      <c r="A886" s="93"/>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spans="1:26" ht="12.75" customHeight="1">
      <c r="A887" s="93"/>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spans="1:26" ht="12.75" customHeight="1">
      <c r="A888" s="93"/>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spans="1:26" ht="12.75" customHeight="1">
      <c r="A889" s="93"/>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spans="1:26" ht="12.75" customHeight="1">
      <c r="A890" s="93"/>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spans="1:26" ht="12.75" customHeight="1">
      <c r="A891" s="93"/>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spans="1:26" ht="12.75" customHeight="1">
      <c r="A892" s="93"/>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spans="1:26" ht="12.75" customHeight="1">
      <c r="A893" s="93"/>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spans="1:26" ht="12.75" customHeight="1">
      <c r="A894" s="93"/>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spans="1:26" ht="12.75" customHeight="1">
      <c r="A895" s="93"/>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spans="1:26" ht="12.75" customHeight="1">
      <c r="A896" s="93"/>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spans="1:26" ht="12.75" customHeight="1">
      <c r="A897" s="93"/>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spans="1:26" ht="12.75" customHeight="1">
      <c r="A898" s="93"/>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spans="1:26" ht="12.75" customHeight="1">
      <c r="A899" s="93"/>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spans="1:26" ht="12.75" customHeight="1">
      <c r="A900" s="93"/>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spans="1:26" ht="12.75" customHeight="1">
      <c r="A901" s="93"/>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spans="1:26" ht="12.75" customHeight="1">
      <c r="A902" s="93"/>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spans="1:26" ht="12.75" customHeight="1">
      <c r="A903" s="93"/>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spans="1:26" ht="12.75" customHeight="1">
      <c r="A904" s="93"/>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spans="1:26" ht="12.75" customHeight="1">
      <c r="A905" s="93"/>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spans="1:26" ht="12.75" customHeight="1">
      <c r="A906" s="93"/>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spans="1:26" ht="12.75" customHeight="1">
      <c r="A907" s="93"/>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spans="1:26" ht="12.75" customHeight="1">
      <c r="A908" s="93"/>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spans="1:26" ht="12.75" customHeight="1">
      <c r="A909" s="93"/>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spans="1:26" ht="12.75" customHeight="1">
      <c r="A910" s="93"/>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spans="1:26" ht="12.75" customHeight="1">
      <c r="A911" s="93"/>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spans="1:26" ht="12.75" customHeight="1">
      <c r="A912" s="93"/>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spans="1:26" ht="12.75" customHeight="1">
      <c r="A913" s="93"/>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spans="1:26" ht="12.75" customHeight="1">
      <c r="A914" s="93"/>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spans="1:26" ht="12.75" customHeight="1">
      <c r="A915" s="93"/>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spans="1:26" ht="12.75" customHeight="1">
      <c r="A916" s="93"/>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spans="1:26" ht="12.75" customHeight="1">
      <c r="A917" s="93"/>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spans="1:26" ht="12.75" customHeight="1">
      <c r="A918" s="93"/>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spans="1:26" ht="12.75" customHeight="1">
      <c r="A919" s="93"/>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spans="1:26" ht="12.75" customHeight="1">
      <c r="A920" s="93"/>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spans="1:26" ht="12.75" customHeight="1">
      <c r="A921" s="93"/>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spans="1:26" ht="12.75" customHeight="1">
      <c r="A922" s="93"/>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spans="1:26" ht="12.75" customHeight="1">
      <c r="A923" s="93"/>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spans="1:26" ht="12.75" customHeight="1">
      <c r="A924" s="93"/>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spans="1:26" ht="12.75" customHeight="1">
      <c r="A925" s="93"/>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spans="1:26" ht="12.75" customHeight="1">
      <c r="A926" s="93"/>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spans="1:26" ht="12.75" customHeight="1">
      <c r="A927" s="93"/>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spans="1:26" ht="12.75" customHeight="1">
      <c r="A928" s="93"/>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spans="1:26" ht="12.75" customHeight="1">
      <c r="A929" s="93"/>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spans="1:26" ht="12.75" customHeight="1">
      <c r="A930" s="93"/>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spans="1:26" ht="12.75" customHeight="1">
      <c r="A931" s="93"/>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spans="1:26" ht="12.75" customHeight="1">
      <c r="A932" s="93"/>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spans="1:26" ht="12.75" customHeight="1">
      <c r="A933" s="93"/>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spans="1:26" ht="12.75" customHeight="1">
      <c r="A934" s="93"/>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spans="1:26" ht="12.75" customHeight="1">
      <c r="A935" s="93"/>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spans="1:26" ht="12.75" customHeight="1">
      <c r="A936" s="93"/>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spans="1:26" ht="12.75" customHeight="1">
      <c r="A937" s="93"/>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spans="1:26" ht="12.75" customHeight="1">
      <c r="A938" s="93"/>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spans="1:26" ht="12.75" customHeight="1">
      <c r="A939" s="93"/>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spans="1:26" ht="12.75" customHeight="1">
      <c r="A940" s="93"/>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spans="1:26" ht="12.75" customHeight="1">
      <c r="A941" s="93"/>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spans="1:26" ht="12.75" customHeight="1">
      <c r="A942" s="93"/>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spans="1:26" ht="12.75" customHeight="1">
      <c r="A943" s="93"/>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spans="1:26" ht="12.75" customHeight="1">
      <c r="A944" s="93"/>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spans="1:26" ht="12.75" customHeight="1">
      <c r="A945" s="93"/>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spans="1:26" ht="12.75" customHeight="1">
      <c r="A946" s="93"/>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spans="1:26" ht="12.75" customHeight="1">
      <c r="A947" s="93"/>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spans="1:26" ht="12.75" customHeight="1">
      <c r="A948" s="93"/>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spans="1:26" ht="12.75" customHeight="1">
      <c r="A949" s="93"/>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spans="1:26" ht="12.75" customHeight="1">
      <c r="A950" s="93"/>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spans="1:26" ht="12.75" customHeight="1">
      <c r="A951" s="93"/>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spans="1:26" ht="12.75" customHeight="1">
      <c r="A952" s="93"/>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spans="1:26" ht="12.75" customHeight="1">
      <c r="A953" s="93"/>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spans="1:26" ht="12.75" customHeight="1">
      <c r="A954" s="93"/>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spans="1:26" ht="12.75" customHeight="1">
      <c r="A955" s="93"/>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spans="1:26" ht="12.75" customHeight="1">
      <c r="A956" s="93"/>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spans="1:26" ht="12.75" customHeight="1">
      <c r="A957" s="93"/>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spans="1:26" ht="12.75" customHeight="1">
      <c r="A958" s="93"/>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spans="1:26" ht="12.75" customHeight="1">
      <c r="A959" s="93"/>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spans="1:26" ht="12.75" customHeight="1">
      <c r="A960" s="93"/>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spans="1:26" ht="12.75" customHeight="1">
      <c r="A961" s="93"/>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spans="1:26" ht="12.75" customHeight="1">
      <c r="A962" s="93"/>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spans="1:26" ht="12.75" customHeight="1">
      <c r="A963" s="93"/>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spans="1:26" ht="12.75" customHeight="1">
      <c r="A964" s="93"/>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spans="1:26" ht="12.75" customHeight="1">
      <c r="A965" s="93"/>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spans="1:26" ht="12.75" customHeight="1">
      <c r="A966" s="93"/>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spans="1:26" ht="12.75" customHeight="1">
      <c r="A967" s="93"/>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spans="1:26" ht="12.75" customHeight="1">
      <c r="A968" s="93"/>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spans="1:26" ht="12.75" customHeight="1">
      <c r="A969" s="93"/>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spans="1:26" ht="12.75" customHeight="1">
      <c r="A970" s="93"/>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spans="1:26" ht="12.75" customHeight="1">
      <c r="A971" s="93"/>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spans="1:26" ht="12.75" customHeight="1">
      <c r="A972" s="93"/>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spans="1:26" ht="12.75" customHeight="1">
      <c r="A973" s="93"/>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spans="1:26" ht="12.75" customHeight="1">
      <c r="A974" s="93"/>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spans="1:26" ht="12.75" customHeight="1">
      <c r="A975" s="93"/>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spans="1:26" ht="12.75" customHeight="1">
      <c r="A976" s="93"/>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spans="1:26" ht="12.75" customHeight="1">
      <c r="A977" s="93"/>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spans="1:26" ht="12.75" customHeight="1">
      <c r="A978" s="93"/>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spans="1:26" ht="12.75" customHeight="1">
      <c r="A979" s="93"/>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spans="1:26" ht="12.75" customHeight="1">
      <c r="A980" s="93"/>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spans="1:26" ht="12.75" customHeight="1">
      <c r="A981" s="93"/>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sheetData>
  <mergeCells count="4">
    <mergeCell ref="A7:D7"/>
    <mergeCell ref="A8:B8"/>
    <mergeCell ref="A10:D10"/>
    <mergeCell ref="A19:D19"/>
  </mergeCells>
  <phoneticPr fontId="15" type="noConversion"/>
  <pageMargins left="0.7" right="0.7" top="0.75" bottom="0.75" header="0.3" footer="0.3"/>
  <pageSetup scale="9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6:C48"/>
  <sheetViews>
    <sheetView workbookViewId="0"/>
  </sheetViews>
  <sheetFormatPr defaultColWidth="9" defaultRowHeight="15"/>
  <cols>
    <col min="1" max="1" width="33.28515625" style="136" customWidth="1"/>
    <col min="2" max="2" width="26.28515625" style="136" customWidth="1"/>
    <col min="3" max="3" width="22.28515625" style="136" customWidth="1"/>
    <col min="4" max="16384" width="9" style="136"/>
  </cols>
  <sheetData>
    <row r="6" spans="1:3">
      <c r="A6" s="136" t="s">
        <v>265</v>
      </c>
    </row>
    <row r="7" spans="1:3" ht="6.75" customHeight="1"/>
    <row r="8" spans="1:3">
      <c r="A8" s="137" t="s">
        <v>44</v>
      </c>
      <c r="B8" s="137" t="s">
        <v>45</v>
      </c>
      <c r="C8" s="137" t="s">
        <v>46</v>
      </c>
    </row>
    <row r="9" spans="1:3">
      <c r="A9" s="135" t="s">
        <v>266</v>
      </c>
      <c r="B9" s="135" t="s">
        <v>47</v>
      </c>
      <c r="C9" s="135" t="s">
        <v>48</v>
      </c>
    </row>
    <row r="10" spans="1:3">
      <c r="A10" s="135" t="s">
        <v>267</v>
      </c>
      <c r="B10" s="135" t="s">
        <v>49</v>
      </c>
      <c r="C10" s="135" t="s">
        <v>50</v>
      </c>
    </row>
    <row r="11" spans="1:3">
      <c r="A11" s="135" t="s">
        <v>268</v>
      </c>
      <c r="B11" s="135" t="s">
        <v>47</v>
      </c>
      <c r="C11" s="135" t="s">
        <v>50</v>
      </c>
    </row>
    <row r="12" spans="1:3">
      <c r="A12" s="135" t="s">
        <v>269</v>
      </c>
      <c r="B12" s="135" t="s">
        <v>51</v>
      </c>
      <c r="C12" s="135" t="s">
        <v>52</v>
      </c>
    </row>
    <row r="13" spans="1:3">
      <c r="A13" s="135" t="s">
        <v>270</v>
      </c>
      <c r="B13" s="135" t="s">
        <v>51</v>
      </c>
      <c r="C13" s="135" t="s">
        <v>52</v>
      </c>
    </row>
    <row r="14" spans="1:3">
      <c r="A14" s="135" t="s">
        <v>271</v>
      </c>
      <c r="B14" s="135" t="s">
        <v>51</v>
      </c>
      <c r="C14" s="135" t="s">
        <v>52</v>
      </c>
    </row>
    <row r="15" spans="1:3">
      <c r="A15" s="135" t="s">
        <v>272</v>
      </c>
      <c r="B15" s="135" t="s">
        <v>53</v>
      </c>
      <c r="C15" s="135" t="s">
        <v>54</v>
      </c>
    </row>
    <row r="16" spans="1:3">
      <c r="A16" s="135" t="s">
        <v>273</v>
      </c>
      <c r="B16" s="135" t="s">
        <v>274</v>
      </c>
      <c r="C16" s="135" t="s">
        <v>54</v>
      </c>
    </row>
    <row r="17" spans="1:3">
      <c r="A17" s="135" t="s">
        <v>275</v>
      </c>
      <c r="B17" s="135" t="s">
        <v>55</v>
      </c>
      <c r="C17" s="135" t="s">
        <v>54</v>
      </c>
    </row>
    <row r="18" spans="1:3">
      <c r="A18" s="135" t="s">
        <v>300</v>
      </c>
      <c r="B18" s="135" t="s">
        <v>301</v>
      </c>
      <c r="C18" s="135" t="s">
        <v>302</v>
      </c>
    </row>
    <row r="19" spans="1:3">
      <c r="A19" s="135" t="s">
        <v>276</v>
      </c>
      <c r="B19" s="135" t="s">
        <v>47</v>
      </c>
      <c r="C19" s="135" t="s">
        <v>54</v>
      </c>
    </row>
    <row r="20" spans="1:3">
      <c r="A20" s="135" t="s">
        <v>277</v>
      </c>
      <c r="B20" s="135" t="s">
        <v>47</v>
      </c>
      <c r="C20" s="135" t="s">
        <v>54</v>
      </c>
    </row>
    <row r="21" spans="1:3">
      <c r="A21" s="135" t="s">
        <v>278</v>
      </c>
      <c r="B21" s="135" t="s">
        <v>56</v>
      </c>
      <c r="C21" s="135" t="s">
        <v>54</v>
      </c>
    </row>
    <row r="22" spans="1:3">
      <c r="A22" s="135" t="s">
        <v>279</v>
      </c>
      <c r="B22" s="135" t="s">
        <v>56</v>
      </c>
      <c r="C22" s="135" t="s">
        <v>54</v>
      </c>
    </row>
    <row r="23" spans="1:3" ht="20.25" customHeight="1">
      <c r="A23" s="135" t="s">
        <v>57</v>
      </c>
      <c r="B23" s="135" t="s">
        <v>58</v>
      </c>
      <c r="C23" s="135" t="s">
        <v>54</v>
      </c>
    </row>
    <row r="24" spans="1:3">
      <c r="A24" s="135" t="s">
        <v>280</v>
      </c>
      <c r="B24" s="135" t="s">
        <v>59</v>
      </c>
      <c r="C24" s="135" t="s">
        <v>54</v>
      </c>
    </row>
    <row r="25" spans="1:3">
      <c r="A25" s="135" t="s">
        <v>281</v>
      </c>
      <c r="B25" s="135" t="s">
        <v>60</v>
      </c>
      <c r="C25" s="135" t="s">
        <v>54</v>
      </c>
    </row>
    <row r="26" spans="1:3">
      <c r="A26" s="135" t="s">
        <v>282</v>
      </c>
      <c r="B26" s="135" t="s">
        <v>61</v>
      </c>
      <c r="C26" s="135" t="s">
        <v>54</v>
      </c>
    </row>
    <row r="27" spans="1:3">
      <c r="A27" s="135" t="s">
        <v>283</v>
      </c>
      <c r="B27" s="135" t="s">
        <v>61</v>
      </c>
      <c r="C27" s="135" t="s">
        <v>54</v>
      </c>
    </row>
    <row r="28" spans="1:3">
      <c r="A28" s="135" t="s">
        <v>284</v>
      </c>
      <c r="B28" s="135" t="s">
        <v>56</v>
      </c>
      <c r="C28" s="135" t="s">
        <v>54</v>
      </c>
    </row>
    <row r="29" spans="1:3">
      <c r="A29" s="135" t="s">
        <v>285</v>
      </c>
      <c r="B29" s="135" t="s">
        <v>56</v>
      </c>
      <c r="C29" s="135" t="s">
        <v>54</v>
      </c>
    </row>
    <row r="30" spans="1:3">
      <c r="A30" s="135" t="s">
        <v>286</v>
      </c>
      <c r="B30" s="135" t="s">
        <v>62</v>
      </c>
      <c r="C30" s="135" t="s">
        <v>54</v>
      </c>
    </row>
    <row r="31" spans="1:3">
      <c r="A31" s="135" t="s">
        <v>287</v>
      </c>
      <c r="B31" s="135" t="s">
        <v>47</v>
      </c>
      <c r="C31" s="135" t="s">
        <v>54</v>
      </c>
    </row>
    <row r="32" spans="1:3">
      <c r="A32" s="135" t="s">
        <v>288</v>
      </c>
      <c r="B32" s="135" t="s">
        <v>47</v>
      </c>
      <c r="C32" s="135" t="s">
        <v>54</v>
      </c>
    </row>
    <row r="33" spans="1:3">
      <c r="A33" s="135" t="s">
        <v>289</v>
      </c>
      <c r="B33" s="135" t="s">
        <v>63</v>
      </c>
      <c r="C33" s="135" t="s">
        <v>54</v>
      </c>
    </row>
    <row r="34" spans="1:3">
      <c r="A34" s="135" t="s">
        <v>64</v>
      </c>
      <c r="B34" s="135" t="s">
        <v>290</v>
      </c>
      <c r="C34" s="135" t="s">
        <v>54</v>
      </c>
    </row>
    <row r="35" spans="1:3">
      <c r="A35" s="135" t="s">
        <v>291</v>
      </c>
      <c r="B35" s="135" t="s">
        <v>65</v>
      </c>
      <c r="C35" s="135" t="s">
        <v>54</v>
      </c>
    </row>
    <row r="36" spans="1:3">
      <c r="A36" s="135" t="s">
        <v>292</v>
      </c>
      <c r="B36" s="135" t="s">
        <v>65</v>
      </c>
      <c r="C36" s="135" t="s">
        <v>54</v>
      </c>
    </row>
    <row r="37" spans="1:3">
      <c r="A37" s="135" t="s">
        <v>293</v>
      </c>
      <c r="B37" s="135" t="s">
        <v>68</v>
      </c>
      <c r="C37" s="135" t="s">
        <v>54</v>
      </c>
    </row>
    <row r="38" spans="1:3">
      <c r="A38" s="135" t="s">
        <v>294</v>
      </c>
      <c r="B38" s="135" t="s">
        <v>70</v>
      </c>
      <c r="C38" s="135" t="s">
        <v>54</v>
      </c>
    </row>
    <row r="39" spans="1:3">
      <c r="A39" s="135" t="s">
        <v>295</v>
      </c>
      <c r="B39" s="135" t="s">
        <v>70</v>
      </c>
      <c r="C39" s="135" t="s">
        <v>54</v>
      </c>
    </row>
    <row r="40" spans="1:3">
      <c r="A40" s="135" t="s">
        <v>296</v>
      </c>
      <c r="B40" s="135" t="s">
        <v>72</v>
      </c>
      <c r="C40" s="135" t="s">
        <v>54</v>
      </c>
    </row>
    <row r="41" spans="1:3">
      <c r="A41" s="135" t="s">
        <v>66</v>
      </c>
      <c r="B41" s="135" t="s">
        <v>65</v>
      </c>
      <c r="C41" s="135" t="s">
        <v>54</v>
      </c>
    </row>
    <row r="42" spans="1:3">
      <c r="A42" s="135" t="s">
        <v>67</v>
      </c>
      <c r="B42" s="135" t="s">
        <v>68</v>
      </c>
      <c r="C42" s="135" t="s">
        <v>54</v>
      </c>
    </row>
    <row r="43" spans="1:3">
      <c r="A43" s="135" t="s">
        <v>69</v>
      </c>
      <c r="B43" s="135" t="s">
        <v>70</v>
      </c>
      <c r="C43" s="135" t="s">
        <v>54</v>
      </c>
    </row>
    <row r="44" spans="1:3">
      <c r="A44" s="135" t="s">
        <v>71</v>
      </c>
      <c r="B44" s="135" t="s">
        <v>70</v>
      </c>
      <c r="C44" s="135" t="s">
        <v>54</v>
      </c>
    </row>
    <row r="45" spans="1:3" ht="16.5" customHeight="1">
      <c r="A45" s="298" t="s">
        <v>317</v>
      </c>
      <c r="B45" s="297"/>
      <c r="C45" s="297"/>
    </row>
    <row r="46" spans="1:3" ht="12.75" customHeight="1">
      <c r="A46" s="299" t="s">
        <v>318</v>
      </c>
    </row>
    <row r="47" spans="1:3">
      <c r="A47" s="292"/>
      <c r="B47" s="292"/>
      <c r="C47" s="292"/>
    </row>
    <row r="48" spans="1:3">
      <c r="A48" s="92" t="s">
        <v>235</v>
      </c>
    </row>
  </sheetData>
  <sheetProtection formatCells="0" insertHyperlinks="0" autoFilter="0"/>
  <mergeCells count="1">
    <mergeCell ref="A47:C47"/>
  </mergeCells>
  <phoneticPr fontId="15" type="noConversion"/>
  <pageMargins left="0.7" right="0.7" top="0.75" bottom="0.75" header="0.3" footer="0.3"/>
  <pageSetup scale="9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6" ma:contentTypeDescription="Create a new document." ma:contentTypeScope="" ma:versionID="54b41485f211716c550f499ba4040328">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ff454b64344b1ec473b78aa2a3578b9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4.xml><?xml version="1.0" encoding="utf-8"?>
<woProps xmlns="https://web.wps.cn/et/2018/main" xmlns:s="http://schemas.openxmlformats.org/spreadsheetml/2006/main">
  <woSheets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5.xml><?xml version="1.0" encoding="utf-8"?>
<pixelators xmlns="https://web.wps.cn/et/2018/main" xmlns:s="http://schemas.openxmlformats.org/spreadsheetml/2006/main">
  <pixelatorList sheetStid="5"/>
  <pixelatorList sheetStid="6"/>
  <pixelatorList sheetStid="2"/>
  <pixelatorList sheetStid="1"/>
  <pixelatorList sheetStid="3"/>
  <pixelatorList sheetStid="7"/>
  <pixelatorList sheetStid="8"/>
</pixelators>
</file>

<file path=customXml/item6.xml><?xml version="1.0" encoding="utf-8"?>
<autofilters xmlns="https://web.wps.cn/et/2018/main"/>
</file>

<file path=customXml/itemProps1.xml><?xml version="1.0" encoding="utf-8"?>
<ds:datastoreItem xmlns:ds="http://schemas.openxmlformats.org/officeDocument/2006/customXml" ds:itemID="{DC067C81-A5DB-4A1B-A88F-A05D6719DF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B7A6F5-A505-4BF6-953F-8C01F696A099}">
  <ds:schemaRefs>
    <ds:schemaRef ds:uri="http://schemas.microsoft.com/sharepoint/v3/contenttype/forms"/>
  </ds:schemaRefs>
</ds:datastoreItem>
</file>

<file path=customXml/itemProps3.xml><?xml version="1.0" encoding="utf-8"?>
<ds:datastoreItem xmlns:ds="http://schemas.openxmlformats.org/officeDocument/2006/customXml" ds:itemID="{1BB791D4-40B8-4705-BA08-01BBC3DD1C77}">
  <ds:schemaRefs>
    <ds:schemaRef ds:uri="http://purl.org/dc/elements/1.1/"/>
    <ds:schemaRef ds:uri="http://purl.org/dc/terms/"/>
    <ds:schemaRef ds:uri="6787c073-3ca9-4904-98f0-2db325fddc11"/>
    <ds:schemaRef ds:uri="http://schemas.microsoft.com/office/2006/metadata/properties"/>
    <ds:schemaRef ds:uri="http://schemas.microsoft.com/office/2006/documentManagement/types"/>
    <ds:schemaRef ds:uri="http://schemas.openxmlformats.org/package/2006/metadata/core-properties"/>
    <ds:schemaRef ds:uri="b9cbfd23-0aee-4daf-9326-5162d0d6f612"/>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Document Title </vt:lpstr>
      <vt:lpstr>Notice</vt:lpstr>
      <vt:lpstr>Introduction</vt:lpstr>
      <vt:lpstr>IP Network - Fault Management</vt:lpstr>
      <vt:lpstr>Scoring</vt:lpstr>
      <vt:lpstr>E2E Automation Ratio Checklist</vt:lpstr>
      <vt:lpstr>Administrative Appendix</vt:lpstr>
      <vt:lpstr>Acknowledgements</vt:lpstr>
      <vt:lpstr>Acknowledgements!_Hlk182563918</vt:lpstr>
      <vt:lpstr>'Document Title '!Print_Area</vt:lpstr>
      <vt:lpstr>Notice!Print_Area</vt:lpstr>
      <vt:lpstr>Notice!Print_Titles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2025-04-02T08:02:28Z</dcterms:created>
  <dcterms:modified xsi:type="dcterms:W3CDTF">2026-09-29T15:02:47Z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0x01010062BEFE22FE2AE44C8A7ED1880C481F97</vt:lpwstr>
  </property>
  <property fmtid="{D5CDD505-2E9C-101B-9397-08002B2CF9AE}" pid="3" name="_readonly">
    <vt:lpwstr/>
  </property>
  <property fmtid="{D5CDD505-2E9C-101B-9397-08002B2CF9AE}" pid="4" name="_change">
    <vt:lpwstr/>
  </property>
  <property fmtid="{D5CDD505-2E9C-101B-9397-08002B2CF9AE}" pid="5" name="_full-control">
    <vt:lpwstr/>
  </property>
  <property fmtid="{D5CDD505-2E9C-101B-9397-08002B2CF9AE}" pid="6" name="sflag">
    <vt:lpwstr>1785378380</vt:lpwstr>
  </property>
</Properties>
</file>